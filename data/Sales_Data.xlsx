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Sheet1!$A$1:$DG$614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D611" i="1" l="1"/>
  <c r="AM611" i="1"/>
  <c r="DC595" i="1"/>
  <c r="DD595" i="1" s="1"/>
  <c r="AG595" i="1"/>
  <c r="AA595" i="1"/>
  <c r="DD592" i="1"/>
  <c r="R592" i="1"/>
  <c r="DD591" i="1"/>
  <c r="O591" i="1"/>
  <c r="DD539" i="1"/>
  <c r="AM539" i="1"/>
  <c r="DC524" i="1"/>
  <c r="DD506" i="1"/>
  <c r="CI506" i="1"/>
  <c r="DD505" i="1"/>
  <c r="BW505" i="1"/>
  <c r="BT505" i="1"/>
  <c r="DD497" i="1"/>
  <c r="AG497" i="1"/>
  <c r="DD485" i="1"/>
  <c r="CR485" i="1"/>
  <c r="DD484" i="1"/>
  <c r="DD476" i="1"/>
  <c r="DC466" i="1"/>
  <c r="DC428" i="1"/>
  <c r="DD424" i="1"/>
  <c r="CI424" i="1"/>
  <c r="DD403" i="1"/>
  <c r="CR403" i="1"/>
  <c r="DD398" i="1"/>
  <c r="CR398" i="1"/>
  <c r="DC381" i="1"/>
  <c r="DD377" i="1"/>
  <c r="BZ377" i="1"/>
  <c r="DC374" i="1"/>
  <c r="DD374" i="1" s="1"/>
  <c r="BB374" i="1"/>
  <c r="DC367" i="1"/>
  <c r="DD367" i="1" s="1"/>
  <c r="BW367" i="1"/>
  <c r="BT367" i="1"/>
  <c r="BG360" i="1"/>
  <c r="DC360" i="1" s="1"/>
  <c r="DD360" i="1" s="1"/>
  <c r="O360" i="1"/>
  <c r="DC347" i="1"/>
  <c r="DD347" i="1" s="1"/>
  <c r="DC346" i="1"/>
  <c r="DD346" i="1" s="1"/>
  <c r="AA346" i="1"/>
  <c r="DD345" i="1"/>
  <c r="DC344" i="1"/>
  <c r="DD344" i="1" s="1"/>
  <c r="CI344" i="1"/>
  <c r="CC344" i="1"/>
  <c r="BZ344" i="1"/>
  <c r="DD343" i="1"/>
  <c r="AG343" i="1"/>
  <c r="DC342" i="1"/>
  <c r="DD342" i="1" s="1"/>
  <c r="AG342" i="1"/>
  <c r="DD339" i="1"/>
  <c r="DC338" i="1"/>
  <c r="DD338" i="1" s="1"/>
  <c r="DA338" i="1"/>
  <c r="CR338" i="1"/>
  <c r="DC337" i="1"/>
  <c r="DD337" i="1" s="1"/>
  <c r="CI337" i="1"/>
  <c r="DD336" i="1"/>
  <c r="BZ336" i="1"/>
  <c r="O336" i="1"/>
  <c r="DC335" i="1"/>
  <c r="DD335" i="1" s="1"/>
  <c r="DD333" i="1"/>
  <c r="CI333" i="1"/>
  <c r="BW333" i="1"/>
  <c r="BT333" i="1"/>
  <c r="DC332" i="1"/>
  <c r="DD332" i="1" s="1"/>
  <c r="R332" i="1"/>
  <c r="DD331" i="1"/>
  <c r="AM331" i="1"/>
  <c r="DD330" i="1"/>
  <c r="CI330" i="1"/>
  <c r="DC328" i="1"/>
  <c r="DD328" i="1" s="1"/>
  <c r="BQ328" i="1"/>
  <c r="AG328" i="1"/>
  <c r="BG327" i="1"/>
  <c r="DC327" i="1" s="1"/>
  <c r="DD326" i="1"/>
  <c r="DC325" i="1"/>
  <c r="DC324" i="1"/>
  <c r="DD324" i="1" s="1"/>
  <c r="L324" i="1"/>
  <c r="DC323" i="1"/>
  <c r="DD323" i="1" s="1"/>
  <c r="CX323" i="1"/>
  <c r="CF323" i="1"/>
  <c r="DD322" i="1"/>
  <c r="CI322" i="1"/>
  <c r="DD321" i="1"/>
  <c r="DC320" i="1"/>
  <c r="DD320" i="1" s="1"/>
  <c r="CC320" i="1"/>
  <c r="BT320" i="1"/>
  <c r="O320" i="1"/>
  <c r="DD319" i="1"/>
  <c r="O319" i="1"/>
  <c r="DC318" i="1"/>
  <c r="DD318" i="1" s="1"/>
  <c r="AA318" i="1"/>
  <c r="DD316" i="1"/>
  <c r="DC314" i="1"/>
  <c r="DD314" i="1" s="1"/>
  <c r="CI314" i="1"/>
  <c r="DC313" i="1"/>
  <c r="DD313" i="1" s="1"/>
  <c r="CI312" i="1"/>
  <c r="BG312" i="1"/>
  <c r="DC312" i="1" s="1"/>
  <c r="DD312" i="1" s="1"/>
  <c r="AA312" i="1"/>
  <c r="O312" i="1"/>
  <c r="DD311" i="1"/>
  <c r="BZ311" i="1"/>
  <c r="BE311" i="1"/>
  <c r="DC306" i="1"/>
  <c r="DD306" i="1" s="1"/>
  <c r="CI306" i="1"/>
  <c r="DC303" i="1"/>
  <c r="DD303" i="1" s="1"/>
  <c r="DC302" i="1"/>
  <c r="DD302" i="1" s="1"/>
  <c r="AP302" i="1"/>
  <c r="AM302" i="1"/>
  <c r="DC300" i="1"/>
  <c r="DD300" i="1" s="1"/>
  <c r="CI300" i="1"/>
  <c r="BW300" i="1"/>
  <c r="BT300" i="1"/>
  <c r="BG299" i="1"/>
  <c r="DC299" i="1" s="1"/>
  <c r="DD299" i="1" s="1"/>
  <c r="AP299" i="1"/>
  <c r="I299" i="1"/>
  <c r="BN296" i="1"/>
  <c r="BG296" i="1"/>
  <c r="DC296" i="1" s="1"/>
  <c r="DD296" i="1" s="1"/>
  <c r="DC295" i="1"/>
  <c r="DD295" i="1" s="1"/>
  <c r="CI295" i="1"/>
  <c r="DD294" i="1"/>
  <c r="CI294" i="1"/>
  <c r="CX293" i="1"/>
  <c r="CI293" i="1"/>
  <c r="BG293" i="1"/>
  <c r="DC293" i="1" s="1"/>
  <c r="DD293" i="1" s="1"/>
  <c r="BQ291" i="1"/>
  <c r="BN291" i="1"/>
  <c r="BG291" i="1"/>
  <c r="DC291" i="1" s="1"/>
  <c r="DD291" i="1" s="1"/>
  <c r="DD290" i="1"/>
  <c r="O290" i="1"/>
  <c r="DC286" i="1"/>
  <c r="DD275" i="1"/>
  <c r="CI275" i="1"/>
  <c r="DD271" i="1"/>
  <c r="U271" i="1"/>
  <c r="DD267" i="1"/>
  <c r="BW263" i="1"/>
  <c r="BT263" i="1"/>
  <c r="BG263" i="1"/>
  <c r="DC263" i="1" s="1"/>
  <c r="DD263" i="1" s="1"/>
  <c r="DD259" i="1"/>
  <c r="DC256" i="1"/>
  <c r="DD255" i="1"/>
  <c r="DA255" i="1"/>
  <c r="AM255" i="1"/>
  <c r="R255" i="1"/>
  <c r="DD251" i="1"/>
  <c r="DD249" i="1"/>
  <c r="DA249" i="1"/>
  <c r="DC248" i="1"/>
  <c r="DD248" i="1" s="1"/>
  <c r="DD245" i="1"/>
  <c r="CI245" i="1"/>
  <c r="DD243" i="1"/>
  <c r="AG243" i="1"/>
  <c r="DC242" i="1"/>
  <c r="DD242" i="1" s="1"/>
  <c r="CR242" i="1"/>
  <c r="DC241" i="1"/>
  <c r="DD241" i="1" s="1"/>
  <c r="O241" i="1"/>
  <c r="DC240" i="1"/>
  <c r="DD240" i="1" s="1"/>
  <c r="DD239" i="1"/>
  <c r="BW239" i="1"/>
  <c r="BT239" i="1"/>
  <c r="DC237" i="1"/>
  <c r="DD237" i="1" s="1"/>
  <c r="DD236" i="1"/>
  <c r="BG235" i="1"/>
  <c r="DC235" i="1" s="1"/>
  <c r="DD235" i="1" s="1"/>
  <c r="DD233" i="1"/>
  <c r="CI233" i="1"/>
  <c r="AG233" i="1"/>
  <c r="U233" i="1"/>
  <c r="DD232" i="1"/>
  <c r="BH232" i="1"/>
  <c r="U232" i="1"/>
  <c r="DC230" i="1"/>
  <c r="DD230" i="1" s="1"/>
  <c r="CI230" i="1"/>
  <c r="BW230" i="1"/>
  <c r="BT230" i="1"/>
  <c r="O230" i="1"/>
  <c r="DC229" i="1"/>
  <c r="DD229" i="1" s="1"/>
  <c r="DD227" i="1"/>
  <c r="O227" i="1"/>
  <c r="DC226" i="1"/>
  <c r="DD226" i="1" s="1"/>
  <c r="R226" i="1"/>
  <c r="BN224" i="1"/>
  <c r="BG224" i="1"/>
  <c r="DC224" i="1" s="1"/>
  <c r="DD224" i="1" s="1"/>
  <c r="AG224" i="1"/>
  <c r="DC223" i="1"/>
  <c r="DD223" i="1" s="1"/>
  <c r="CU223" i="1"/>
  <c r="BW223" i="1"/>
  <c r="BT223" i="1"/>
  <c r="O223" i="1"/>
  <c r="DC222" i="1"/>
  <c r="DD222" i="1" s="1"/>
  <c r="BW222" i="1"/>
  <c r="BT222" i="1"/>
  <c r="O222" i="1"/>
  <c r="DC221" i="1"/>
  <c r="DD221" i="1" s="1"/>
  <c r="CI221" i="1"/>
  <c r="AS221" i="1"/>
  <c r="AA221" i="1"/>
  <c r="DC220" i="1"/>
  <c r="DD220" i="1" s="1"/>
  <c r="DD218" i="1"/>
  <c r="BH218" i="1"/>
  <c r="AM218" i="1"/>
  <c r="DC216" i="1"/>
  <c r="DD216" i="1" s="1"/>
  <c r="BG215" i="1"/>
  <c r="DC215" i="1" s="1"/>
  <c r="DC214" i="1"/>
  <c r="DD214" i="1" s="1"/>
  <c r="DC213" i="1"/>
  <c r="DD213" i="1" s="1"/>
  <c r="DC212" i="1"/>
  <c r="DD212" i="1" s="1"/>
  <c r="CI211" i="1"/>
  <c r="BG211" i="1"/>
  <c r="DC211" i="1" s="1"/>
  <c r="DD211" i="1" s="1"/>
  <c r="DD210" i="1"/>
  <c r="DD209" i="1"/>
  <c r="CI209" i="1"/>
  <c r="DC208" i="1"/>
  <c r="DD208" i="1" s="1"/>
  <c r="CI208" i="1"/>
  <c r="DD207" i="1"/>
  <c r="DC206" i="1"/>
  <c r="DD206" i="1" s="1"/>
  <c r="AM206" i="1"/>
  <c r="DC203" i="1"/>
  <c r="DD203" i="1" s="1"/>
  <c r="DD202" i="1"/>
  <c r="BQ202" i="1"/>
  <c r="BH202" i="1"/>
  <c r="O202" i="1"/>
  <c r="BG200" i="1"/>
  <c r="DC200" i="1" s="1"/>
  <c r="DD200" i="1" s="1"/>
  <c r="BE200" i="1"/>
  <c r="AM200" i="1"/>
  <c r="DD199" i="1"/>
  <c r="AG199" i="1"/>
  <c r="DC198" i="1"/>
  <c r="DD198" i="1" s="1"/>
  <c r="CI198" i="1"/>
  <c r="BB198" i="1"/>
  <c r="O198" i="1"/>
  <c r="DC197" i="1"/>
  <c r="DD197" i="1" s="1"/>
  <c r="CI197" i="1"/>
  <c r="BE197" i="1"/>
  <c r="AS197" i="1"/>
  <c r="AA197" i="1"/>
  <c r="O197" i="1"/>
  <c r="DC196" i="1"/>
  <c r="DD196" i="1" s="1"/>
  <c r="BQ196" i="1"/>
  <c r="BE196" i="1"/>
  <c r="AG196" i="1"/>
  <c r="U196" i="1"/>
  <c r="O196" i="1"/>
  <c r="DC195" i="1"/>
  <c r="DD195" i="1" s="1"/>
  <c r="R195" i="1"/>
  <c r="DC194" i="1"/>
  <c r="DD194" i="1" s="1"/>
  <c r="R194" i="1"/>
  <c r="DC193" i="1"/>
  <c r="DD193" i="1" s="1"/>
  <c r="CI193" i="1"/>
  <c r="BQ193" i="1"/>
  <c r="L193" i="1"/>
  <c r="DC192" i="1"/>
  <c r="DD192" i="1" s="1"/>
  <c r="DC190" i="1"/>
  <c r="DC189" i="1"/>
  <c r="DD189" i="1" s="1"/>
  <c r="DC188" i="1"/>
  <c r="DC187" i="1"/>
  <c r="DD187" i="1" s="1"/>
  <c r="CI187" i="1"/>
  <c r="BW187" i="1"/>
  <c r="BT187" i="1"/>
  <c r="AS187" i="1"/>
  <c r="DC186" i="1"/>
  <c r="DD186" i="1" s="1"/>
  <c r="CF186" i="1"/>
  <c r="BZ186" i="1"/>
  <c r="BW186" i="1"/>
  <c r="BT186" i="1"/>
  <c r="AS186" i="1"/>
  <c r="O186" i="1"/>
  <c r="DC185" i="1"/>
  <c r="DD185" i="1" s="1"/>
  <c r="DC183" i="1"/>
  <c r="BQ182" i="1"/>
  <c r="BN182" i="1"/>
  <c r="BG182" i="1"/>
  <c r="AM182" i="1"/>
  <c r="AG182" i="1"/>
  <c r="AA182" i="1"/>
  <c r="U182" i="1"/>
  <c r="O182" i="1"/>
  <c r="CX181" i="1"/>
  <c r="CU181" i="1"/>
  <c r="CI181" i="1"/>
  <c r="BZ181" i="1"/>
  <c r="BG181" i="1"/>
  <c r="DC181" i="1" s="1"/>
  <c r="DD181" i="1" s="1"/>
  <c r="O181" i="1"/>
  <c r="BW180" i="1"/>
  <c r="BT180" i="1"/>
  <c r="BG180" i="1"/>
  <c r="BH180" i="1" s="1"/>
  <c r="BE180" i="1"/>
  <c r="AS180" i="1"/>
  <c r="AG180" i="1"/>
  <c r="L180" i="1"/>
  <c r="DD179" i="1"/>
  <c r="BW179" i="1"/>
  <c r="BT179" i="1"/>
  <c r="DC178" i="1"/>
  <c r="DD178" i="1" s="1"/>
  <c r="CX178" i="1"/>
  <c r="CI178" i="1"/>
  <c r="BE178" i="1"/>
  <c r="CR177" i="1"/>
  <c r="CI177" i="1"/>
  <c r="BN177" i="1"/>
  <c r="BG177" i="1"/>
  <c r="U177" i="1"/>
  <c r="O177" i="1"/>
  <c r="L177" i="1"/>
  <c r="BG176" i="1"/>
  <c r="DC176" i="1" s="1"/>
  <c r="DD176" i="1" s="1"/>
  <c r="DC175" i="1"/>
  <c r="DD175" i="1" s="1"/>
  <c r="BQ175" i="1"/>
  <c r="AG175" i="1"/>
  <c r="R175" i="1"/>
  <c r="BG174" i="1"/>
  <c r="DC174" i="1" s="1"/>
  <c r="DD174" i="1" s="1"/>
  <c r="O174" i="1"/>
  <c r="BQ173" i="1"/>
  <c r="BN173" i="1"/>
  <c r="BG173" i="1"/>
  <c r="AV173" i="1"/>
  <c r="AP173" i="1"/>
  <c r="AM173" i="1"/>
  <c r="AG173" i="1"/>
  <c r="R173" i="1"/>
  <c r="L173" i="1"/>
  <c r="DC172" i="1"/>
  <c r="DD172" i="1" s="1"/>
  <c r="L172" i="1"/>
  <c r="DC171" i="1"/>
  <c r="DD171" i="1" s="1"/>
  <c r="DC170" i="1"/>
  <c r="DD170" i="1" s="1"/>
  <c r="CI170" i="1"/>
  <c r="BW170" i="1"/>
  <c r="BT170" i="1"/>
  <c r="AA170" i="1"/>
  <c r="O170" i="1"/>
  <c r="DC168" i="1"/>
  <c r="DD168" i="1" s="1"/>
  <c r="BW168" i="1"/>
  <c r="BT168" i="1"/>
  <c r="AS168" i="1"/>
  <c r="AA168" i="1"/>
  <c r="O168" i="1"/>
  <c r="BQ167" i="1"/>
  <c r="BN167" i="1"/>
  <c r="BG167" i="1"/>
  <c r="BH167" i="1" s="1"/>
  <c r="AY167" i="1"/>
  <c r="AV167" i="1"/>
  <c r="AM167" i="1"/>
  <c r="O167" i="1"/>
  <c r="L167" i="1"/>
  <c r="I167" i="1"/>
  <c r="DC166" i="1"/>
  <c r="DD166" i="1" s="1"/>
  <c r="AS166" i="1"/>
  <c r="AA166" i="1"/>
  <c r="DC165" i="1"/>
  <c r="DD165" i="1" s="1"/>
  <c r="DC164" i="1"/>
  <c r="DD164" i="1" s="1"/>
  <c r="BW163" i="1"/>
  <c r="BT163" i="1"/>
  <c r="BQ163" i="1"/>
  <c r="BG163" i="1"/>
  <c r="AM163" i="1"/>
  <c r="AG163" i="1"/>
  <c r="AA163" i="1"/>
  <c r="U163" i="1"/>
  <c r="O163" i="1"/>
  <c r="DC162" i="1"/>
  <c r="DD162" i="1" s="1"/>
  <c r="BW162" i="1"/>
  <c r="BT162" i="1"/>
  <c r="O162" i="1"/>
  <c r="CI161" i="1"/>
  <c r="BW161" i="1"/>
  <c r="BT161" i="1"/>
  <c r="BN161" i="1"/>
  <c r="BG161" i="1"/>
  <c r="DC161" i="1" s="1"/>
  <c r="DD161" i="1" s="1"/>
  <c r="BE161" i="1"/>
  <c r="AP161" i="1"/>
  <c r="AA161" i="1"/>
  <c r="U161" i="1"/>
  <c r="R161" i="1"/>
  <c r="O161" i="1"/>
  <c r="BN160" i="1"/>
  <c r="BG160" i="1"/>
  <c r="DC160" i="1" s="1"/>
  <c r="DD160" i="1" s="1"/>
  <c r="BN159" i="1"/>
  <c r="BG159" i="1"/>
  <c r="BH159" i="1" s="1"/>
  <c r="BE159" i="1"/>
  <c r="AG159" i="1"/>
  <c r="DC158" i="1"/>
  <c r="DD158" i="1" s="1"/>
  <c r="DA158" i="1"/>
  <c r="U158" i="1"/>
  <c r="O158" i="1"/>
  <c r="CI157" i="1"/>
  <c r="BW157" i="1"/>
  <c r="BT157" i="1"/>
  <c r="BG157" i="1"/>
  <c r="DC157" i="1" s="1"/>
  <c r="DD157" i="1" s="1"/>
  <c r="BE157" i="1"/>
  <c r="AA157" i="1"/>
  <c r="U157" i="1"/>
  <c r="O157" i="1"/>
  <c r="DA156" i="1"/>
  <c r="CI156" i="1"/>
  <c r="BW156" i="1"/>
  <c r="BT156" i="1"/>
  <c r="BG156" i="1"/>
  <c r="BE156" i="1"/>
  <c r="AP156" i="1"/>
  <c r="AM156" i="1"/>
  <c r="AG156" i="1"/>
  <c r="O156" i="1"/>
  <c r="BQ155" i="1"/>
  <c r="BN155" i="1"/>
  <c r="BK155" i="1"/>
  <c r="BG155" i="1"/>
  <c r="DC155" i="1" s="1"/>
  <c r="DD155" i="1" s="1"/>
  <c r="AY155" i="1"/>
  <c r="AV155" i="1"/>
  <c r="AP155" i="1"/>
  <c r="AM155" i="1"/>
  <c r="AG155" i="1"/>
  <c r="AA155" i="1"/>
  <c r="L155" i="1"/>
  <c r="DC154" i="1"/>
  <c r="DD154" i="1" s="1"/>
  <c r="DD153" i="1"/>
  <c r="O153" i="1"/>
  <c r="BZ152" i="1"/>
  <c r="BG152" i="1"/>
  <c r="DC152" i="1" s="1"/>
  <c r="DD152" i="1" s="1"/>
  <c r="DC151" i="1"/>
  <c r="DD151" i="1" s="1"/>
  <c r="AP151" i="1"/>
  <c r="AM151" i="1"/>
  <c r="DC149" i="1"/>
  <c r="DD147" i="1"/>
  <c r="BE147" i="1"/>
  <c r="AV147" i="1"/>
  <c r="R147" i="1"/>
  <c r="I147" i="1"/>
  <c r="BG146" i="1"/>
  <c r="DC146" i="1" s="1"/>
  <c r="DD146" i="1" s="1"/>
  <c r="AM146" i="1"/>
  <c r="DC145" i="1"/>
  <c r="DD145" i="1" s="1"/>
  <c r="BZ145" i="1"/>
  <c r="BE145" i="1"/>
  <c r="AA145" i="1"/>
  <c r="O145" i="1"/>
  <c r="BW144" i="1"/>
  <c r="BT144" i="1"/>
  <c r="BN144" i="1"/>
  <c r="BG144" i="1"/>
  <c r="BE144" i="1"/>
  <c r="AG144" i="1"/>
  <c r="O144" i="1"/>
  <c r="CI143" i="1"/>
  <c r="BG143" i="1"/>
  <c r="AG143" i="1"/>
  <c r="DD142" i="1"/>
  <c r="BW142" i="1"/>
  <c r="BT142" i="1"/>
  <c r="O142" i="1"/>
  <c r="DC140" i="1"/>
  <c r="DD140" i="1" s="1"/>
  <c r="DC139" i="1"/>
  <c r="DD139" i="1" s="1"/>
  <c r="DC138" i="1"/>
  <c r="DD138" i="1" s="1"/>
  <c r="DC137" i="1"/>
  <c r="DD137" i="1" s="1"/>
  <c r="BW136" i="1"/>
  <c r="BT136" i="1"/>
  <c r="BG136" i="1"/>
  <c r="DC136" i="1" s="1"/>
  <c r="DD136" i="1" s="1"/>
  <c r="BB136" i="1"/>
  <c r="AG136" i="1"/>
  <c r="AA136" i="1"/>
  <c r="R136" i="1"/>
  <c r="DC135" i="1"/>
  <c r="DD135" i="1" s="1"/>
  <c r="BW135" i="1"/>
  <c r="BT135" i="1"/>
  <c r="AS135" i="1"/>
  <c r="AA135" i="1"/>
  <c r="O135" i="1"/>
  <c r="DC134" i="1"/>
  <c r="DD134" i="1" s="1"/>
  <c r="BZ134" i="1"/>
  <c r="O134" i="1"/>
  <c r="DC133" i="1"/>
  <c r="DD133" i="1" s="1"/>
  <c r="O133" i="1"/>
  <c r="DC132" i="1"/>
  <c r="DD132" i="1" s="1"/>
  <c r="CI131" i="1"/>
  <c r="BN131" i="1"/>
  <c r="BG131" i="1"/>
  <c r="L131" i="1"/>
  <c r="DC130" i="1"/>
  <c r="DD130" i="1" s="1"/>
  <c r="BQ130" i="1"/>
  <c r="AY130" i="1"/>
  <c r="AV130" i="1"/>
  <c r="AP130" i="1"/>
  <c r="AM130" i="1"/>
  <c r="L130" i="1"/>
  <c r="I130" i="1"/>
  <c r="BQ129" i="1"/>
  <c r="BN129" i="1"/>
  <c r="BG129" i="1"/>
  <c r="AM129" i="1"/>
  <c r="AG129" i="1"/>
  <c r="U129" i="1"/>
  <c r="O129" i="1"/>
  <c r="DC128" i="1"/>
  <c r="DD128" i="1" s="1"/>
  <c r="BQ128" i="1"/>
  <c r="AV128" i="1"/>
  <c r="AG128" i="1"/>
  <c r="AA128" i="1"/>
  <c r="DC127" i="1"/>
  <c r="DD127" i="1" s="1"/>
  <c r="AA127" i="1"/>
  <c r="O127" i="1"/>
  <c r="BN126" i="1"/>
  <c r="BG126" i="1"/>
  <c r="AY126" i="1"/>
  <c r="AV126" i="1"/>
  <c r="L126" i="1"/>
  <c r="I126" i="1"/>
  <c r="BW125" i="1"/>
  <c r="BT125" i="1"/>
  <c r="BN125" i="1"/>
  <c r="BG125" i="1"/>
  <c r="U125" i="1"/>
  <c r="BQ124" i="1"/>
  <c r="BN124" i="1"/>
  <c r="BK124" i="1"/>
  <c r="BG124" i="1"/>
  <c r="BE124" i="1"/>
  <c r="AY124" i="1"/>
  <c r="AV124" i="1"/>
  <c r="AA124" i="1"/>
  <c r="DC123" i="1"/>
  <c r="DD123" i="1" s="1"/>
  <c r="AA123" i="1"/>
  <c r="BQ122" i="1"/>
  <c r="BN122" i="1"/>
  <c r="BK122" i="1"/>
  <c r="BG122" i="1"/>
  <c r="AV122" i="1"/>
  <c r="AP122" i="1"/>
  <c r="AM122" i="1"/>
  <c r="DC121" i="1"/>
  <c r="BQ120" i="1"/>
  <c r="BN120" i="1"/>
  <c r="BG120" i="1"/>
  <c r="BH120" i="1" s="1"/>
  <c r="AM120" i="1"/>
  <c r="BQ119" i="1"/>
  <c r="BG119" i="1"/>
  <c r="AG119" i="1"/>
  <c r="U119" i="1"/>
  <c r="O119" i="1"/>
  <c r="DC118" i="1"/>
  <c r="DD118" i="1" s="1"/>
  <c r="O118" i="1"/>
  <c r="DC117" i="1"/>
  <c r="DD117" i="1" s="1"/>
  <c r="CX117" i="1"/>
  <c r="CR117" i="1"/>
  <c r="CF117" i="1"/>
  <c r="BZ117" i="1"/>
  <c r="BB117" i="1"/>
  <c r="DC116" i="1"/>
  <c r="DD116" i="1" s="1"/>
  <c r="CC116" i="1"/>
  <c r="BZ116" i="1"/>
  <c r="BB116" i="1"/>
  <c r="O116" i="1"/>
  <c r="BW115" i="1"/>
  <c r="BT115" i="1"/>
  <c r="BG115" i="1"/>
  <c r="BH115" i="1" s="1"/>
  <c r="BE115" i="1"/>
  <c r="AV115" i="1"/>
  <c r="AM115" i="1"/>
  <c r="U115" i="1"/>
  <c r="R115" i="1"/>
  <c r="O115" i="1"/>
  <c r="I115" i="1"/>
  <c r="CI114" i="1"/>
  <c r="BW114" i="1"/>
  <c r="BT114" i="1"/>
  <c r="BG114" i="1"/>
  <c r="U114" i="1"/>
  <c r="DC113" i="1"/>
  <c r="DD113" i="1" s="1"/>
  <c r="AY113" i="1"/>
  <c r="AV113" i="1"/>
  <c r="L113" i="1"/>
  <c r="I113" i="1"/>
  <c r="BQ112" i="1"/>
  <c r="BN112" i="1"/>
  <c r="BK112" i="1"/>
  <c r="BG112" i="1"/>
  <c r="AM112" i="1"/>
  <c r="DC111" i="1"/>
  <c r="DD111" i="1" s="1"/>
  <c r="L111" i="1"/>
  <c r="I111" i="1"/>
  <c r="CR110" i="1"/>
  <c r="BW110" i="1"/>
  <c r="BT110" i="1"/>
  <c r="BG110" i="1"/>
  <c r="DC110" i="1" s="1"/>
  <c r="DD110" i="1" s="1"/>
  <c r="BE110" i="1"/>
  <c r="AG110" i="1"/>
  <c r="AA110" i="1"/>
  <c r="O110" i="1"/>
  <c r="BQ109" i="1"/>
  <c r="BN109" i="1"/>
  <c r="BG109" i="1"/>
  <c r="DC109" i="1" s="1"/>
  <c r="DD109" i="1" s="1"/>
  <c r="AS109" i="1"/>
  <c r="AP109" i="1"/>
  <c r="AM109" i="1"/>
  <c r="AG109" i="1"/>
  <c r="O109" i="1"/>
  <c r="BQ108" i="1"/>
  <c r="BN108" i="1"/>
  <c r="BG108" i="1"/>
  <c r="BE108" i="1"/>
  <c r="AM108" i="1"/>
  <c r="BQ107" i="1"/>
  <c r="BN107" i="1"/>
  <c r="BG107" i="1"/>
  <c r="DC107" i="1" s="1"/>
  <c r="DD107" i="1" s="1"/>
  <c r="DD106" i="1"/>
  <c r="BQ106" i="1"/>
  <c r="BH106" i="1"/>
  <c r="AG106" i="1"/>
  <c r="O106" i="1"/>
  <c r="DC105" i="1"/>
  <c r="DD105" i="1" s="1"/>
  <c r="CI105" i="1"/>
  <c r="AS105" i="1"/>
  <c r="U105" i="1"/>
  <c r="BG104" i="1"/>
  <c r="AS104" i="1"/>
  <c r="DC103" i="1"/>
  <c r="CI102" i="1"/>
  <c r="BW102" i="1"/>
  <c r="BT102" i="1"/>
  <c r="BN102" i="1"/>
  <c r="BG102" i="1"/>
  <c r="BE102" i="1"/>
  <c r="AG102" i="1"/>
  <c r="AA102" i="1"/>
  <c r="L102" i="1"/>
  <c r="BQ101" i="1"/>
  <c r="BN101" i="1"/>
  <c r="BG101" i="1"/>
  <c r="AY101" i="1"/>
  <c r="AV101" i="1"/>
  <c r="AM101" i="1"/>
  <c r="I101" i="1"/>
  <c r="DC100" i="1"/>
  <c r="DD100" i="1" s="1"/>
  <c r="CI100" i="1"/>
  <c r="AA100" i="1"/>
  <c r="U100" i="1"/>
  <c r="O100" i="1"/>
  <c r="DC99" i="1"/>
  <c r="DD99" i="1" s="1"/>
  <c r="DC98" i="1"/>
  <c r="DD98" i="1" s="1"/>
  <c r="CI98" i="1"/>
  <c r="AP98" i="1"/>
  <c r="BQ97" i="1"/>
  <c r="BN97" i="1"/>
  <c r="BG97" i="1"/>
  <c r="DC97" i="1" s="1"/>
  <c r="DD97" i="1" s="1"/>
  <c r="AM97" i="1"/>
  <c r="O97" i="1"/>
  <c r="BQ96" i="1"/>
  <c r="BN96" i="1"/>
  <c r="BK96" i="1"/>
  <c r="BG96" i="1"/>
  <c r="BB96" i="1"/>
  <c r="AM96" i="1"/>
  <c r="DC95" i="1"/>
  <c r="DD95" i="1" s="1"/>
  <c r="DC94" i="1"/>
  <c r="DD94" i="1" s="1"/>
  <c r="CI93" i="1"/>
  <c r="BG93" i="1"/>
  <c r="BH93" i="1" s="1"/>
  <c r="BB93" i="1"/>
  <c r="AG93" i="1"/>
  <c r="AA93" i="1"/>
  <c r="O93" i="1"/>
  <c r="DC92" i="1"/>
  <c r="DD92" i="1" s="1"/>
  <c r="DC91" i="1"/>
  <c r="DD91" i="1" s="1"/>
  <c r="BH91" i="1"/>
  <c r="AG91" i="1"/>
  <c r="BZ90" i="1"/>
  <c r="BG90" i="1"/>
  <c r="DC90" i="1" s="1"/>
  <c r="DD90" i="1" s="1"/>
  <c r="AP90" i="1"/>
  <c r="DA89" i="1"/>
  <c r="CI89" i="1"/>
  <c r="BQ89" i="1"/>
  <c r="BG89" i="1"/>
  <c r="AP89" i="1"/>
  <c r="AG89" i="1"/>
  <c r="AA89" i="1"/>
  <c r="O89" i="1"/>
  <c r="BQ88" i="1"/>
  <c r="BN88" i="1"/>
  <c r="BG88" i="1"/>
  <c r="BG87" i="1"/>
  <c r="BH87" i="1" s="1"/>
  <c r="AM87" i="1"/>
  <c r="BG86" i="1"/>
  <c r="DC86" i="1" s="1"/>
  <c r="DD86" i="1" s="1"/>
  <c r="BB86" i="1"/>
  <c r="AY86" i="1"/>
  <c r="AV86" i="1"/>
  <c r="L86" i="1"/>
  <c r="I86" i="1"/>
  <c r="BG85" i="1"/>
  <c r="DC85" i="1" s="1"/>
  <c r="DD85" i="1" s="1"/>
  <c r="AV85" i="1"/>
  <c r="DC84" i="1"/>
  <c r="DD84" i="1" s="1"/>
  <c r="DC83" i="1"/>
  <c r="DD83" i="1" s="1"/>
  <c r="DC82" i="1"/>
  <c r="DD82" i="1" s="1"/>
  <c r="DC81" i="1"/>
  <c r="DD81" i="1" s="1"/>
  <c r="DC80" i="1"/>
  <c r="DD80" i="1" s="1"/>
  <c r="DC79" i="1"/>
  <c r="DD79" i="1" s="1"/>
  <c r="DC78" i="1"/>
  <c r="DD78" i="1" s="1"/>
  <c r="DC77" i="1"/>
  <c r="DD77" i="1" s="1"/>
  <c r="BW77" i="1"/>
  <c r="BT77" i="1"/>
  <c r="O77" i="1"/>
  <c r="CX76" i="1"/>
  <c r="CI76" i="1"/>
  <c r="BZ76" i="1"/>
  <c r="BG76" i="1"/>
  <c r="DC76" i="1" s="1"/>
  <c r="DD76" i="1" s="1"/>
  <c r="AS76" i="1"/>
  <c r="AA76" i="1"/>
  <c r="R76" i="1"/>
  <c r="O76" i="1"/>
  <c r="DC75" i="1"/>
  <c r="DD75" i="1" s="1"/>
  <c r="BN74" i="1"/>
  <c r="BG74" i="1"/>
  <c r="BH74" i="1" s="1"/>
  <c r="DC73" i="1"/>
  <c r="DD73" i="1" s="1"/>
  <c r="BW73" i="1"/>
  <c r="BT73" i="1"/>
  <c r="O73" i="1"/>
  <c r="DC72" i="1"/>
  <c r="DD72" i="1" s="1"/>
  <c r="CI72" i="1"/>
  <c r="BH72" i="1"/>
  <c r="AG72" i="1"/>
  <c r="O72" i="1"/>
  <c r="DC71" i="1"/>
  <c r="DD71" i="1" s="1"/>
  <c r="BW71" i="1"/>
  <c r="BT71" i="1"/>
  <c r="O71" i="1"/>
  <c r="DC70" i="1"/>
  <c r="DD70" i="1" s="1"/>
  <c r="DD69" i="1"/>
  <c r="CI69" i="1"/>
  <c r="AP69" i="1"/>
  <c r="U69" i="1"/>
  <c r="R69" i="1"/>
  <c r="O69" i="1"/>
  <c r="DC68" i="1"/>
  <c r="DD68" i="1" s="1"/>
  <c r="BW68" i="1"/>
  <c r="BT68" i="1"/>
  <c r="BQ68" i="1"/>
  <c r="BK68" i="1"/>
  <c r="BH68" i="1"/>
  <c r="AV68" i="1"/>
  <c r="AP68" i="1"/>
  <c r="AG68" i="1"/>
  <c r="U68" i="1"/>
  <c r="L68" i="1"/>
  <c r="I68" i="1"/>
  <c r="DA67" i="1"/>
  <c r="CI67" i="1"/>
  <c r="BW67" i="1"/>
  <c r="BT67" i="1"/>
  <c r="BN67" i="1"/>
  <c r="BG67" i="1"/>
  <c r="BE67" i="1"/>
  <c r="AM67" i="1"/>
  <c r="AG67" i="1"/>
  <c r="AA67" i="1"/>
  <c r="R67" i="1"/>
  <c r="O67" i="1"/>
  <c r="BQ66" i="1"/>
  <c r="BN66" i="1"/>
  <c r="BK66" i="1"/>
  <c r="BG66" i="1"/>
  <c r="DC66" i="1" s="1"/>
  <c r="DD66" i="1" s="1"/>
  <c r="AV66" i="1"/>
  <c r="AM66" i="1"/>
  <c r="DC65" i="1"/>
  <c r="DD65" i="1" s="1"/>
  <c r="AS65" i="1"/>
  <c r="AG65" i="1"/>
  <c r="R65" i="1"/>
  <c r="DC64" i="1"/>
  <c r="DD64" i="1" s="1"/>
  <c r="L64" i="1"/>
  <c r="I64" i="1"/>
  <c r="DA63" i="1"/>
  <c r="CI63" i="1"/>
  <c r="BW63" i="1"/>
  <c r="BT63" i="1"/>
  <c r="BN63" i="1"/>
  <c r="BK63" i="1"/>
  <c r="BG63" i="1"/>
  <c r="AM63" i="1"/>
  <c r="AG63" i="1"/>
  <c r="U63" i="1"/>
  <c r="BG62" i="1"/>
  <c r="AA62" i="1"/>
  <c r="O62" i="1"/>
  <c r="DC61" i="1"/>
  <c r="DD61" i="1" s="1"/>
  <c r="R61" i="1"/>
  <c r="O61" i="1"/>
  <c r="BQ60" i="1"/>
  <c r="BN60" i="1"/>
  <c r="BK60" i="1"/>
  <c r="BG60" i="1"/>
  <c r="AY60" i="1"/>
  <c r="AV60" i="1"/>
  <c r="AM60" i="1"/>
  <c r="L60" i="1"/>
  <c r="I60" i="1"/>
  <c r="BW59" i="1"/>
  <c r="BT59" i="1"/>
  <c r="BQ59" i="1"/>
  <c r="BG59" i="1"/>
  <c r="DC59" i="1" s="1"/>
  <c r="DD59" i="1" s="1"/>
  <c r="U59" i="1"/>
  <c r="O59" i="1"/>
  <c r="BQ58" i="1"/>
  <c r="BG58" i="1"/>
  <c r="BE58" i="1"/>
  <c r="AG58" i="1"/>
  <c r="L58" i="1"/>
  <c r="I58" i="1"/>
  <c r="DA56" i="1"/>
  <c r="CI56" i="1"/>
  <c r="BW56" i="1"/>
  <c r="BT56" i="1"/>
  <c r="BG56" i="1"/>
  <c r="AP56" i="1"/>
  <c r="AG56" i="1"/>
  <c r="AA56" i="1"/>
  <c r="U56" i="1"/>
  <c r="R56" i="1"/>
  <c r="O56" i="1"/>
  <c r="DC55" i="1"/>
  <c r="DD55" i="1" s="1"/>
  <c r="CX55" i="1"/>
  <c r="CU55" i="1"/>
  <c r="BW55" i="1"/>
  <c r="BT55" i="1"/>
  <c r="U55" i="1"/>
  <c r="O55" i="1"/>
  <c r="CI54" i="1"/>
  <c r="BN54" i="1"/>
  <c r="BG54" i="1"/>
  <c r="AS54" i="1"/>
  <c r="CR53" i="1"/>
  <c r="CI53" i="1"/>
  <c r="BN53" i="1"/>
  <c r="BG53" i="1"/>
  <c r="AV53" i="1"/>
  <c r="AG53" i="1"/>
  <c r="AA53" i="1"/>
  <c r="BQ52" i="1"/>
  <c r="BN52" i="1"/>
  <c r="BK52" i="1"/>
  <c r="BG52" i="1"/>
  <c r="AP52" i="1"/>
  <c r="AM52" i="1"/>
  <c r="BG51" i="1"/>
  <c r="DC51" i="1" s="1"/>
  <c r="DA50" i="1"/>
  <c r="CU50" i="1"/>
  <c r="BG50" i="1"/>
  <c r="BH50" i="1" s="1"/>
  <c r="AA50" i="1"/>
  <c r="U50" i="1"/>
  <c r="O50" i="1"/>
  <c r="BW49" i="1"/>
  <c r="BT49" i="1"/>
  <c r="BN49" i="1"/>
  <c r="BG49" i="1"/>
  <c r="AS49" i="1"/>
  <c r="AG49" i="1"/>
  <c r="U49" i="1"/>
  <c r="DC48" i="1"/>
  <c r="DD48" i="1" s="1"/>
  <c r="AV48" i="1"/>
  <c r="L48" i="1"/>
  <c r="I48" i="1"/>
  <c r="DC47" i="1"/>
  <c r="DD47" i="1" s="1"/>
  <c r="L47" i="1"/>
  <c r="BG46" i="1"/>
  <c r="DC46" i="1" s="1"/>
  <c r="DD46" i="1" s="1"/>
  <c r="DC44" i="1"/>
  <c r="DD44" i="1" s="1"/>
  <c r="CU44" i="1"/>
  <c r="AY44" i="1"/>
  <c r="AV44" i="1"/>
  <c r="L44" i="1"/>
  <c r="I44" i="1"/>
  <c r="DC43" i="1"/>
  <c r="DD43" i="1" s="1"/>
  <c r="CF42" i="1"/>
  <c r="BQ42" i="1"/>
  <c r="BN42" i="1"/>
  <c r="BK42" i="1"/>
  <c r="BG42" i="1"/>
  <c r="DC42" i="1" s="1"/>
  <c r="DD42" i="1" s="1"/>
  <c r="AV42" i="1"/>
  <c r="AM42" i="1"/>
  <c r="AG42" i="1"/>
  <c r="AA42" i="1"/>
  <c r="R42" i="1"/>
  <c r="O42" i="1"/>
  <c r="BQ41" i="1"/>
  <c r="BN41" i="1"/>
  <c r="BG41" i="1"/>
  <c r="DC41" i="1" s="1"/>
  <c r="DD41" i="1" s="1"/>
  <c r="AV41" i="1"/>
  <c r="AP41" i="1"/>
  <c r="AM41" i="1"/>
  <c r="AG41" i="1"/>
  <c r="CR40" i="1"/>
  <c r="BQ40" i="1"/>
  <c r="BN40" i="1"/>
  <c r="BG40" i="1"/>
  <c r="DC40" i="1" s="1"/>
  <c r="DD40" i="1" s="1"/>
  <c r="CX39" i="1"/>
  <c r="CR39" i="1"/>
  <c r="CI39" i="1"/>
  <c r="BT39" i="1"/>
  <c r="BQ39" i="1"/>
  <c r="BG39" i="1"/>
  <c r="DC39" i="1" s="1"/>
  <c r="DD39" i="1" s="1"/>
  <c r="BE39" i="1"/>
  <c r="AS39" i="1"/>
  <c r="AA39" i="1"/>
  <c r="U39" i="1"/>
  <c r="O39" i="1"/>
  <c r="DC38" i="1"/>
  <c r="DD38" i="1" s="1"/>
  <c r="U38" i="1"/>
  <c r="BG37" i="1"/>
  <c r="BH37" i="1" s="1"/>
  <c r="AS37" i="1"/>
  <c r="AG37" i="1"/>
  <c r="AA37" i="1"/>
  <c r="U37" i="1"/>
  <c r="DC36" i="1"/>
  <c r="DD36" i="1" s="1"/>
  <c r="BW36" i="1"/>
  <c r="BT36" i="1"/>
  <c r="AG36" i="1"/>
  <c r="CU34" i="1"/>
  <c r="CI34" i="1"/>
  <c r="CF34" i="1"/>
  <c r="BW34" i="1"/>
  <c r="BT34" i="1"/>
  <c r="BQ34" i="1"/>
  <c r="BN34" i="1"/>
  <c r="BK34" i="1"/>
  <c r="BG34" i="1"/>
  <c r="BH34" i="1" s="1"/>
  <c r="BB34" i="1"/>
  <c r="AS34" i="1"/>
  <c r="AP34" i="1"/>
  <c r="AM34" i="1"/>
  <c r="AG34" i="1"/>
  <c r="AA34" i="1"/>
  <c r="U34" i="1"/>
  <c r="R34" i="1"/>
  <c r="O34" i="1"/>
  <c r="DC33" i="1"/>
  <c r="DD33" i="1" s="1"/>
  <c r="BQ32" i="1"/>
  <c r="BN32" i="1"/>
  <c r="BG32" i="1"/>
  <c r="DC32" i="1" s="1"/>
  <c r="DD32" i="1" s="1"/>
  <c r="CI31" i="1"/>
  <c r="BN31" i="1"/>
  <c r="BK31" i="1"/>
  <c r="BG31" i="1"/>
  <c r="AG31" i="1"/>
  <c r="L31" i="1"/>
  <c r="BQ30" i="1"/>
  <c r="BN30" i="1"/>
  <c r="BG30" i="1"/>
  <c r="BH30" i="1" s="1"/>
  <c r="AM30" i="1"/>
  <c r="BN29" i="1"/>
  <c r="BH29" i="1"/>
  <c r="BG29" i="1"/>
  <c r="DC29" i="1" s="1"/>
  <c r="DD29" i="1" s="1"/>
  <c r="AG29" i="1"/>
  <c r="AA29" i="1"/>
  <c r="O29" i="1"/>
  <c r="BQ28" i="1"/>
  <c r="BG28" i="1"/>
  <c r="DC28" i="1" s="1"/>
  <c r="DD28" i="1" s="1"/>
  <c r="BE28" i="1"/>
  <c r="AY28" i="1"/>
  <c r="AV28" i="1"/>
  <c r="AP28" i="1"/>
  <c r="AM28" i="1"/>
  <c r="L28" i="1"/>
  <c r="I28" i="1"/>
  <c r="DC27" i="1"/>
  <c r="DD27" i="1" s="1"/>
  <c r="BW26" i="1"/>
  <c r="BT26" i="1"/>
  <c r="BG26" i="1"/>
  <c r="BH26" i="1" s="1"/>
  <c r="AG26" i="1"/>
  <c r="AA26" i="1"/>
  <c r="CI25" i="1"/>
  <c r="BG25" i="1"/>
  <c r="DC25" i="1" s="1"/>
  <c r="DD25" i="1" s="1"/>
  <c r="U25" i="1"/>
  <c r="R25" i="1"/>
  <c r="O25" i="1"/>
  <c r="DC24" i="1"/>
  <c r="DD24" i="1" s="1"/>
  <c r="AS24" i="1"/>
  <c r="AG24" i="1"/>
  <c r="AA24" i="1"/>
  <c r="O24" i="1"/>
  <c r="DA23" i="1"/>
  <c r="CU23" i="1"/>
  <c r="CI23" i="1"/>
  <c r="BG23" i="1"/>
  <c r="DC23" i="1" s="1"/>
  <c r="DD23" i="1" s="1"/>
  <c r="AA23" i="1"/>
  <c r="U23" i="1"/>
  <c r="O23" i="1"/>
  <c r="BN22" i="1"/>
  <c r="BG22" i="1"/>
  <c r="DC22" i="1" s="1"/>
  <c r="DD22" i="1" s="1"/>
  <c r="BQ21" i="1"/>
  <c r="BK21" i="1"/>
  <c r="BG21" i="1"/>
  <c r="DC21" i="1" s="1"/>
  <c r="DD21" i="1" s="1"/>
  <c r="AV21" i="1"/>
  <c r="AG21" i="1"/>
  <c r="R21" i="1"/>
  <c r="L21" i="1"/>
  <c r="BG20" i="1"/>
  <c r="DC20" i="1" s="1"/>
  <c r="DD20" i="1" s="1"/>
  <c r="O20" i="1"/>
  <c r="L20" i="1"/>
  <c r="DC19" i="1"/>
  <c r="DD19" i="1" s="1"/>
  <c r="BQ19" i="1"/>
  <c r="AY19" i="1"/>
  <c r="AV19" i="1"/>
  <c r="L19" i="1"/>
  <c r="I19" i="1"/>
  <c r="DC18" i="1"/>
  <c r="DD18" i="1" s="1"/>
  <c r="CI18" i="1"/>
  <c r="CI17" i="1"/>
  <c r="BQ17" i="1"/>
  <c r="BN17" i="1"/>
  <c r="BK17" i="1"/>
  <c r="BG17" i="1"/>
  <c r="AV17" i="1"/>
  <c r="AP17" i="1"/>
  <c r="CX16" i="1"/>
  <c r="CU16" i="1"/>
  <c r="CI16" i="1"/>
  <c r="BW16" i="1"/>
  <c r="BT16" i="1"/>
  <c r="BK16" i="1"/>
  <c r="BG16" i="1"/>
  <c r="DC16" i="1" s="1"/>
  <c r="DD16" i="1" s="1"/>
  <c r="AS16" i="1"/>
  <c r="AG16" i="1"/>
  <c r="AA16" i="1"/>
  <c r="U16" i="1"/>
  <c r="O16" i="1"/>
  <c r="BN15" i="1"/>
  <c r="BG15" i="1"/>
  <c r="DC15" i="1" s="1"/>
  <c r="DD15" i="1" s="1"/>
  <c r="AA15" i="1"/>
  <c r="O15" i="1"/>
  <c r="CI14" i="1"/>
  <c r="BG14" i="1"/>
  <c r="DC14" i="1" s="1"/>
  <c r="DD14" i="1" s="1"/>
  <c r="AG14" i="1"/>
  <c r="CR13" i="1"/>
  <c r="BW13" i="1"/>
  <c r="BN13" i="1"/>
  <c r="BK13" i="1"/>
  <c r="BG13" i="1"/>
  <c r="AP13" i="1"/>
  <c r="AM13" i="1"/>
  <c r="AG13" i="1"/>
  <c r="AA13" i="1"/>
  <c r="U13" i="1"/>
  <c r="L13" i="1"/>
  <c r="DA12" i="1"/>
  <c r="CI12" i="1"/>
  <c r="BW12" i="1"/>
  <c r="BT12" i="1"/>
  <c r="BQ12" i="1"/>
  <c r="BN12" i="1"/>
  <c r="BK12" i="1"/>
  <c r="BG12" i="1"/>
  <c r="DC12" i="1" s="1"/>
  <c r="DD12" i="1" s="1"/>
  <c r="AY12" i="1"/>
  <c r="AV12" i="1"/>
  <c r="AA12" i="1"/>
  <c r="U12" i="1"/>
  <c r="R12" i="1"/>
  <c r="O12" i="1"/>
  <c r="CU11" i="1"/>
  <c r="CI11" i="1"/>
  <c r="BG11" i="1"/>
  <c r="BH11" i="1" s="1"/>
  <c r="AG11" i="1"/>
  <c r="O11" i="1"/>
  <c r="CI10" i="1"/>
  <c r="BW10" i="1"/>
  <c r="BT10" i="1"/>
  <c r="BN10" i="1"/>
  <c r="BG10" i="1"/>
  <c r="DC10" i="1" s="1"/>
  <c r="DD10" i="1" s="1"/>
  <c r="BE10" i="1"/>
  <c r="AG10" i="1"/>
  <c r="AA10" i="1"/>
  <c r="U10" i="1"/>
  <c r="O10" i="1"/>
  <c r="CI9" i="1"/>
  <c r="BW9" i="1"/>
  <c r="BT9" i="1"/>
  <c r="BN9" i="1"/>
  <c r="BK9" i="1"/>
  <c r="BG9" i="1"/>
  <c r="BE9" i="1"/>
  <c r="AV9" i="1"/>
  <c r="AS9" i="1"/>
  <c r="AA9" i="1"/>
  <c r="U9" i="1"/>
  <c r="L9" i="1"/>
  <c r="CI8" i="1"/>
  <c r="BW8" i="1"/>
  <c r="BT8" i="1"/>
  <c r="BQ8" i="1"/>
  <c r="BN8" i="1"/>
  <c r="BK8" i="1"/>
  <c r="BG8" i="1"/>
  <c r="DC8" i="1" s="1"/>
  <c r="DD8" i="1" s="1"/>
  <c r="AS8" i="1"/>
  <c r="AM8" i="1"/>
  <c r="U8" i="1"/>
  <c r="O8" i="1"/>
  <c r="BG7" i="1"/>
  <c r="DC7" i="1" s="1"/>
  <c r="DD7" i="1" s="1"/>
  <c r="BE7" i="1"/>
  <c r="AY7" i="1"/>
  <c r="L7" i="1"/>
  <c r="I7" i="1"/>
  <c r="BN6" i="1"/>
  <c r="BG6" i="1"/>
  <c r="DC6" i="1" s="1"/>
  <c r="DD6" i="1" s="1"/>
  <c r="AM6" i="1"/>
  <c r="AG6" i="1"/>
  <c r="AA6" i="1"/>
  <c r="DC5" i="1"/>
  <c r="CX4" i="1"/>
  <c r="CU4" i="1"/>
  <c r="CR4" i="1"/>
  <c r="CI4" i="1"/>
  <c r="BG4" i="1"/>
  <c r="DC4" i="1" s="1"/>
  <c r="DD4" i="1" s="1"/>
  <c r="AS4" i="1"/>
  <c r="AM4" i="1"/>
  <c r="AJ4" i="1"/>
  <c r="AA4" i="1"/>
  <c r="U4" i="1"/>
  <c r="O4" i="1"/>
  <c r="BG3" i="1"/>
  <c r="DC3" i="1" s="1"/>
  <c r="DD3" i="1" s="1"/>
  <c r="AY3" i="1"/>
  <c r="AV3" i="1"/>
  <c r="L3" i="1"/>
  <c r="I3" i="1"/>
  <c r="DC2" i="1"/>
  <c r="DD2" i="1" s="1"/>
  <c r="BW2" i="1"/>
  <c r="BT2" i="1"/>
  <c r="O2" i="1"/>
  <c r="BH21" i="1" l="1"/>
  <c r="BH22" i="1"/>
  <c r="DC34" i="1"/>
  <c r="DD34" i="1" s="1"/>
  <c r="BH16" i="1"/>
  <c r="DC37" i="1"/>
  <c r="DD37" i="1" s="1"/>
  <c r="BH42" i="1"/>
  <c r="BH296" i="1"/>
  <c r="BH23" i="1"/>
  <c r="BH224" i="1"/>
  <c r="BH291" i="1"/>
  <c r="DC17" i="1"/>
  <c r="DD17" i="1" s="1"/>
  <c r="BH17" i="1"/>
  <c r="DC31" i="1"/>
  <c r="DD31" i="1" s="1"/>
  <c r="BH31" i="1"/>
  <c r="DC9" i="1"/>
  <c r="DD9" i="1" s="1"/>
  <c r="BH9" i="1"/>
  <c r="DC125" i="1"/>
  <c r="DD125" i="1" s="1"/>
  <c r="BH125" i="1"/>
  <c r="DC13" i="1"/>
  <c r="DD13" i="1" s="1"/>
  <c r="BH13" i="1"/>
  <c r="DC52" i="1"/>
  <c r="DD52" i="1" s="1"/>
  <c r="BH52" i="1"/>
  <c r="BH6" i="1"/>
  <c r="BH10" i="1"/>
  <c r="BH15" i="1"/>
  <c r="BH46" i="1"/>
  <c r="BH66" i="1"/>
  <c r="DC87" i="1"/>
  <c r="DD87" i="1" s="1"/>
  <c r="BH97" i="1"/>
  <c r="DC182" i="1"/>
  <c r="DD182" i="1" s="1"/>
  <c r="BH182" i="1"/>
  <c r="BH40" i="1"/>
  <c r="DC88" i="1"/>
  <c r="DD88" i="1" s="1"/>
  <c r="BH88" i="1"/>
  <c r="DC159" i="1"/>
  <c r="DD159" i="1" s="1"/>
  <c r="DC177" i="1"/>
  <c r="DD177" i="1" s="1"/>
  <c r="BH177" i="1"/>
  <c r="DC173" i="1"/>
  <c r="DD173" i="1" s="1"/>
  <c r="BH173" i="1"/>
  <c r="BH104" i="1"/>
  <c r="DC104" i="1"/>
  <c r="DD104" i="1" s="1"/>
  <c r="DC124" i="1"/>
  <c r="DD124" i="1" s="1"/>
  <c r="BH124" i="1"/>
  <c r="DC53" i="1"/>
  <c r="DD53" i="1" s="1"/>
  <c r="BH53" i="1"/>
  <c r="BH8" i="1"/>
  <c r="BH20" i="1"/>
  <c r="BH25" i="1"/>
  <c r="BH41" i="1"/>
  <c r="DC101" i="1"/>
  <c r="DD101" i="1" s="1"/>
  <c r="BH101" i="1"/>
  <c r="DC122" i="1"/>
  <c r="DD122" i="1" s="1"/>
  <c r="BH122" i="1"/>
  <c r="DC126" i="1"/>
  <c r="DD126" i="1" s="1"/>
  <c r="BH126" i="1"/>
  <c r="DC108" i="1"/>
  <c r="DD108" i="1" s="1"/>
  <c r="BH108" i="1"/>
  <c r="DC143" i="1"/>
  <c r="DD143" i="1" s="1"/>
  <c r="BH143" i="1"/>
  <c r="DC74" i="1"/>
  <c r="DD74" i="1" s="1"/>
  <c r="DC93" i="1"/>
  <c r="DD93" i="1" s="1"/>
  <c r="DC115" i="1"/>
  <c r="DD115" i="1" s="1"/>
  <c r="BH59" i="1"/>
  <c r="BH107" i="1"/>
  <c r="BH109" i="1"/>
  <c r="BH156" i="1"/>
  <c r="DC156" i="1"/>
  <c r="DD156" i="1" s="1"/>
  <c r="BH160" i="1"/>
  <c r="BH161" i="1"/>
  <c r="DC26" i="1"/>
  <c r="DD26" i="1" s="1"/>
  <c r="DC30" i="1"/>
  <c r="DD30" i="1" s="1"/>
  <c r="BH54" i="1"/>
  <c r="DC54" i="1"/>
  <c r="DD54" i="1" s="1"/>
  <c r="BH63" i="1"/>
  <c r="DC63" i="1"/>
  <c r="DD63" i="1" s="1"/>
  <c r="BH4" i="1"/>
  <c r="DC11" i="1"/>
  <c r="DD11" i="1" s="1"/>
  <c r="BH32" i="1"/>
  <c r="BH58" i="1"/>
  <c r="DC58" i="1"/>
  <c r="DD58" i="1" s="1"/>
  <c r="BH12" i="1"/>
  <c r="DC56" i="1"/>
  <c r="DD56" i="1" s="1"/>
  <c r="BH56" i="1"/>
  <c r="DC89" i="1"/>
  <c r="DD89" i="1" s="1"/>
  <c r="BH89" i="1"/>
  <c r="BH39" i="1"/>
  <c r="DC112" i="1"/>
  <c r="DD112" i="1" s="1"/>
  <c r="BH112" i="1"/>
  <c r="DC119" i="1"/>
  <c r="DD119" i="1" s="1"/>
  <c r="BH119" i="1"/>
  <c r="DC49" i="1"/>
  <c r="DD49" i="1" s="1"/>
  <c r="BH49" i="1"/>
  <c r="DC50" i="1"/>
  <c r="DD50" i="1" s="1"/>
  <c r="DC67" i="1"/>
  <c r="DD67" i="1" s="1"/>
  <c r="BH67" i="1"/>
  <c r="BH102" i="1"/>
  <c r="DC102" i="1"/>
  <c r="DD102" i="1" s="1"/>
  <c r="DC120" i="1"/>
  <c r="DD120" i="1" s="1"/>
  <c r="BH129" i="1"/>
  <c r="DC129" i="1"/>
  <c r="DD129" i="1" s="1"/>
  <c r="BH62" i="1"/>
  <c r="DC62" i="1"/>
  <c r="DD62" i="1" s="1"/>
  <c r="BH131" i="1"/>
  <c r="DC131" i="1"/>
  <c r="DD131" i="1" s="1"/>
  <c r="DC96" i="1"/>
  <c r="DD96" i="1" s="1"/>
  <c r="BH96" i="1"/>
  <c r="DC114" i="1"/>
  <c r="DD114" i="1" s="1"/>
  <c r="BH114" i="1"/>
  <c r="DC60" i="1"/>
  <c r="DD60" i="1" s="1"/>
  <c r="BH60" i="1"/>
  <c r="DC144" i="1"/>
  <c r="DD144" i="1" s="1"/>
  <c r="BH144" i="1"/>
  <c r="DC163" i="1"/>
  <c r="DD163" i="1" s="1"/>
  <c r="BH163" i="1"/>
  <c r="DC167" i="1"/>
  <c r="DD167" i="1" s="1"/>
  <c r="DC180" i="1"/>
  <c r="DD180" i="1" s="1"/>
  <c r="BH155" i="1"/>
  <c r="BH176" i="1"/>
  <c r="BH312" i="1"/>
</calcChain>
</file>

<file path=xl/sharedStrings.xml><?xml version="1.0" encoding="utf-8"?>
<sst xmlns="http://schemas.openxmlformats.org/spreadsheetml/2006/main" count="3785" uniqueCount="1295">
  <si>
    <t>ID</t>
  </si>
  <si>
    <t>Sales Person (Sales Team)</t>
  </si>
  <si>
    <t>Coordinators</t>
  </si>
  <si>
    <t>Customer Name</t>
  </si>
  <si>
    <t>Customer Group</t>
  </si>
  <si>
    <t>Zone</t>
  </si>
  <si>
    <t>HIKVISION</t>
  </si>
  <si>
    <t>ACH</t>
  </si>
  <si>
    <t>ACH%</t>
  </si>
  <si>
    <t>EZVIZ</t>
  </si>
  <si>
    <t>EPSON</t>
  </si>
  <si>
    <t>MARSRIVA UPS</t>
  </si>
  <si>
    <t>LOGITECH</t>
  </si>
  <si>
    <t>SPEAKER</t>
  </si>
  <si>
    <t>DIGITALX UPS</t>
  </si>
  <si>
    <t>HIKSEMI</t>
  </si>
  <si>
    <t>MICROPACK</t>
  </si>
  <si>
    <t>XP-PEN</t>
  </si>
  <si>
    <t>C-Data</t>
  </si>
  <si>
    <t>Mikrotik</t>
  </si>
  <si>
    <t>LENOVO</t>
  </si>
  <si>
    <t>TP-LINK TAPO</t>
  </si>
  <si>
    <t>TP-LINK VIGI</t>
  </si>
  <si>
    <t>HIK IFPD</t>
  </si>
  <si>
    <t>Dahua Monitor</t>
  </si>
  <si>
    <t>TP-LINK</t>
  </si>
  <si>
    <t xml:space="preserve"> OMADA</t>
  </si>
  <si>
    <t>MERCUSYS</t>
  </si>
  <si>
    <t xml:space="preserve">MARSRIVA DC </t>
  </si>
  <si>
    <t>PANTUM</t>
  </si>
  <si>
    <t>DIGITAL_X TONER</t>
  </si>
  <si>
    <t>OPTOMA</t>
  </si>
  <si>
    <t xml:space="preserve">METZ </t>
  </si>
  <si>
    <t>KYOCERA</t>
  </si>
  <si>
    <t>GRANDSTREAM</t>
  </si>
  <si>
    <t>AVER</t>
  </si>
  <si>
    <t>DATEUP</t>
  </si>
  <si>
    <t>HUAWEI</t>
  </si>
  <si>
    <t>ROSENBERGER</t>
  </si>
  <si>
    <t>COMMSCOPE</t>
  </si>
  <si>
    <t>CISCO</t>
  </si>
  <si>
    <t>ETLCUST-03704</t>
  </si>
  <si>
    <t>Zakir Hossain</t>
  </si>
  <si>
    <t xml:space="preserve">Mr. Md. Kamrul Hasan </t>
  </si>
  <si>
    <t>TUBA TRADE INTERNATIONAL - MOTIJHEEL</t>
  </si>
  <si>
    <t>CG - MOTIJHEEL</t>
  </si>
  <si>
    <t>Motijheel</t>
  </si>
  <si>
    <t>ETLCUST-04451</t>
  </si>
  <si>
    <t>Md. Sahedul Islam</t>
  </si>
  <si>
    <t>AYAAN INFO TECH - BAITUL MUKARRAM</t>
  </si>
  <si>
    <t>ETLCUST-00139</t>
  </si>
  <si>
    <t>Dulal Sarker</t>
  </si>
  <si>
    <t xml:space="preserve">Mr. Ajit Kumar Dey </t>
  </si>
  <si>
    <t>IT VISTA - UTTARA</t>
  </si>
  <si>
    <t>CG - UTTARA</t>
  </si>
  <si>
    <t>Uttara</t>
  </si>
  <si>
    <t>ETLCUST-04079</t>
  </si>
  <si>
    <t>TAQWA TECHNOLOGY - UTTARA</t>
  </si>
  <si>
    <t>ETLCUST-03804</t>
  </si>
  <si>
    <t>Noor Hossain</t>
  </si>
  <si>
    <t>HIMU COMPUTER - JURAIN</t>
  </si>
  <si>
    <t>CG - GULISTAN</t>
  </si>
  <si>
    <t>Gulistan</t>
  </si>
  <si>
    <t>ETLCUST-04769</t>
  </si>
  <si>
    <t>GREEN BANGLA TECH - UTTARA</t>
  </si>
  <si>
    <t>ETLCUST-00138</t>
  </si>
  <si>
    <t>A TO Z COMPUTER - UTTARA</t>
  </si>
  <si>
    <t>ETLCUST-00135</t>
  </si>
  <si>
    <t>MARUF COMPUTER AND TELECOM - UTTARA</t>
  </si>
  <si>
    <t>ETLCUST-00136</t>
  </si>
  <si>
    <t>EASY TECH - UTTARA</t>
  </si>
  <si>
    <t>ETLCUST-00151</t>
  </si>
  <si>
    <t>S B COMPUTER ZONE - UTTARA</t>
  </si>
  <si>
    <t>ETLCUST-00367</t>
  </si>
  <si>
    <t>Jiku Saha</t>
  </si>
  <si>
    <t>TALUKDER COMPUTERS AND SOLUTIONS LTD - BANANI</t>
  </si>
  <si>
    <t>ETLCUST-03073</t>
  </si>
  <si>
    <t>Md Kamrul Hasan Sabuz</t>
  </si>
  <si>
    <t>SMART COMPUTER - JATRABARI</t>
  </si>
  <si>
    <t>ETLCUST-00117</t>
  </si>
  <si>
    <t>BADHAN VERITIES STORE - UTTARA</t>
  </si>
  <si>
    <t>ETLCUST-00374</t>
  </si>
  <si>
    <t>LYRIC COMPUTER - GULSHAN</t>
  </si>
  <si>
    <t>ETLCUST-00373</t>
  </si>
  <si>
    <t>BROTHERS ENTERPRISE - GULSHAN</t>
  </si>
  <si>
    <t>ETLCUST-03724</t>
  </si>
  <si>
    <t>INFINITY SOLUTION - MOTIJHEEL</t>
  </si>
  <si>
    <t>ETLCUST-01888</t>
  </si>
  <si>
    <t>AMIN DIGITAL TECHNOLOGY - BAITUL MUKARRAM</t>
  </si>
  <si>
    <t>ETLCUST-01891</t>
  </si>
  <si>
    <t>SHARMIN ELECTRONICS - STADIUM MARKET</t>
  </si>
  <si>
    <t>ETLCUST-05040</t>
  </si>
  <si>
    <t>FAITH SOLUTION - KHILGAON</t>
  </si>
  <si>
    <t>ETLCUST-01247</t>
  </si>
  <si>
    <t>SARKER INTERNATIONAL - B.MUKARRAM</t>
  </si>
  <si>
    <t>ETLCUST-00370</t>
  </si>
  <si>
    <t>PRIYOZON MULTIMEDIA - BADDA</t>
  </si>
  <si>
    <t>ETLCUST-04063</t>
  </si>
  <si>
    <t>STAR TECH LTD. - UTTARA</t>
  </si>
  <si>
    <t>ETLCUST-01216</t>
  </si>
  <si>
    <t>N.S. COMPUTER AND ENGINEERING - MOTIJHEEL</t>
  </si>
  <si>
    <t>ETLCUST-00365</t>
  </si>
  <si>
    <t>FOTO CART - BANANI</t>
  </si>
  <si>
    <t>ETLCUST-02896</t>
  </si>
  <si>
    <t>MISSION COMPUTER AND TECHNOLOGY - GULSHAN</t>
  </si>
  <si>
    <t>ETLCUST-00475</t>
  </si>
  <si>
    <t>SUPREME ELECTRONIC - GULISTAN</t>
  </si>
  <si>
    <t>ETLCUST-03939</t>
  </si>
  <si>
    <t>MD. Shipon Ali</t>
  </si>
  <si>
    <t xml:space="preserve">SEBA TECHNOLOGIES -GAZIPUR </t>
  </si>
  <si>
    <t>ETLCUST-04023</t>
  </si>
  <si>
    <t>Md. Rahad</t>
  </si>
  <si>
    <t>COMPUTER CITY - GAZIPUR</t>
  </si>
  <si>
    <t>ETLCUST-01421</t>
  </si>
  <si>
    <t>GAZIPUR ENTERPRISE - GAZIPUR</t>
  </si>
  <si>
    <t>ETLCUST-01903</t>
  </si>
  <si>
    <t>AKRAM ENTERPRISE - GULISTAN</t>
  </si>
  <si>
    <t>ETLCUST-03107</t>
  </si>
  <si>
    <t>Shamim Hossain</t>
  </si>
  <si>
    <t>DADA ENTERPRISE PRADHAN - GULISTAN</t>
  </si>
  <si>
    <t>ETLCUST-03703</t>
  </si>
  <si>
    <t>LAMIYA ELECTRONICS - GULISTAN</t>
  </si>
  <si>
    <t>ETLCUST-01886</t>
  </si>
  <si>
    <t>U.H COMPUTERS - MOTIJHEEL</t>
  </si>
  <si>
    <t>ETLCUST-00463</t>
  </si>
  <si>
    <t>NI-TEX MARKETING CENTER - GULISTAN</t>
  </si>
  <si>
    <t>CG - GAZIPUR</t>
  </si>
  <si>
    <t>ETLCUST-03461</t>
  </si>
  <si>
    <t xml:space="preserve">M S TECHNOLOGY -UTTARA </t>
  </si>
  <si>
    <t>ETLCUST-00355</t>
  </si>
  <si>
    <t>ISLAM ENTERPRISE - GULSHAN</t>
  </si>
  <si>
    <t>ETLCUST-03993</t>
  </si>
  <si>
    <t>TAQWA ENTERPRICE - GULSHAN</t>
  </si>
  <si>
    <t>ETLCUST-04308</t>
  </si>
  <si>
    <t>RYANS COMPUTER'S - UTTARA</t>
  </si>
  <si>
    <t>ETLCUST-00932</t>
  </si>
  <si>
    <t>O.M TELECOM - GULISHTAN</t>
  </si>
  <si>
    <t>ETLCUST-00940</t>
  </si>
  <si>
    <t>MAKKA COMPUTER - GULISTAN</t>
  </si>
  <si>
    <t>ETLCUST-01246</t>
  </si>
  <si>
    <t>Md. Akram Rashid</t>
  </si>
  <si>
    <t>DILRAJ COMPUTER - MOTIJHEEL</t>
  </si>
  <si>
    <t>ETLCUST-01574</t>
  </si>
  <si>
    <t>DADA BHAI ELECTRONICS - NAWABPUR</t>
  </si>
  <si>
    <t>ETLCUST-04271</t>
  </si>
  <si>
    <t>IFRAH TECHNOLOGY - STADIUM</t>
  </si>
  <si>
    <t>ETLCUST-04860</t>
  </si>
  <si>
    <t>JM INTERNATIONAL - BAITUL MUKARRAM</t>
  </si>
  <si>
    <t>ETLCUST-00371</t>
  </si>
  <si>
    <t>SHAON ELECTRONICS - KHILKHET</t>
  </si>
  <si>
    <t>ETLCUST-04569</t>
  </si>
  <si>
    <t>LOKMAN TECHNOLOGY - B. MOKARRAM</t>
  </si>
  <si>
    <t>ETLCUST-04856</t>
  </si>
  <si>
    <t xml:space="preserve">J.M INTERNATIONAL - Motijheel </t>
  </si>
  <si>
    <t>ETLCUST-00352</t>
  </si>
  <si>
    <t>S.S COMPUTER - KHILKHET</t>
  </si>
  <si>
    <t>ETLCUST-00339</t>
  </si>
  <si>
    <t>TRUST TECHNOLOGIES - BADDA</t>
  </si>
  <si>
    <t>ETLCUST-03801</t>
  </si>
  <si>
    <t>IT STORE - GULSHAN</t>
  </si>
  <si>
    <t>Biplop Kumar</t>
  </si>
  <si>
    <t>ETLCUST-04152</t>
  </si>
  <si>
    <t>RAJ ENTERPRISE - NAWABPUR</t>
  </si>
  <si>
    <t>ETLCUST-00353</t>
  </si>
  <si>
    <t>COMPUTER TECHNOLOGY - MOHAKHALI</t>
  </si>
  <si>
    <t>ETLCUST-00359</t>
  </si>
  <si>
    <t>IT NEWS COMPUTER - UTTARA</t>
  </si>
  <si>
    <t>ETLCUST-02599</t>
  </si>
  <si>
    <t>NEW GULSHAN COMPUTERS - UTTARA</t>
  </si>
  <si>
    <t>ETLCUST-00368</t>
  </si>
  <si>
    <t>ORIGINAL STORE LTD - GULSHAN</t>
  </si>
  <si>
    <t>ETLCUST-01437</t>
  </si>
  <si>
    <t>Saifullah Akndah</t>
  </si>
  <si>
    <t>GRAND ELECTRONICS - TONGI</t>
  </si>
  <si>
    <t>ETLCUST-00101</t>
  </si>
  <si>
    <t>J-ELECTRONICS AND WATCH - UTTARA</t>
  </si>
  <si>
    <t>ETLCUST-01429</t>
  </si>
  <si>
    <t>R.A COMPUTER AND PRNTER SOLUTIONS - GAZIPUR</t>
  </si>
  <si>
    <t>ETLCUST-03929</t>
  </si>
  <si>
    <t>AL-MODINA ENTERPRISE - GAZIPUR</t>
  </si>
  <si>
    <t>ETLCUST-01405</t>
  </si>
  <si>
    <t>GIGABYTE COMPUTER - TONGI</t>
  </si>
  <si>
    <t>ETLCUST-00149</t>
  </si>
  <si>
    <t>UTTARA PRINT WORLD - UTTARA</t>
  </si>
  <si>
    <t>ETLCUST-00143</t>
  </si>
  <si>
    <t>TRUST COMPUTER - UTTARA</t>
  </si>
  <si>
    <t>ETLCUST-04628</t>
  </si>
  <si>
    <t>HIGH TECH SECURITIES - B. MUKARRAM</t>
  </si>
  <si>
    <t>ETLCUST-01210</t>
  </si>
  <si>
    <t>CHOWDHURY COMPUTER- MOTIJHEEL</t>
  </si>
  <si>
    <t>ETLCUST-01431</t>
  </si>
  <si>
    <t>PATWARY ELECTRONICS - GAZIPUR</t>
  </si>
  <si>
    <t>ETLCUST-00152</t>
  </si>
  <si>
    <t>MULTILINK COMPUTERS - UTTARA</t>
  </si>
  <si>
    <t>ETLCUST-04325</t>
  </si>
  <si>
    <t>R H INTERNATIONAL - BAITUL MUKARRAM</t>
  </si>
  <si>
    <t>ETLCUST-01217</t>
  </si>
  <si>
    <t>MRIDULA COMPUTER - MOTIJHEEL</t>
  </si>
  <si>
    <t>ETLCUST-00472</t>
  </si>
  <si>
    <t>M.RAHMAN ELECTRONICS - GULISTAN</t>
  </si>
  <si>
    <t>ETLCUST-04649</t>
  </si>
  <si>
    <t>MIZAN COMPUTER - MOTIJHEEL</t>
  </si>
  <si>
    <t>ETLCUST-00327</t>
  </si>
  <si>
    <t>RAPID TECHNOLOGIES - GULSHAN</t>
  </si>
  <si>
    <t>ETLCUST-01870</t>
  </si>
  <si>
    <t>ANWARA TRADING INTERNATIONAL - PALTAN</t>
  </si>
  <si>
    <t>ETLCUST-04472</t>
  </si>
  <si>
    <t>RIT COMPUTER AND IT SUPPORT - GAZIPUR</t>
  </si>
  <si>
    <t>ETLCUST-01440</t>
  </si>
  <si>
    <t>H.M ELECTRONICS - GAZIPUR</t>
  </si>
  <si>
    <t>ETLCUST-01666</t>
  </si>
  <si>
    <t>VERBAL - MOTIJHEEL</t>
  </si>
  <si>
    <t>ETLCUST-01879</t>
  </si>
  <si>
    <t>TANVIR TRADERS - PALTAN</t>
  </si>
  <si>
    <t>ETLCUST-00957</t>
  </si>
  <si>
    <t>ANIK ELECTRONICS AND ELECTRIC - GULISTAN</t>
  </si>
  <si>
    <t>ETLCUST-01592</t>
  </si>
  <si>
    <t>ACTIVE ELECTRONICS - GULISTAN</t>
  </si>
  <si>
    <t>ETLCUST-00480</t>
  </si>
  <si>
    <t>SUPER KING TRADE INT.- GULISTAN</t>
  </si>
  <si>
    <t>ETLCUST-01212</t>
  </si>
  <si>
    <t>JOYTI ELECTRONICS - B. MUKARRAM</t>
  </si>
  <si>
    <t>ETLCUST-00953</t>
  </si>
  <si>
    <t>RUMI ELECTRONICS - GULISTAN</t>
  </si>
  <si>
    <t>ETLCUST-00946</t>
  </si>
  <si>
    <t>NEW SONY ELECTRONICS - GULISTAN</t>
  </si>
  <si>
    <t>ETLCUST-00474</t>
  </si>
  <si>
    <t>SONY ELECTRONICS - GULISTAN</t>
  </si>
  <si>
    <t>ETLCUST-03226</t>
  </si>
  <si>
    <t>SHINE TECH - B. MUKARRAM</t>
  </si>
  <si>
    <t>ETLCUST-04660</t>
  </si>
  <si>
    <t>AI TECHNOLOGY - B. MUKARRAM</t>
  </si>
  <si>
    <t>ETLCUST-01427</t>
  </si>
  <si>
    <t>BISWAS ENTERPRISE - UTTARA</t>
  </si>
  <si>
    <t>ETLCUST-01428</t>
  </si>
  <si>
    <t>BETAR SERVICE - GAZIPUR</t>
  </si>
  <si>
    <t>ETLCUST-00354</t>
  </si>
  <si>
    <t>VITAL COMPUTERS - MOHAKHALI</t>
  </si>
  <si>
    <t>ETLCUST-00105</t>
  </si>
  <si>
    <t>CASH CUSTOMER - UTTARA</t>
  </si>
  <si>
    <t>ETLCUST-00129</t>
  </si>
  <si>
    <t>IT CORNER - SYED GRAND</t>
  </si>
  <si>
    <t>ETLCUST-03135</t>
  </si>
  <si>
    <t>MOLLA ELECTRONICS-02 - GULISTAN</t>
  </si>
  <si>
    <t>ETLCUST-00140</t>
  </si>
  <si>
    <t>TECHNOLOGY PARK - UTTARA</t>
  </si>
  <si>
    <t>ETLCUST-03622</t>
  </si>
  <si>
    <t>NAIM ENTERPRISE - GULISTAN</t>
  </si>
  <si>
    <t>ETLCUST-03009</t>
  </si>
  <si>
    <t>KAMAL ELECTRONICS - GULISTAN</t>
  </si>
  <si>
    <t>ETLCUST-01414</t>
  </si>
  <si>
    <t>ABDULLAH ENTERPRISE - GAZIPUR</t>
  </si>
  <si>
    <t>ETLCUST-01432</t>
  </si>
  <si>
    <t>TL TELECOM - KONABARI</t>
  </si>
  <si>
    <t>ETLCUST-04296</t>
  </si>
  <si>
    <t>UTTARA PC SOLUTIONS - UTTARA</t>
  </si>
  <si>
    <t>ETLCUST-00942</t>
  </si>
  <si>
    <t>BEPARI ENTERPRISE - GULISTAN</t>
  </si>
  <si>
    <t>ETLCUST-00364</t>
  </si>
  <si>
    <t>GOOD LUCK STATIONERY - GULSHAN</t>
  </si>
  <si>
    <t>ETLCUST-04904</t>
  </si>
  <si>
    <t>DISH PLUS - GAZIPUR</t>
  </si>
  <si>
    <t>ETLCUST-00127</t>
  </si>
  <si>
    <t>IT PARK AND NETWORKING - UTTARA</t>
  </si>
  <si>
    <t>ETLCUST-00132</t>
  </si>
  <si>
    <t>PC CARNIVAL - UTTARA</t>
  </si>
  <si>
    <t>ETLCUST-00122</t>
  </si>
  <si>
    <t>COMPUTER LAND - UTTARA</t>
  </si>
  <si>
    <t>ETLCUST-01904</t>
  </si>
  <si>
    <t>FAMOUS TECHNOLOGIES - MOTIJHEEL</t>
  </si>
  <si>
    <t>ETLCUST-01395</t>
  </si>
  <si>
    <t>DOT COM COMPUTERS - GAZIPUR</t>
  </si>
  <si>
    <t>ETLCUST-04047</t>
  </si>
  <si>
    <t>SHOPNOPURON ELECTRONICS - GAZIPUR</t>
  </si>
  <si>
    <t>ETLCUST-03255</t>
  </si>
  <si>
    <t>TANIA ELECTRONICS AND ELECTRIC - GAZIPUR</t>
  </si>
  <si>
    <t>ETLCUST-01446</t>
  </si>
  <si>
    <t>COMPUTER ZONE - KALIAKOIR</t>
  </si>
  <si>
    <t>ETLCUST-00131</t>
  </si>
  <si>
    <t>WINTELL COMPUTER - UTTARA</t>
  </si>
  <si>
    <t>ETLCUST-03096</t>
  </si>
  <si>
    <t>DIGITAL CAMERA MART - B. MUKARRAM</t>
  </si>
  <si>
    <t>ETLCUST-03854</t>
  </si>
  <si>
    <t>DISH CABLE AND CABLE - GULISTAN</t>
  </si>
  <si>
    <t>ETLCUST-04632</t>
  </si>
  <si>
    <t xml:space="preserve">ADNAN TECHNOLOGY - B.MUKARRAM </t>
  </si>
  <si>
    <t>ETLCUST-03899</t>
  </si>
  <si>
    <t>HIGH TECH - JAMUNA FUTURE PARK</t>
  </si>
  <si>
    <t>ETLCUST-01423</t>
  </si>
  <si>
    <t>MOHASIN ELECTRONICS AND COMPUTER - GAZIPUR</t>
  </si>
  <si>
    <t>ETLCUST-00344</t>
  </si>
  <si>
    <t>MODERN OFFICE EQUIPMENT - MOHAKHALI</t>
  </si>
  <si>
    <t>ETLCUST-04460</t>
  </si>
  <si>
    <t>CASH CUSTOMER - ZAKIR HOSSAIN</t>
  </si>
  <si>
    <t>ETLCUST-05065</t>
  </si>
  <si>
    <t>MH COMPUTER-PURANA PALTON</t>
  </si>
  <si>
    <t>ETLCUST-01384</t>
  </si>
  <si>
    <t>NEW R.L COMPUTER - KONABARI</t>
  </si>
  <si>
    <t>ETLCUST-01416</t>
  </si>
  <si>
    <t>LOTIF ELECTRONICS - MOUCHAK</t>
  </si>
  <si>
    <t>ETLCUST-01569</t>
  </si>
  <si>
    <t>BISWABANI - NAWABPUR</t>
  </si>
  <si>
    <t>ETLCUST-00955</t>
  </si>
  <si>
    <t>SATATA ELECTRONICS - GULISTAN</t>
  </si>
  <si>
    <t>ETLCUST-00363</t>
  </si>
  <si>
    <t>COMPUTER TECHNOLOGY- GULSHAN-02</t>
  </si>
  <si>
    <t>ETLCUST-01422</t>
  </si>
  <si>
    <t>NEW TECH COMPUTER - SREEPUR</t>
  </si>
  <si>
    <t>ETLCUST-02634</t>
  </si>
  <si>
    <t>NAVIGATION SERVICE SOLUTION - JAMUNA FUTURE PARK</t>
  </si>
  <si>
    <t>ETLCUST-04085</t>
  </si>
  <si>
    <t>BRAND TECHNOLOGY - KERANIGONJ</t>
  </si>
  <si>
    <t>ETLCUST-04022</t>
  </si>
  <si>
    <t>EXPERT COMPUTER - GAZIPUR</t>
  </si>
  <si>
    <t>ETLCUST-00959</t>
  </si>
  <si>
    <t>H.A. COMPUTER - GULISTAN</t>
  </si>
  <si>
    <t>ETLCUST-01415</t>
  </si>
  <si>
    <t>FRIENDS COMPUTER - KONABARI</t>
  </si>
  <si>
    <t>ETLCUST-03069</t>
  </si>
  <si>
    <t>BROTHERS COMPUTER - GULISTAN</t>
  </si>
  <si>
    <t>ETLCUST-00146</t>
  </si>
  <si>
    <t>ELECTRONICS POINT - UTTARA</t>
  </si>
  <si>
    <t>ETLCUST-00952</t>
  </si>
  <si>
    <t>AZMIR TELECOM - GULISTAN</t>
  </si>
  <si>
    <t>ETLCUST-00144</t>
  </si>
  <si>
    <t>AL-NOOR COMPUTER - UTTARA</t>
  </si>
  <si>
    <t>ETLCUST-04369</t>
  </si>
  <si>
    <t>PROJECTOR SERVICE - KAKRAIL</t>
  </si>
  <si>
    <t>ETLCUST-01871</t>
  </si>
  <si>
    <t>INTIMACY COMPUTER AND SOLUTIONS - MOTIJHEEL</t>
  </si>
  <si>
    <t>ETLCUST-03038</t>
  </si>
  <si>
    <t>HAZI TRADERS - MOTIJHEEL</t>
  </si>
  <si>
    <t>ETLCUST-01209</t>
  </si>
  <si>
    <t>NAHID TRADERS - B.MUKARRAM</t>
  </si>
  <si>
    <t>ETLCUST-00464</t>
  </si>
  <si>
    <t>NEW MAYER DOYA ELECTRONICS - GULISTAN</t>
  </si>
  <si>
    <t>ETLCUST-00468</t>
  </si>
  <si>
    <t>JAFRIN ENTERPRISE - GULISTAN</t>
  </si>
  <si>
    <t>ETLCUST-01211</t>
  </si>
  <si>
    <t>SAAT SAGAR - B.MUKARRAM</t>
  </si>
  <si>
    <t>ETLCUST-00137</t>
  </si>
  <si>
    <t>MARK ONE TECHNOLOGY - UTTARA</t>
  </si>
  <si>
    <t>ETLCUST-03643</t>
  </si>
  <si>
    <t>PRINTER CITY - PALTAN</t>
  </si>
  <si>
    <t>ETLCUST-00366</t>
  </si>
  <si>
    <t>COMPUTER SOUL - MOHAKALI</t>
  </si>
  <si>
    <t>ETLCUST-00356</t>
  </si>
  <si>
    <t>SA COMPUTERS - KHILKHET</t>
  </si>
  <si>
    <t>ETLCUST-01411</t>
  </si>
  <si>
    <t>VISION TECHNOLOGY - GAZIPUR</t>
  </si>
  <si>
    <t>ETLCUST-01435</t>
  </si>
  <si>
    <t>AMIRUL SUPER SHOP - GAZIPUR</t>
  </si>
  <si>
    <t>ETLCUST-03205</t>
  </si>
  <si>
    <t>TOUCH POWER &amp; TECHNOLOGY -KONBARI</t>
  </si>
  <si>
    <t>ETLCUST-03562</t>
  </si>
  <si>
    <t>DIGITAL ZONE - B. MUKARRAM</t>
  </si>
  <si>
    <t>ETLCUST-05175</t>
  </si>
  <si>
    <t>Hridoy Chandra Das</t>
  </si>
  <si>
    <t>OISHI COMPUTER &amp; SOLUTIONS - MOTIJHEEL</t>
  </si>
  <si>
    <t>ETLCUST-01571</t>
  </si>
  <si>
    <t>ROBIN ELECTRONICS - GULISTAN</t>
  </si>
  <si>
    <t>ETLCUST-04919</t>
  </si>
  <si>
    <t>JAHANARA ENTERPRISE - GULISTAN</t>
  </si>
  <si>
    <t>ETLCUST-00147</t>
  </si>
  <si>
    <t>TECH LIFE BD - UTTARA</t>
  </si>
  <si>
    <t>ETLCUST-01884</t>
  </si>
  <si>
    <t>MOLLA ENTERPRISE - PALTAN</t>
  </si>
  <si>
    <t>ETLCUST-01417</t>
  </si>
  <si>
    <t>SHIRIN ELECTRONICS - TONGI</t>
  </si>
  <si>
    <t>ETLCUST-04238</t>
  </si>
  <si>
    <t>UNIFIRST TECHNOLOGY - GULISTAN</t>
  </si>
  <si>
    <t>ETLCUST-00141</t>
  </si>
  <si>
    <t>S.S COMPUTER AND NETWORK - UTTARA</t>
  </si>
  <si>
    <t>ETLCUST-01389</t>
  </si>
  <si>
    <t>TECHNO CITY - GAZIPUR</t>
  </si>
  <si>
    <t>ETLCUST-04021</t>
  </si>
  <si>
    <t>SENSOR TECHNOLOGY - UTTARA</t>
  </si>
  <si>
    <t>ETLCUST-00134</t>
  </si>
  <si>
    <t>THE BEST COMPUTER - UTTARA</t>
  </si>
  <si>
    <t>ETLCUST-04468</t>
  </si>
  <si>
    <t>JRB ENTERPRISE  - SREEPUR</t>
  </si>
  <si>
    <t>ETLCUST-00133</t>
  </si>
  <si>
    <t>MULTIMEDIA COMPUTER - UTTARA</t>
  </si>
  <si>
    <t>ETLCUST-03451</t>
  </si>
  <si>
    <t>S.R COMPUTER - MOTIJHEEL</t>
  </si>
  <si>
    <t>ETLCUST-01424</t>
  </si>
  <si>
    <t>MASUD ELECTRONICS AND COMPUTER - GAZIPUR</t>
  </si>
  <si>
    <t>ETLCUST-01585</t>
  </si>
  <si>
    <t>S.K. ELECTRONICS - GULISTAN</t>
  </si>
  <si>
    <t>ETLCUST-03482</t>
  </si>
  <si>
    <t>BLUE STAR TRADE - GULISTAN</t>
  </si>
  <si>
    <t>ETLCUST-03670</t>
  </si>
  <si>
    <t>AM IT SOLUTIONS - MOTIJHEEL</t>
  </si>
  <si>
    <t>ETLCUST-01419</t>
  </si>
  <si>
    <t>COMPUTER LAB AND SERVICE STORE - TONGI</t>
  </si>
  <si>
    <t>ETLCUST-03474</t>
  </si>
  <si>
    <t>S &amp; S COMPUTER SOLUTION - MOTIJHEEL</t>
  </si>
  <si>
    <t>ETLCUST-01208</t>
  </si>
  <si>
    <t>BUSINESS TRACKER - E.PLUS</t>
  </si>
  <si>
    <t>ETLCUST-03338</t>
  </si>
  <si>
    <t>SMS IT WORLD - MOTIJHEEL</t>
  </si>
  <si>
    <t>ETLCUST-00954</t>
  </si>
  <si>
    <t>NEW MUM ELECTRONICS - GULISTAN</t>
  </si>
  <si>
    <t>ETLCUST-05094</t>
  </si>
  <si>
    <t>SR ELECTRONICS - NATIONAL STADIUM</t>
  </si>
  <si>
    <t>ETLCUST-01420</t>
  </si>
  <si>
    <t>RASEL ELECTRONICS STORE - GAZIPUR</t>
  </si>
  <si>
    <t>ETLCUST-04914</t>
  </si>
  <si>
    <t>SOFTECH COMPUTER - SREEPUR</t>
  </si>
  <si>
    <t>ETLCUST-04018</t>
  </si>
  <si>
    <t>PATWARY TECHNOLOGY - GULISTAN</t>
  </si>
  <si>
    <t>ETLCUST-04324</t>
  </si>
  <si>
    <t>BISMILLAH IT SOLUTION &amp; ENGINEERING - NOTUN BAZAR</t>
  </si>
  <si>
    <t>ETLCUST-00153</t>
  </si>
  <si>
    <t>CTG COMPUTER CITY - UTTARA</t>
  </si>
  <si>
    <t>ETLCUST-01245</t>
  </si>
  <si>
    <t>MASTER TECHNOLOGY - PALTAN</t>
  </si>
  <si>
    <t>ETLCUST-01860</t>
  </si>
  <si>
    <t>PARTS MART - PALTAN</t>
  </si>
  <si>
    <t>ETLCUST-00099</t>
  </si>
  <si>
    <t>IT FAIR AND ELECTRONICS - UTTARA</t>
  </si>
  <si>
    <t>ETLCUST-03769</t>
  </si>
  <si>
    <t>TRANS TECHNOLOGY - STADIUM MARKET</t>
  </si>
  <si>
    <t>ETLCUST-03123</t>
  </si>
  <si>
    <t>ICON COMPUTERS - KONABARI</t>
  </si>
  <si>
    <t>ETLCUST-03893</t>
  </si>
  <si>
    <t>J.B IT - MOTIJHEEL</t>
  </si>
  <si>
    <t>ETLCUST-03422</t>
  </si>
  <si>
    <t>RHM CORPORATION - MOHAKHALI</t>
  </si>
  <si>
    <t>ETLCUST-01584</t>
  </si>
  <si>
    <t>FILCO ELECTRONICS - GULISTAN</t>
  </si>
  <si>
    <t>ETLCUST-01869</t>
  </si>
  <si>
    <t>NATIONAL COMPUTER - MOTIJHEEL</t>
  </si>
  <si>
    <t>ETLCUST-01865</t>
  </si>
  <si>
    <t>TORSA ICT - MOTIJHEEL</t>
  </si>
  <si>
    <t>ETLCUST-00362</t>
  </si>
  <si>
    <t>SAFE COMPUTER ZONE - BADDA</t>
  </si>
  <si>
    <t>ETLCUST-01581</t>
  </si>
  <si>
    <t>DADA ENTERPRISE - GULISTAN</t>
  </si>
  <si>
    <t>ETLCUST-04360</t>
  </si>
  <si>
    <t>MORIUM ELECTRONICS - GULISTAN</t>
  </si>
  <si>
    <t>ETLCUST-01204</t>
  </si>
  <si>
    <t>Nishan Datta</t>
  </si>
  <si>
    <t>RADIO HOUSE - PALTAN</t>
  </si>
  <si>
    <t>ETLCUST-01578</t>
  </si>
  <si>
    <t>NEW CITY ELECTRONICS - NAWABPUR</t>
  </si>
  <si>
    <t>ETLCUST-03144</t>
  </si>
  <si>
    <t>FRIEND DIGITAL LINK -PURANA PALTAN</t>
  </si>
  <si>
    <t>RANKS ITT LTD.</t>
  </si>
  <si>
    <t>ETLCUST-05204</t>
  </si>
  <si>
    <t>MT SOLAR POWER - GULISTAN</t>
  </si>
  <si>
    <t>ETLCUST-05214</t>
  </si>
  <si>
    <t>AYESHA ELECTRIC AND SOLAR - GULISTAN</t>
  </si>
  <si>
    <t>ETLCUST-01438</t>
  </si>
  <si>
    <t>DIGITAL COMPUTER - GAZIPUR</t>
  </si>
  <si>
    <t>ETLCUST-03263</t>
  </si>
  <si>
    <t>PC COMPUTER - UTTARA</t>
  </si>
  <si>
    <t>ETLCUST-02713</t>
  </si>
  <si>
    <t>CORPORATE POINT - MOTIJHEEL</t>
  </si>
  <si>
    <t>ETLCUST-00124</t>
  </si>
  <si>
    <t>PCS COMPUTER AND NETWORK - UTTARA</t>
  </si>
  <si>
    <t>ETLCUST-01407</t>
  </si>
  <si>
    <t>DIAMOND COMPUTER IT - TONGI</t>
  </si>
  <si>
    <t>ETLCUST-01439</t>
  </si>
  <si>
    <t>SHAFI ENTERPRISE - MIRZAPUR</t>
  </si>
  <si>
    <t>ETLCUST-04290</t>
  </si>
  <si>
    <t>SAYEM ENTERPRISE - PALTAN</t>
  </si>
  <si>
    <t>ETLCUST-01580</t>
  </si>
  <si>
    <t>NEW PRIME ELECTRONICS - GULISTAN</t>
  </si>
  <si>
    <t>ETLCUST-00322</t>
  </si>
  <si>
    <t>NEW COMPUTER BAZAR - NARSINGDI</t>
  </si>
  <si>
    <t>ETLCUST-03213</t>
  </si>
  <si>
    <t>COMPUTER PLANET UTTARA -  UTTARA</t>
  </si>
  <si>
    <t>ETLCUST-00369</t>
  </si>
  <si>
    <t>SISCOTECH - KAFRUL</t>
  </si>
  <si>
    <t>ETLCUST-00941</t>
  </si>
  <si>
    <t>NEW TANHA TELECOM - GULISTAN</t>
  </si>
  <si>
    <t>ETLCUST-04076</t>
  </si>
  <si>
    <t>NEYAMOT ENTERPRISE - KHILKHET</t>
  </si>
  <si>
    <t>ETLCUST-00120</t>
  </si>
  <si>
    <t>ABC COMPUTER TECH - UTTARA</t>
  </si>
  <si>
    <t>ETLCUST-01426</t>
  </si>
  <si>
    <t>YEASIN ELECTRONICS - GAZIPUR</t>
  </si>
  <si>
    <t>ETLCUST-00128</t>
  </si>
  <si>
    <t>FAITH COMPUTER AND SERVICE CENTER - UTTARA</t>
  </si>
  <si>
    <t>ETLCUST-04522</t>
  </si>
  <si>
    <t>KHAN &amp; SONS - STADIUM MARKET</t>
  </si>
  <si>
    <t>ETLCUST-00473</t>
  </si>
  <si>
    <t>A.S ELECTRONICS - GULISTAN</t>
  </si>
  <si>
    <t>ETLCUST-01582</t>
  </si>
  <si>
    <t>SADIA ENTERPRISE - GULISTAN</t>
  </si>
  <si>
    <t>ETLCUST-00142</t>
  </si>
  <si>
    <t>EASY SOLUTION - UTTARA</t>
  </si>
  <si>
    <t>ETLCUST-01430</t>
  </si>
  <si>
    <t>MAA MONY ELECTRIC - TONGI</t>
  </si>
  <si>
    <t>ETLCUST-00118</t>
  </si>
  <si>
    <t>TECH4YOU - UTTARA</t>
  </si>
  <si>
    <t>ETLCUST-01433</t>
  </si>
  <si>
    <t>DO END TECHNOLOGIES - GAZIPUR</t>
  </si>
  <si>
    <t>ETLCUST-05203</t>
  </si>
  <si>
    <t>HANKO CORPORATION - GULISTAN</t>
  </si>
  <si>
    <t>ETLCUST-01583</t>
  </si>
  <si>
    <t>SORME ENTERPRISE - GULISTAN</t>
  </si>
  <si>
    <t>ETLCUST-01248</t>
  </si>
  <si>
    <t>AM COMPUTERS - MOTIJHEEL</t>
  </si>
  <si>
    <t>ETLCUST-01883</t>
  </si>
  <si>
    <t>TRADE LINK INTERNATIONAL - PALTAN</t>
  </si>
  <si>
    <t>ETLCUST-01878</t>
  </si>
  <si>
    <t>NEW AMENA CORPORATION - PALTAN</t>
  </si>
  <si>
    <t>ETLCUST-03596</t>
  </si>
  <si>
    <t>MAK IT SOLUTION - UTTARA</t>
  </si>
  <si>
    <t>ETLCUST-00125</t>
  </si>
  <si>
    <t>SOFTWARE LAND - UTTARA</t>
  </si>
  <si>
    <t>ETLCUST-05202</t>
  </si>
  <si>
    <t xml:space="preserve">JAPAN SOLAR &amp; ELECTRIC - GULISTAN </t>
  </si>
  <si>
    <t>ETLCUST-05171</t>
  </si>
  <si>
    <t>GLORY OFFICE SOLUTION - MOTIJHEEL</t>
  </si>
  <si>
    <t>ETLCUST-00093</t>
  </si>
  <si>
    <t>BIOS TECHNOLOGY - UTTARA</t>
  </si>
  <si>
    <t>ETLCUST-03277</t>
  </si>
  <si>
    <t>NATIONAL ELECTRONICS - GULISTAN</t>
  </si>
  <si>
    <t>ETLCUST-01880</t>
  </si>
  <si>
    <t>IHP CORPORATION - PALTAN</t>
  </si>
  <si>
    <t>ETLCUST-01573</t>
  </si>
  <si>
    <t>N. T. ELECTRIC AND ELECTRONICS - GULISTAN</t>
  </si>
  <si>
    <t>ETLCUST-04398</t>
  </si>
  <si>
    <t>PC DOCTOR BD - JAMUNA FUTURE PARK</t>
  </si>
  <si>
    <t>ETLCUST-03254</t>
  </si>
  <si>
    <t>ROOT FIVE - UTTARA</t>
  </si>
  <si>
    <t>ETLCUST-00465</t>
  </si>
  <si>
    <t>YOUSUF ELECTRONICS - GULISTAN</t>
  </si>
  <si>
    <t>ETLCUST-01408</t>
  </si>
  <si>
    <t>HEMAL TELECOM - TONGI</t>
  </si>
  <si>
    <t>ETLCUST-04237</t>
  </si>
  <si>
    <t>MIM ELECTRONICS &amp; DIGITAL WORLD - DEMRA</t>
  </si>
  <si>
    <t>ETLCUST-00964</t>
  </si>
  <si>
    <t>NOOR TRADING - GULISTAN</t>
  </si>
  <si>
    <t>ETLCUST-03066</t>
  </si>
  <si>
    <t>BROTHERS TECHNOLOGY - UTTARA</t>
  </si>
  <si>
    <t>ETLCUST-00123</t>
  </si>
  <si>
    <t>THE COMPUTER POINT - UTTARA</t>
  </si>
  <si>
    <t>ETLCUST-00471</t>
  </si>
  <si>
    <t>MONIR ENTERPRISE - GULISTAN</t>
  </si>
  <si>
    <t>ETLCUST-03037</t>
  </si>
  <si>
    <t>STAR COMPUTER VISION - MOTIJHEEL</t>
  </si>
  <si>
    <t>ETLCUST-04568</t>
  </si>
  <si>
    <t>DIGICCOM INTERNATIONAL LTD - PALTAN</t>
  </si>
  <si>
    <t>ETLCUST-00951</t>
  </si>
  <si>
    <t>BAKSHI ENTERPRISE - GULISTAN</t>
  </si>
  <si>
    <t>ETLCUST-00967</t>
  </si>
  <si>
    <t>NAZRUL TRADE INTERNATIONAL - GULISTAN</t>
  </si>
  <si>
    <t>ETLCUST-03025</t>
  </si>
  <si>
    <t>FAST TECH CORPORATION - MOTIJHEEL</t>
  </si>
  <si>
    <t>ETLCUST-02832</t>
  </si>
  <si>
    <t>TIME TECHNOLOGY AND NETWORK - UTTARA</t>
  </si>
  <si>
    <t>ETLCUST-03571</t>
  </si>
  <si>
    <t>GLOBE OFFICE EQUIPMENT - UTTARA</t>
  </si>
  <si>
    <t>ETLCUST-04878</t>
  </si>
  <si>
    <t>TOP ELECTRONICS - UTTARA</t>
  </si>
  <si>
    <t>ETLCUST-04905</t>
  </si>
  <si>
    <t xml:space="preserve">M/S SOHEL TRADERS - GAZIPUR </t>
  </si>
  <si>
    <t>ETLCUST-04776</t>
  </si>
  <si>
    <t>TAIYBA ELECTRONICS - GAZIPUR</t>
  </si>
  <si>
    <t>ETLCUST-04765</t>
  </si>
  <si>
    <t>A.K TELECOM - GAZIPUR</t>
  </si>
  <si>
    <t>ETLCUST-04236</t>
  </si>
  <si>
    <t>M/S JEBA ELECTRONICS - GAZIPUR</t>
  </si>
  <si>
    <t>ETLCUST-04647</t>
  </si>
  <si>
    <t>DESHALOY TELECOM - KURIL CHOWRASTA</t>
  </si>
  <si>
    <t>ETLCUST-04421</t>
  </si>
  <si>
    <t>BISMILLAH COMPUTERS -SREEPURE, GAZIPUR</t>
  </si>
  <si>
    <t>ETLCUST-04225</t>
  </si>
  <si>
    <t xml:space="preserve">TRUST COMPUTER - SYED GRAND </t>
  </si>
  <si>
    <t>ETLCUST-04143</t>
  </si>
  <si>
    <t>DARA TECHNOLOGY (BD) LTD - UTTARA</t>
  </si>
  <si>
    <t>ETLCUST-03774</t>
  </si>
  <si>
    <t>DOMINANCE IT SOLUTION - UTTARA</t>
  </si>
  <si>
    <t>ETLCUST-03917</t>
  </si>
  <si>
    <t>SEBA COMPUTER ZONE - GAZIPUR</t>
  </si>
  <si>
    <t>ETLCUST-03760</t>
  </si>
  <si>
    <t>HOME ELECTRONICS AND COMPUTER - GAZIPUR</t>
  </si>
  <si>
    <t>ETLCUST-03740</t>
  </si>
  <si>
    <t>DIGITAL SOLUTION INC - GULSHAN</t>
  </si>
  <si>
    <t>ETLCUST-03653</t>
  </si>
  <si>
    <t>ALOHA ISHOPPE - GULSHAN</t>
  </si>
  <si>
    <t>ETLCUST-03647</t>
  </si>
  <si>
    <t xml:space="preserve">SHILPI DEPARTMENTAL STORE- GAZIPUR </t>
  </si>
  <si>
    <t>ETLCUST-03546</t>
  </si>
  <si>
    <t>POWER IT SOURCE - UTTARA</t>
  </si>
  <si>
    <t>ETLCUST-03567</t>
  </si>
  <si>
    <t>KHAN COMPUTER - UTTARA</t>
  </si>
  <si>
    <t>ETLCUST-03395</t>
  </si>
  <si>
    <t>JB COMPUTER-GULSHAN</t>
  </si>
  <si>
    <t>ETLCUST-03317</t>
  </si>
  <si>
    <t>FATEMA TELECOM - GAZIPUR</t>
  </si>
  <si>
    <t>ETLCUST-03253</t>
  </si>
  <si>
    <t>SHEBA ELECTRONICS - UTTARA</t>
  </si>
  <si>
    <t>ETLCUST-03105</t>
  </si>
  <si>
    <t>D-TECH - KONABARI</t>
  </si>
  <si>
    <t>ETLCUST-00154</t>
  </si>
  <si>
    <t>HUMAYUN TRADERS- TURAG</t>
  </si>
  <si>
    <t>ETLCUST-02902</t>
  </si>
  <si>
    <t>MAISHA NET - UTTARA</t>
  </si>
  <si>
    <t>ETLCUST-02899</t>
  </si>
  <si>
    <t>TECH EXPRESS -UTTARA</t>
  </si>
  <si>
    <t>ETLCUST-02849</t>
  </si>
  <si>
    <t>KHAN ELECTRONICS -GAZIPUR</t>
  </si>
  <si>
    <t>ETLCUST-02759</t>
  </si>
  <si>
    <t>SKY NET ONLINE BD - DHAKA</t>
  </si>
  <si>
    <t>ETLCUST-02623</t>
  </si>
  <si>
    <t>DIGITAL COMPUTER SERVICE - UTTARA</t>
  </si>
  <si>
    <t>ETLCUST-01447</t>
  </si>
  <si>
    <t>P.N NETCONNECT - GAZIPUR</t>
  </si>
  <si>
    <t>ETLCUST-01434</t>
  </si>
  <si>
    <t>HOLYSKY TECH SOLUTION - TONGI</t>
  </si>
  <si>
    <t>ETLCUST-01388</t>
  </si>
  <si>
    <t>QUALITY IT SMART SECURITY - GAZIPUR</t>
  </si>
  <si>
    <t>ETLCUST-01387</t>
  </si>
  <si>
    <t>JR ELECTRONICS - GAZIPUR</t>
  </si>
  <si>
    <t>ETLCUST-01386</t>
  </si>
  <si>
    <t>RANGDHANU ELECTRONICS GALLERY - GAZIPUR</t>
  </si>
  <si>
    <t>ETLCUST-01385</t>
  </si>
  <si>
    <t>BISMILLAH COMPUTER - TONGI</t>
  </si>
  <si>
    <t>ETLCUST-00324</t>
  </si>
  <si>
    <t>MILLENNIUM SOLUTION - BARIDHARA</t>
  </si>
  <si>
    <t>ETLCUST-00323</t>
  </si>
  <si>
    <t>M.R. ELECTRONICS - KHILKHET</t>
  </si>
  <si>
    <t>ETLCUST-00150</t>
  </si>
  <si>
    <t>H A COMPUTER - UTTARA</t>
  </si>
  <si>
    <t>ETLCUST-00148</t>
  </si>
  <si>
    <t>SOUTHTECH SYSTEMS LIMITED - UTTARA</t>
  </si>
  <si>
    <t>ETLCUST-00100</t>
  </si>
  <si>
    <t>A AND M IT SOLUTION - UTTARA</t>
  </si>
  <si>
    <t>ETLCUST-00098</t>
  </si>
  <si>
    <t>GENIUS ICT SOURCE - UTTARA</t>
  </si>
  <si>
    <t>ETLCUST-00097</t>
  </si>
  <si>
    <t>BISMILLAH MOBILE MART - UTTARA</t>
  </si>
  <si>
    <t>ETLCUST-00096</t>
  </si>
  <si>
    <t>MICROTECH COMPUTER - UTTARA</t>
  </si>
  <si>
    <t>ETLCUST-00095</t>
  </si>
  <si>
    <t>SOLACE INNOVATIONS - UTTARA</t>
  </si>
  <si>
    <t>ETLCUST-01875</t>
  </si>
  <si>
    <t>EPSON BAZAR - PALTAN</t>
  </si>
  <si>
    <t>ETLCUST-01425</t>
  </si>
  <si>
    <t>SHISHIR MOTORS AND ELECTRONIC - KONABARI</t>
  </si>
  <si>
    <t>ETLCUST-00948</t>
  </si>
  <si>
    <t>SAMIA ELECTRONICS - GULISTAN</t>
  </si>
  <si>
    <t>ETLCUST-00156</t>
  </si>
  <si>
    <t>FAST TECH PRODUCT - UTTARA</t>
  </si>
  <si>
    <t>ETLCUST-00343</t>
  </si>
  <si>
    <t>TUHIN ENTERPRISE - KHILKHET</t>
  </si>
  <si>
    <t>ETLCUST-00109</t>
  </si>
  <si>
    <t>A.M COMPUTER - UTTARA</t>
  </si>
  <si>
    <t>ETLCUST-03914</t>
  </si>
  <si>
    <t>COMPUTER MART - KERANIGANJ</t>
  </si>
  <si>
    <t>ETLCUST-01577</t>
  </si>
  <si>
    <t>SULAIMAN ELECTRIC - GULISTAN</t>
  </si>
  <si>
    <t>ETLCUST-05176</t>
  </si>
  <si>
    <t>J.B IT-MOTIJHEEL</t>
  </si>
  <si>
    <t>ETLCUST-01413</t>
  </si>
  <si>
    <t>RIPON CAMERA WORLD AND COMPUTER - GAZIPUR</t>
  </si>
  <si>
    <t>ETLCUST-04130</t>
  </si>
  <si>
    <t>RANA ELECTRONICS - B. MUKARRAM</t>
  </si>
  <si>
    <t>ETLCUST-00121</t>
  </si>
  <si>
    <t>MEGA SPEED NET - UTTARA</t>
  </si>
  <si>
    <t>ETLCUST-00958</t>
  </si>
  <si>
    <t>NEW BAKSHI ELECTRONICS - GULISTAN</t>
  </si>
  <si>
    <t>ETLCUST-01586</t>
  </si>
  <si>
    <t>SARKER ELECTRONICS - GULISTAN</t>
  </si>
  <si>
    <t>ETLCUST-01576</t>
  </si>
  <si>
    <t>USHA ENTERPRISE - GULISTAN</t>
  </si>
  <si>
    <t>ETLCUST-00145</t>
  </si>
  <si>
    <t>S.B. ELECTRONICS - UTTARA</t>
  </si>
  <si>
    <t>ETLCUST-01670</t>
  </si>
  <si>
    <t>INFINITY TECHNOLOGY - PALTAN</t>
  </si>
  <si>
    <t>ETLCUST-04220</t>
  </si>
  <si>
    <t>THIRD EYE ELECTRONICS - B. MUKARRAM</t>
  </si>
  <si>
    <t>ETLCUST-01872</t>
  </si>
  <si>
    <t>MOLLAH TRADERS - PALTAN</t>
  </si>
  <si>
    <t>ETLCUST-00155</t>
  </si>
  <si>
    <t>XTREME - UTTARA</t>
  </si>
  <si>
    <t>ETLCUST-01215</t>
  </si>
  <si>
    <t>NAHAR ENTERPRISE - STADIUM</t>
  </si>
  <si>
    <t>ETLCUST-00126</t>
  </si>
  <si>
    <t>ALTER COMPUTER - UTTARA</t>
  </si>
  <si>
    <t>ETLCUST-03065</t>
  </si>
  <si>
    <t>LAPTOP CARE AND TECHNOLOGY - GAZIPUR</t>
  </si>
  <si>
    <t>ETLCUST-04829</t>
  </si>
  <si>
    <t>RAFIN TELECOM - GULISTAN</t>
  </si>
  <si>
    <t>ETLCUST-04602</t>
  </si>
  <si>
    <t>REVOLUTION TECHNOLOGY BD - MOTIJHEEL</t>
  </si>
  <si>
    <t>ETLCUST-01214</t>
  </si>
  <si>
    <t>NEW INTEGRA COMPUTERS AND ELECTRONICS - PALTAN</t>
  </si>
  <si>
    <t>ETLCUST-03657</t>
  </si>
  <si>
    <t>MAKKA ELECTRONICS - GULISTAN</t>
  </si>
  <si>
    <t>ETLCUST-04800</t>
  </si>
  <si>
    <t>AL MODINA ELECTRONICS - GAZIPUR</t>
  </si>
  <si>
    <t>ETLCUST-05010</t>
  </si>
  <si>
    <t>IT-WALA - MOTIJHEEL</t>
  </si>
  <si>
    <t>ETLCUST-01868</t>
  </si>
  <si>
    <t>H. B. COMPUTER - DILKUSHA</t>
  </si>
  <si>
    <t>ETLCUST-02878</t>
  </si>
  <si>
    <t>AMANA INTERNATIONAL PVT LTD - UTTARA</t>
  </si>
  <si>
    <t>ETLCUST-05141</t>
  </si>
  <si>
    <t>MAYA ELECTRONICS - GULISTAN</t>
  </si>
  <si>
    <t>ETLCUST-04495</t>
  </si>
  <si>
    <t>ASIA SYSTEM - PURANA PALTAN</t>
  </si>
  <si>
    <t>ETLCUST-04218</t>
  </si>
  <si>
    <t>CASH CUSTOMER - AKRAM RASHID</t>
  </si>
  <si>
    <t>ETLCUST-04102</t>
  </si>
  <si>
    <t>EXTREME SECURITY &amp; SOLUTION - GULISTAN</t>
  </si>
  <si>
    <t>ETLCUST-03295</t>
  </si>
  <si>
    <t>AL-MODINA COMPUTERS - GULISTAN</t>
  </si>
  <si>
    <t>ETLCUST-00114</t>
  </si>
  <si>
    <t>POWER SOLUTION - UTTARA</t>
  </si>
  <si>
    <t>ETLCUST-01877</t>
  </si>
  <si>
    <t>MULTI PURPOSE TECHNOLOGY - MOTIJHEEL</t>
  </si>
  <si>
    <t>ETLCUST-04394</t>
  </si>
  <si>
    <t>R.M. ENTERPRISE - MOTIJHEEL</t>
  </si>
  <si>
    <t>ETLCUST-02755</t>
  </si>
  <si>
    <t>FOUR STAR IT - GULSHAN</t>
  </si>
  <si>
    <t>ETLCUST-03007</t>
  </si>
  <si>
    <t>BARAKAH ELECTRONICS - MOTIJHEEL</t>
  </si>
  <si>
    <t>ETLCUST-01887</t>
  </si>
  <si>
    <t>SOLUTION - MOTIJHEEL</t>
  </si>
  <si>
    <t>ETLCUST-05087</t>
  </si>
  <si>
    <t>PURE POWER ELECTRIC &amp; ELECTRONICES - NAWABPUR</t>
  </si>
  <si>
    <t>ETLCUST-04224</t>
  </si>
  <si>
    <t>ANR TECHNOLOGIES - MOTIJHEEL</t>
  </si>
  <si>
    <t>ETLCUST-01206</t>
  </si>
  <si>
    <t>EFTIA COMPUTER AND SERVICING - E.PLUS</t>
  </si>
  <si>
    <t>ETLCUST-00470</t>
  </si>
  <si>
    <t>NIROB ELECTRONICS - GULISTAN</t>
  </si>
  <si>
    <t>ETLCUST-01874</t>
  </si>
  <si>
    <t>LIKE COMPUTER - MOTIJHEEL</t>
  </si>
  <si>
    <t>ETLCUST-00110</t>
  </si>
  <si>
    <t>IT CORNER - HM PLAZA</t>
  </si>
  <si>
    <t>ETLCUST-03398</t>
  </si>
  <si>
    <t>STREAM SOLUTION - PURBACHAL ROAD</t>
  </si>
  <si>
    <t>ETLCUST-00477</t>
  </si>
  <si>
    <t>AKOTA ELECTRONICS - GULISTAN</t>
  </si>
  <si>
    <t>ETLCUST-01882</t>
  </si>
  <si>
    <t>MAHMUDA TRADING INTERNATIONAL - PALTAN</t>
  </si>
  <si>
    <t>ETLCUST-00949</t>
  </si>
  <si>
    <t>LIZA ENTERPRISE - GULISTAN</t>
  </si>
  <si>
    <t>ETLCUST-03204</t>
  </si>
  <si>
    <t xml:space="preserve">ISLAM COMPUTER - GAZIPUR </t>
  </si>
  <si>
    <t>ETLCUST-02871</t>
  </si>
  <si>
    <t>TECH VILLAGE - UTTARA</t>
  </si>
  <si>
    <t>ETLCUST-00130</t>
  </si>
  <si>
    <t>INTEGRATED COMPUTER ANDCOMMUNICATIONS LTD - UTTARA</t>
  </si>
  <si>
    <t>ETLCUST-03125</t>
  </si>
  <si>
    <t>SHAZANA TELECOM - GULISTAN</t>
  </si>
  <si>
    <t>ETLCUST-03514</t>
  </si>
  <si>
    <t>FAHIM COMPUTER - UTTARA</t>
  </si>
  <si>
    <t>ETLCUST-00476</t>
  </si>
  <si>
    <t>MAYER DOA ELECTRONICS - GULISTAN</t>
  </si>
  <si>
    <t>ETLCUST-03424</t>
  </si>
  <si>
    <t>REYAN AND ANIK ELECTRIC - NAWABPUR</t>
  </si>
  <si>
    <t>ETLCUST-01244</t>
  </si>
  <si>
    <t>GATEWAY TECHNOLOGY - KAMALAPUR</t>
  </si>
  <si>
    <t>ETLCUST-00935</t>
  </si>
  <si>
    <t>NOHA ELECTRIC AND ELECTRONICS - GULISTAN</t>
  </si>
  <si>
    <t>ETLCUST-00379</t>
  </si>
  <si>
    <t>BBC MEDIA ACTION</t>
  </si>
  <si>
    <t>ETLCUST-00385</t>
  </si>
  <si>
    <t>ADVANCED DATA NETWORKS SYSTEM LTD.</t>
  </si>
  <si>
    <t>ETLCUST-04479</t>
  </si>
  <si>
    <t>SOWAD TELECOM - GULSHAN</t>
  </si>
  <si>
    <t>ETLCUST-00382</t>
  </si>
  <si>
    <t>AZIZ . NET</t>
  </si>
  <si>
    <t>ETLCUST-01399</t>
  </si>
  <si>
    <t>QUALITY SMART SECURITY - GAZIPUR</t>
  </si>
  <si>
    <t>ETLCUST-01858</t>
  </si>
  <si>
    <t>SUN ONLINE - JURAIN</t>
  </si>
  <si>
    <t>ETLCUST-01390</t>
  </si>
  <si>
    <t>IT VISION - GAZIPUR</t>
  </si>
  <si>
    <t>ETLCUST-01889</t>
  </si>
  <si>
    <t>MAHI IT SOLUTION - MOTIJHEEL</t>
  </si>
  <si>
    <t>ETLCUST-04785</t>
  </si>
  <si>
    <t>SUJOY ELECTRIC - KALIAKOIR</t>
  </si>
  <si>
    <t>ETLCUST-04985</t>
  </si>
  <si>
    <t>M M COMPUTERS - GULSHAN</t>
  </si>
  <si>
    <t>ETLCUST-00335</t>
  </si>
  <si>
    <t>TECH POINT SYSTEMS - J F PARK</t>
  </si>
  <si>
    <t>ETLCUST-04546</t>
  </si>
  <si>
    <t>BHUIYAN ELECTRONICS - GULISTAN</t>
  </si>
  <si>
    <t>ETLCUST-00088</t>
  </si>
  <si>
    <t>LIANG COMPUTER AND ELECTRONIC - UTTARA</t>
  </si>
  <si>
    <t>ETLCUST-01445</t>
  </si>
  <si>
    <t>GOLDEN TIMES SWETER AND DYEING LTD.</t>
  </si>
  <si>
    <t>ETLCUST-01391</t>
  </si>
  <si>
    <t>NN COMPUTER BD - UTTARA</t>
  </si>
  <si>
    <t>ETLCUST-01401</t>
  </si>
  <si>
    <t>KHAN WATCH AND ELECTRONICS - UTTARA</t>
  </si>
  <si>
    <t>ETLCUST-04906</t>
  </si>
  <si>
    <t>M/S NABIL BUSINESS POINT-MOTIJHEEL</t>
  </si>
  <si>
    <t>ETLCUST-04335</t>
  </si>
  <si>
    <t>ZAKIR ELECTRONICS - STADIUM SUPER MARKET</t>
  </si>
  <si>
    <t>ETLCUST-01591</t>
  </si>
  <si>
    <t>SIXTHSENSE MARKETING LTD - NAYA PALTAN</t>
  </si>
  <si>
    <t>ETLCUST-00482</t>
  </si>
  <si>
    <t>AKHI TIMES ELECTRIC AND ELECTRONICS - NAWABPUR</t>
  </si>
  <si>
    <t>ETLCUST-00102</t>
  </si>
  <si>
    <t>BINARY GADGET - UTTARA</t>
  </si>
  <si>
    <t>ETLCUST-01668</t>
  </si>
  <si>
    <t>DIGI-MARK SOLUTION - FAKIRAPOOL</t>
  </si>
  <si>
    <t>ETLCUST-00103</t>
  </si>
  <si>
    <t>HEEPE TECHNOLOGIES - UTTARA</t>
  </si>
  <si>
    <t>ETLCUST-04738</t>
  </si>
  <si>
    <t>KRN SOLUTION - MOTIJHEEL</t>
  </si>
  <si>
    <t>ETLCUST-00330</t>
  </si>
  <si>
    <t>S. O. F.- BANANI</t>
  </si>
  <si>
    <t>ETLCUST-03541</t>
  </si>
  <si>
    <t xml:space="preserve">AR FIRST SECURITY - GULISTAN </t>
  </si>
  <si>
    <t>ETLCUST-04319</t>
  </si>
  <si>
    <t>R.E.TRADE INTERNATIONAL- MOTIJHEEL</t>
  </si>
  <si>
    <t>ETLCUST-01400</t>
  </si>
  <si>
    <t>TRACE TECHNOLOGY - UTTARA</t>
  </si>
  <si>
    <t>ETLCUST-01397</t>
  </si>
  <si>
    <t>ZAMAN TRADE INTERNATIONAL - GULSHAN</t>
  </si>
  <si>
    <t>ETLCUST-03281</t>
  </si>
  <si>
    <t>ANNEX INTERNATIONAL - BANANI</t>
  </si>
  <si>
    <t>ETLCUST-01444</t>
  </si>
  <si>
    <t>IT SOURCE - GAZIPUR</t>
  </si>
  <si>
    <t>ETLCUST-00336</t>
  </si>
  <si>
    <t>MOBILE MUSEUM</t>
  </si>
  <si>
    <t>ETLCUST-00158</t>
  </si>
  <si>
    <t>IT SOLUTION - UTTARA</t>
  </si>
  <si>
    <t>ETLCUST-00104</t>
  </si>
  <si>
    <t>ASIA NET ONLINE SERVICE</t>
  </si>
  <si>
    <t>ETLCUST-00381</t>
  </si>
  <si>
    <t>BANGLADESH ARCHERY FEDERATION</t>
  </si>
  <si>
    <t>ETLCUST-00329</t>
  </si>
  <si>
    <t>FATEMA ELECTRONICS - KHILKHET</t>
  </si>
  <si>
    <t>ETLCUST-01443</t>
  </si>
  <si>
    <t>TECH DEVICE</t>
  </si>
  <si>
    <t>ETLCUST-03878</t>
  </si>
  <si>
    <t>J.M TECHNOLOGY-UTTARA</t>
  </si>
  <si>
    <t>ETLCUST-00332</t>
  </si>
  <si>
    <t>PROVENANCE - RAMPURA</t>
  </si>
  <si>
    <t>ETLCUST-01568</t>
  </si>
  <si>
    <t>ARKAY ELECTRONICS - GULISTAN</t>
  </si>
  <si>
    <t>ETLCUST-00483</t>
  </si>
  <si>
    <t>ABUL HASHEM ELECTRONICS - GULISTAN</t>
  </si>
  <si>
    <t>ETLCUST-01402</t>
  </si>
  <si>
    <t>LOGITECH COMPUTERS - JFP</t>
  </si>
  <si>
    <t>ETLCUST-01859</t>
  </si>
  <si>
    <t>IT SOUL INTERNATIONAL - MOTIJHEEL</t>
  </si>
  <si>
    <t>ETLCUST-04690</t>
  </si>
  <si>
    <t>MARIAM COMPUTER - GULISTAN</t>
  </si>
  <si>
    <t>ETLCUST-03642</t>
  </si>
  <si>
    <t>MOTTO - PALTAN</t>
  </si>
  <si>
    <t>ETLCUST-00458</t>
  </si>
  <si>
    <t>PRINCE TELECOM - GULISTAN</t>
  </si>
  <si>
    <t>ETLCUST-01230</t>
  </si>
  <si>
    <t>PIANO MUSICAL STORE - DHANMONDI</t>
  </si>
  <si>
    <t>ETLCUST-02981</t>
  </si>
  <si>
    <t>Md Sha Amirul Islam</t>
  </si>
  <si>
    <t>CASH CUSTOMER - MD SHA AMIRUL ISLAM</t>
  </si>
  <si>
    <t>Tulshi Kumar Saha</t>
  </si>
  <si>
    <t>ETLCUST-01917</t>
  </si>
  <si>
    <t>NUAAZ ENTERPRISE - DHAKA</t>
  </si>
  <si>
    <t>ETLCUST-00461</t>
  </si>
  <si>
    <t>SWAPAN ELECTRONICS - GULISTAN</t>
  </si>
  <si>
    <t>ETLCUST-01392</t>
  </si>
  <si>
    <t>BOKSH CCTV SERVICES - TONGI</t>
  </si>
  <si>
    <t>ETLCUST-00376</t>
  </si>
  <si>
    <t>GMG AIRLINES</t>
  </si>
  <si>
    <t>ETLCUST-02980</t>
  </si>
  <si>
    <t>CASH CUSROMER - KAMRUL HASAN SABUZ</t>
  </si>
  <si>
    <t>ETLCUST-01861</t>
  </si>
  <si>
    <t>DIGITAL BAZAR - PALTAN</t>
  </si>
  <si>
    <t>ETLCUST-00378</t>
  </si>
  <si>
    <t>CONNECT BD LTD</t>
  </si>
  <si>
    <t>ETLCUST-01228</t>
  </si>
  <si>
    <t>WIN MAX CONTROL - TIKATULI</t>
  </si>
  <si>
    <t>ETLCUST-00372</t>
  </si>
  <si>
    <t>SIAM IT - BANANI</t>
  </si>
  <si>
    <t>ETLCUST-01226</t>
  </si>
  <si>
    <t>H.A. MACHINERY - CHOWK BAZAR</t>
  </si>
  <si>
    <t>ETLCUST-00325</t>
  </si>
  <si>
    <t>F. K. FRIEND COMPUTER - DAKSHINKHAN</t>
  </si>
  <si>
    <t>ETLCUST-00333</t>
  </si>
  <si>
    <t>DREAMERS IT - UTTARA</t>
  </si>
  <si>
    <t>ETLCUST-00375</t>
  </si>
  <si>
    <t>JNS EMPIRE TECHNOLOGIES - AZAMPUR</t>
  </si>
  <si>
    <t>ETLCUST-04334</t>
  </si>
  <si>
    <t xml:space="preserve">IT BANGLA SOLUTIONS - MOTIJHEEL </t>
  </si>
  <si>
    <t>ETLCUST-01224</t>
  </si>
  <si>
    <t>DHAKA SAFETY INTERNATIONAL LTD - PALTAN</t>
  </si>
  <si>
    <t>ETLCUST-00383</t>
  </si>
  <si>
    <t>AMERICAN INTERNATIONAL UNIVERSITY BANGLADESH</t>
  </si>
  <si>
    <t>ETLCUST-03758</t>
  </si>
  <si>
    <t>JAHANS IT - TURAG</t>
  </si>
  <si>
    <t>ETLCUST-01564</t>
  </si>
  <si>
    <t>AIG DISTRIBUTION AND CONSULTANCY - FAKIRAPOOL</t>
  </si>
  <si>
    <t>ETLCUST-04768</t>
  </si>
  <si>
    <t>SUNTECH COMPUTER - UTTARA</t>
  </si>
  <si>
    <t>ETLCUST-01227</t>
  </si>
  <si>
    <t>SALWA CORPORATION - PALTAN</t>
  </si>
  <si>
    <t>ETLCUST-03164</t>
  </si>
  <si>
    <t>GLOCAL TECHNOLOGY LTD - PALTAN</t>
  </si>
  <si>
    <t>ETLCUST-01442</t>
  </si>
  <si>
    <t>RENU ELECTRONIC - TONGI</t>
  </si>
  <si>
    <t>ETLCUST-01232</t>
  </si>
  <si>
    <t>BRILLIANT SYSTEMS - PALTAN</t>
  </si>
  <si>
    <t>ETLCUST-01396</t>
  </si>
  <si>
    <t>G FORCE COMPUTER - UTTARA</t>
  </si>
  <si>
    <t>ETLCUST-04423</t>
  </si>
  <si>
    <t>BISMILLAH COMPUTERS - SREEPUR</t>
  </si>
  <si>
    <t>ETLCUST-04636</t>
  </si>
  <si>
    <t>EONTECH - MOTIJHEEL</t>
  </si>
  <si>
    <t>ETLCUST-01393</t>
  </si>
  <si>
    <t>SHOHA ENTERPRISE - SREEPUR</t>
  </si>
  <si>
    <t>ETLCUST-00467</t>
  </si>
  <si>
    <t>AL-MODINA ELECTRONICS - PATUATULI</t>
  </si>
  <si>
    <t>ETLCUST-00938</t>
  </si>
  <si>
    <t>RATNA ELECTRONICS - NAWABPUR</t>
  </si>
  <si>
    <t>ETLCUST-03126</t>
  </si>
  <si>
    <t>TRUST IT SOLUTION - MOTIJHEEL</t>
  </si>
  <si>
    <t>ETLCUST-04570</t>
  </si>
  <si>
    <t>A.M.N ENTERPRISE - DILKUSHA</t>
  </si>
  <si>
    <t>ETLCUST-00328</t>
  </si>
  <si>
    <t>BUSINESS MACHINES AND EQUIPMENT - GULSHAN</t>
  </si>
  <si>
    <t>ETLCUST-03547</t>
  </si>
  <si>
    <t>MAA COMPUTER - FAKIRAPOOL</t>
  </si>
  <si>
    <t>ETLCUST-03099</t>
  </si>
  <si>
    <t>ARTISAN TECHNOLOGY - UTTARA</t>
  </si>
  <si>
    <t>ETLCUST-00936</t>
  </si>
  <si>
    <t>NEW S.K. ENTERPRISE - GULISTAN</t>
  </si>
  <si>
    <t>ETLCUST-00377</t>
  </si>
  <si>
    <t>DESHBANDHU GROUP</t>
  </si>
  <si>
    <t>ETLCUST-04268</t>
  </si>
  <si>
    <t>TECHSOLVE - UTTARA</t>
  </si>
  <si>
    <t>ETLCUST-03606</t>
  </si>
  <si>
    <t>EASHA CONSTRUCTION - GULSHAN</t>
  </si>
  <si>
    <t>ETLCUST-01231</t>
  </si>
  <si>
    <t>HORIZON AND ASSOCIATES</t>
  </si>
  <si>
    <t>ETLCUST-04318</t>
  </si>
  <si>
    <t>INTIMACY COMPUTER &amp; SOLUTION - MOTIJHEEL</t>
  </si>
  <si>
    <t>ETLCUST-04637</t>
  </si>
  <si>
    <t>S S ENTERPRISE - GAZIPUR</t>
  </si>
  <si>
    <t>ETLCUST-00331</t>
  </si>
  <si>
    <t>COMPUTER STORE BD - GULSHAN</t>
  </si>
  <si>
    <t>ETLCUST-03886</t>
  </si>
  <si>
    <t>ENSIGN TECHNOLOGIES LIMITED - FAKIRAPOOL</t>
  </si>
  <si>
    <t>ETLCUST-00337</t>
  </si>
  <si>
    <t>COMPUTER PATHOLOGY - UTTARA</t>
  </si>
  <si>
    <t>ETLCUST-00460</t>
  </si>
  <si>
    <t>H. RAHMAN AND CO. - STADIUM</t>
  </si>
  <si>
    <t>ETLCUST-03376</t>
  </si>
  <si>
    <t>DIGITAL ENTERPRISE - MOULVIBAZAR</t>
  </si>
  <si>
    <t>ETLCUST-02829</t>
  </si>
  <si>
    <t>SOFTYPI TECHNOLOGY - KURIL</t>
  </si>
  <si>
    <t>ETLCUST-01225</t>
  </si>
  <si>
    <t>KHAN ELECTRONICS - GULISTAN</t>
  </si>
  <si>
    <t>ETLCUST-01223</t>
  </si>
  <si>
    <t>G.S ENTERPRISE - PALTAN</t>
  </si>
  <si>
    <t>ETLCUST-00157</t>
  </si>
  <si>
    <t>3G MOBILE TECHNOLOGY - UTTARA</t>
  </si>
  <si>
    <t>ETLCUST-04111</t>
  </si>
  <si>
    <t>NETLINK COMPUTERS - MOTIJHEEL</t>
  </si>
  <si>
    <t>ETLCUST-00380</t>
  </si>
  <si>
    <t>BANGLALION COMMUNICATION LTD</t>
  </si>
  <si>
    <t>ETLCUST-01862</t>
  </si>
  <si>
    <t>STATE UNIVERSITY OF BANGLADESH</t>
  </si>
  <si>
    <t>ETLCUST-01201</t>
  </si>
  <si>
    <t>SHAHNOOR ELECTRONICS - MOTIJHEEL</t>
  </si>
  <si>
    <t>ETLCUST-04922</t>
  </si>
  <si>
    <t>M/S ZAKIR ELECTRONICS - GAZIPUR</t>
  </si>
  <si>
    <t>ETLCUST-04641</t>
  </si>
  <si>
    <t>SARGAM ELECTONICS - STADIUM MARKET</t>
  </si>
  <si>
    <t>ETLCUST-01398</t>
  </si>
  <si>
    <t>NEW BUSINESS ASIA - TONGI</t>
  </si>
  <si>
    <t>ETLCUST-01229</t>
  </si>
  <si>
    <t>SKY COMPUTER - PALTAN</t>
  </si>
  <si>
    <t>ETLCUST-00089</t>
  </si>
  <si>
    <t>CRYSTAL MARTIN APPAREL BD.LIMITED</t>
  </si>
  <si>
    <t>ETLCUST-01885</t>
  </si>
  <si>
    <t>RELIANCE TECHNOLOGY - SHANTINAGAR</t>
  </si>
  <si>
    <t>ETLCUST-01815</t>
  </si>
  <si>
    <t>SUR WATCH CO - PATUATULLY</t>
  </si>
  <si>
    <t>ETLCUST-01394</t>
  </si>
  <si>
    <t>LAPTOP BD - UTTARA</t>
  </si>
  <si>
    <t>ETLCUST-01441</t>
  </si>
  <si>
    <t>JNG TRADING - CHANDARA</t>
  </si>
  <si>
    <t>ETLCUST-04503</t>
  </si>
  <si>
    <t>FNA COMPUTER - STADIUM MARKET</t>
  </si>
  <si>
    <t>ETLCUST-01436</t>
  </si>
  <si>
    <t>KHAN ENTERPRISE - GAZIPUR</t>
  </si>
  <si>
    <t>ETLCUST-00384</t>
  </si>
  <si>
    <t>ADVENT TECHNOLOGY</t>
  </si>
  <si>
    <t>ETLCUST-00334</t>
  </si>
  <si>
    <t>S.B COMPUTERS</t>
  </si>
  <si>
    <t>ETLCUST-04445</t>
  </si>
  <si>
    <t>MULTI BUSINESS AND IT SOLUTION - PALTAN</t>
  </si>
  <si>
    <t>ETLCUST-03773</t>
  </si>
  <si>
    <t>SEBA COMPUTER - UTTARA</t>
  </si>
  <si>
    <t>ETLCUST-04193</t>
  </si>
  <si>
    <t>SIMPEX CORPORATION - PALTAN</t>
  </si>
  <si>
    <t>ETLCUST-02601</t>
  </si>
  <si>
    <t>JALAL ENTERPRISE - DHAKA</t>
  </si>
  <si>
    <t>ETLCUST-04370</t>
  </si>
  <si>
    <t>J A TRADERS - MOTIJHEEL</t>
  </si>
  <si>
    <t>ETLCUST-01587</t>
  </si>
  <si>
    <t>ANWAR ELECTRONICS AND COMPUTER WORLD - NWABPUR</t>
  </si>
  <si>
    <t>ETLCUST-01593</t>
  </si>
  <si>
    <t>S.S ELECTRONICS - KERANIGONJ</t>
  </si>
  <si>
    <t>ETLCUST-01235</t>
  </si>
  <si>
    <t>RAJU ENTERPRISE - PATUATULI</t>
  </si>
  <si>
    <t>ETLCUST-00462</t>
  </si>
  <si>
    <t>R.N ELECTRONICS - GULISTAN</t>
  </si>
  <si>
    <t>ETLCUST-01820</t>
  </si>
  <si>
    <t>RUBEL ELECTRONICS - B.MOKARRAM</t>
  </si>
  <si>
    <t>ETLCUST-01590</t>
  </si>
  <si>
    <t>MITALI ELECTRONICS - KERANIGONJ</t>
  </si>
  <si>
    <t>ETLCUST-03925</t>
  </si>
  <si>
    <t>JOBO COMPUTER CAREGARE - MUGDAPARA</t>
  </si>
  <si>
    <t>ETLCUST-01219</t>
  </si>
  <si>
    <t>AMIT COMPUTERS - NAWABGONJ</t>
  </si>
  <si>
    <t>ETLCUST-04042</t>
  </si>
  <si>
    <t>NEW FAMOUS ELECTRONICS - NAWABPUR</t>
  </si>
  <si>
    <t>ETLCUST-00478</t>
  </si>
  <si>
    <t>SHILA ENTERPRISE - GULISTAN</t>
  </si>
  <si>
    <t>ETLCUST-01222</t>
  </si>
  <si>
    <t>LEADS CORPORATION LTD - MOTIJHEEL</t>
  </si>
  <si>
    <t>ETLCUST-02912</t>
  </si>
  <si>
    <t>SHILA ELECTRONICS -GULISTAN</t>
  </si>
  <si>
    <t>ETLCUST-01811</t>
  </si>
  <si>
    <t>DAWAN ENTERPRISE - GULISTAN</t>
  </si>
  <si>
    <t>ETLCUST-03103</t>
  </si>
  <si>
    <t>JAKARIA ELECTRONICS - GULTISTAN</t>
  </si>
  <si>
    <t>ETLCUST-02979</t>
  </si>
  <si>
    <t>CASH CUSTOMER - SHAMIM HOSSAIN</t>
  </si>
  <si>
    <t>ETLCUST-01890</t>
  </si>
  <si>
    <t>SATKANIA ENTERPRISE - NAWABPUR</t>
  </si>
  <si>
    <t>ETLCUST-03759</t>
  </si>
  <si>
    <t>NIROB ELECTRONICS 2 - GULISTAN</t>
  </si>
  <si>
    <t>ETLCUST-00481</t>
  </si>
  <si>
    <t>NOBIN BANGLADESH - LALBAGH</t>
  </si>
  <si>
    <t>ETLCUST-03124</t>
  </si>
  <si>
    <t>RIDOY ELECTRONICS - NABABPUR</t>
  </si>
  <si>
    <t>ETLCUST-01588</t>
  </si>
  <si>
    <t>RAZZAK ELECTRONICS - NAWABGANJ</t>
  </si>
  <si>
    <t>ETLCUST-01810</t>
  </si>
  <si>
    <t>SCS COURIER SERVICE - FAKIRAPUL</t>
  </si>
  <si>
    <t>ETLCUST-00962</t>
  </si>
  <si>
    <t>PAPIYA ELECTRONICS - NABABPUR</t>
  </si>
  <si>
    <t>ETLCUST-02954</t>
  </si>
  <si>
    <t>MAKKA COMPUTER AND ELECTRONICS - GULISTAN</t>
  </si>
  <si>
    <t>ETLCUST-04330</t>
  </si>
  <si>
    <t>NAZMA ELECTRONICS - MOTIJHEEL</t>
  </si>
  <si>
    <t>ETLCUST-01202</t>
  </si>
  <si>
    <t>ARYAN ELECTRONICS - B.MOKARRAM</t>
  </si>
  <si>
    <t>ETLCUST-03118</t>
  </si>
  <si>
    <t>LITON TRADING - GULISTAN</t>
  </si>
  <si>
    <t>ETLCUST-01897</t>
  </si>
  <si>
    <t>SARKER COMPUTER AND ELECTRONICS - GULISTAN</t>
  </si>
  <si>
    <t>ETLCUST-04316</t>
  </si>
  <si>
    <t>AFNAN ELECTRONICS - GULISTAN</t>
  </si>
  <si>
    <t>ETLCUST-01221</t>
  </si>
  <si>
    <t>CD PLUS - STADIUM</t>
  </si>
  <si>
    <t>ETLCUST-00459</t>
  </si>
  <si>
    <t>RAZZAK ENTERPRISE - GULISTAN</t>
  </si>
  <si>
    <t>ETLCUST-01589</t>
  </si>
  <si>
    <t>POLY INTERNATIONAL - GULISTAN</t>
  </si>
  <si>
    <t>ETLCUST-00961</t>
  </si>
  <si>
    <t>ARAFAT ELECTRONICS - KERANIGONJ</t>
  </si>
  <si>
    <t>ETLCUST-00933</t>
  </si>
  <si>
    <t>SARKER IT BAZAR - GULISTAN</t>
  </si>
  <si>
    <t>ETLCUST-00965</t>
  </si>
  <si>
    <t>MOLLA TRADING -GULISTAN</t>
  </si>
  <si>
    <t>ETLCUST-03165</t>
  </si>
  <si>
    <t>SI-TECH COMPUTER - MOTIJHEEL</t>
  </si>
  <si>
    <t>ETLCUST-03744</t>
  </si>
  <si>
    <t>MSP SOLUTION - PALTAN</t>
  </si>
  <si>
    <t>ETLCUST-01220</t>
  </si>
  <si>
    <t>SPARROW TECHNOLOGIES LTD - MIRPUR</t>
  </si>
  <si>
    <t>ETLCUST-03267</t>
  </si>
  <si>
    <t>L R ENTERPRISE - GULISTAN</t>
  </si>
  <si>
    <t>ETLCUST-00479</t>
  </si>
  <si>
    <t>ALFA ELECTRONICS - GULISTAN</t>
  </si>
  <si>
    <t>ETLCUST-01895</t>
  </si>
  <si>
    <t>DEST ENTERPRISE - STADIUM</t>
  </si>
  <si>
    <t>ETLCUST-00960</t>
  </si>
  <si>
    <t>MASTER ELECTRONICS - GULISTAN</t>
  </si>
  <si>
    <t>ETLCUST-00358</t>
  </si>
  <si>
    <t>APPRO TECHNOLOGY - GULSHAN</t>
  </si>
  <si>
    <t>ETLCUST-00090</t>
  </si>
  <si>
    <t>IT WORLD - UTTARA</t>
  </si>
  <si>
    <t>ETLCUST-00091</t>
  </si>
  <si>
    <t>SILVER SHINE - UTTARA</t>
  </si>
  <si>
    <t>ETLCUST-00092</t>
  </si>
  <si>
    <t>COMPUTER ZONE - UTTARA</t>
  </si>
  <si>
    <t>ETLCUST-00094</t>
  </si>
  <si>
    <t>S.M. COMPUTER - UTTARA</t>
  </si>
  <si>
    <t>ETLCUST-00106</t>
  </si>
  <si>
    <t>AMIKINEE.COM - GULSHAN</t>
  </si>
  <si>
    <t>ETLCUST-00108</t>
  </si>
  <si>
    <t>ESSENTIAL CLOTHING LTD - GAZIPUR</t>
  </si>
  <si>
    <t>ETLCUST-00111</t>
  </si>
  <si>
    <t>NETWORK BAZAR - UTTARA</t>
  </si>
  <si>
    <t>ETLCUST-00112</t>
  </si>
  <si>
    <t>INDEX IT SERVICE - UTTARA</t>
  </si>
  <si>
    <t>ETLCUST-00113</t>
  </si>
  <si>
    <t>ISLAM TRADING CORPORATION - UTTARA</t>
  </si>
  <si>
    <t>ETLCUST-00115</t>
  </si>
  <si>
    <t>GLOBAL NETWORK SOLUTIONS BD - UTTARA</t>
  </si>
  <si>
    <t>ETLCUST-00116</t>
  </si>
  <si>
    <t>BONDHON ELECTRIC AND ELECTRONICS - UTTARA</t>
  </si>
  <si>
    <t>ETLCUST-00326</t>
  </si>
  <si>
    <t>EARTH COMPUTER FAIR - KHILKHET</t>
  </si>
  <si>
    <t>ETLCUST-00347</t>
  </si>
  <si>
    <t>HR COLLECTION - JFP</t>
  </si>
  <si>
    <t>ETLCUST-00350</t>
  </si>
  <si>
    <t>SYNCHRONOUS - J FUTURE PARK</t>
  </si>
  <si>
    <t>ETLCUST-00357</t>
  </si>
  <si>
    <t>HAFSA COMPUTER - BARIDHARA</t>
  </si>
  <si>
    <t>ETLCUST-00360</t>
  </si>
  <si>
    <t>MOMOTA COMPUTER - BADDA</t>
  </si>
  <si>
    <t>ETLCUST-00361</t>
  </si>
  <si>
    <t>COMPUTER SOLUTIONS INC. - BANANI</t>
  </si>
  <si>
    <t>ETLCUST-00386</t>
  </si>
  <si>
    <t>EPIC AIRWAYS LIMITED - UTTARA</t>
  </si>
  <si>
    <t>ETLCUST-00387</t>
  </si>
  <si>
    <t>BARCODE AUTOMATION LTD - BANANI</t>
  </si>
  <si>
    <t>ETLCUST-00388</t>
  </si>
  <si>
    <t>BANGLALINK DIGITAL COMMUNICATION LTD - MOHAKHALI</t>
  </si>
  <si>
    <t>ETLCUST-01403</t>
  </si>
  <si>
    <t>SECURITY SOLUTION TECHNOLOGY-SST - UTTARA</t>
  </si>
  <si>
    <t>ETLCUST-01404</t>
  </si>
  <si>
    <t>BISMILLAH COMPUTER - UTTARA</t>
  </si>
  <si>
    <t>ETLCUST-01406</t>
  </si>
  <si>
    <t>PRODIP COMPUTER - TONGI</t>
  </si>
  <si>
    <t>ETLCUST-01409</t>
  </si>
  <si>
    <t>ENAT SMART SECURITY - GAZIPUR</t>
  </si>
  <si>
    <t>ETLCUST-01410</t>
  </si>
  <si>
    <t>FAHIM TRADERS - KONABARI</t>
  </si>
  <si>
    <t>ETLCUST-01412</t>
  </si>
  <si>
    <t>ELECTRO FAIR - KONABARI</t>
  </si>
  <si>
    <t>ETLCUST-01418</t>
  </si>
  <si>
    <t>BONDHU ELECTRIC - TONGI</t>
  </si>
  <si>
    <t>ETLCUST-01715</t>
  </si>
  <si>
    <t>MIN SHENG LINES BD LTD - MOHAKHALI</t>
  </si>
  <si>
    <t>ETLCUST-01716</t>
  </si>
  <si>
    <t>SHOPNO BORNO - MOHAKHALI</t>
  </si>
  <si>
    <t>ETLCUST-01717</t>
  </si>
  <si>
    <t>ABDULLAH AL MAHMUD</t>
  </si>
  <si>
    <t>ETLCUST-01718</t>
  </si>
  <si>
    <t>SEVERAL SERVICE - BADDA</t>
  </si>
  <si>
    <t>ETLCUST-01719</t>
  </si>
  <si>
    <t>NIKUNJA ONLINE - UTTARA</t>
  </si>
  <si>
    <t>ETLCUST-01916</t>
  </si>
  <si>
    <t>SIRAJGANJ ELECTRONICS - GAZIPUR</t>
  </si>
  <si>
    <t>ETLCUST-03068</t>
  </si>
  <si>
    <t>SATATA ELECTRONICS AND FURNITURE - GAZIPUR</t>
  </si>
  <si>
    <t>ETLCUST-03488</t>
  </si>
  <si>
    <t>LINK INTERNATIONAL - BADDA</t>
  </si>
  <si>
    <t>ETLCUST-00466</t>
  </si>
  <si>
    <t>SWAN ELECTRONICS - GULISTAN</t>
  </si>
  <si>
    <t>ETLCUST-00469</t>
  </si>
  <si>
    <t>BAR AWLIA ELECTRONICS - GULISTAN</t>
  </si>
  <si>
    <t>ETLCUST-00934</t>
  </si>
  <si>
    <t>TAHASIN TRADERS - GULISTAN</t>
  </si>
  <si>
    <t>ETLCUST-00937</t>
  </si>
  <si>
    <t>MYNEE ELECTRONICS CO - GULISTAN</t>
  </si>
  <si>
    <t>ETLCUST-00943</t>
  </si>
  <si>
    <t>SHARMIN COMPUTERS - GULISTAN</t>
  </si>
  <si>
    <t>ETLCUST-00944</t>
  </si>
  <si>
    <t>SHAH ELECTRONICS - ZINZIRA</t>
  </si>
  <si>
    <t>ETLCUST-00947</t>
  </si>
  <si>
    <t>TOHA ENTERPRISE - GULISTAN</t>
  </si>
  <si>
    <t>ETLCUST-00950</t>
  </si>
  <si>
    <t>DHAKA ENTERPRISE - GULISTAN</t>
  </si>
  <si>
    <t>ETLCUST-00956</t>
  </si>
  <si>
    <t>GREEN BANGLA COMPUTER - GULISTAN</t>
  </si>
  <si>
    <t>ETLCUST-00963</t>
  </si>
  <si>
    <t>S.M. TELECOM - GULISTAN</t>
  </si>
  <si>
    <t>ETLCUST-00966</t>
  </si>
  <si>
    <t>FRISCON INTERNATIONAL - GULISTAN</t>
  </si>
  <si>
    <t>ETLCUST-01203</t>
  </si>
  <si>
    <t>R.M.ASSOCIATES - FAKIRAPOOL</t>
  </si>
  <si>
    <t>ETLCUST-01205</t>
  </si>
  <si>
    <t>PREMIERTECH - PVT LIMITED - EASTERN PLUS</t>
  </si>
  <si>
    <t>ETLCUST-01207</t>
  </si>
  <si>
    <t>GREAT TECHNOLOGIES - GULISTAN</t>
  </si>
  <si>
    <t>ETLCUST-01213</t>
  </si>
  <si>
    <t>DIAMOND ELECTRONICS - STADIUM</t>
  </si>
  <si>
    <t>ETLCUST-01218</t>
  </si>
  <si>
    <t>N.A CAMERA HOUSE - PURANA PALTAN</t>
  </si>
  <si>
    <t>ETLCUST-01234</t>
  </si>
  <si>
    <t>CAMERA ZOOM - STADIUM</t>
  </si>
  <si>
    <t>ETLCUST-01237</t>
  </si>
  <si>
    <t>TECHNO ZONE - PATUATULI</t>
  </si>
  <si>
    <t>ETLCUST-01238</t>
  </si>
  <si>
    <t>DIGI-TECH - PALTAN</t>
  </si>
  <si>
    <t>ETLCUST-01240</t>
  </si>
  <si>
    <t>SOHEL ENTERPRISE - JATRABARI</t>
  </si>
  <si>
    <t>ETLCUST-01241</t>
  </si>
  <si>
    <t>I-TECH SOLUTION - JURAIN</t>
  </si>
  <si>
    <t>ETLCUST-01243</t>
  </si>
  <si>
    <t>J.M. ELECTRONICS - PATUATULI</t>
  </si>
  <si>
    <t>ETLCUST-01565</t>
  </si>
  <si>
    <t>DUBAI ELECTRONICS - GULISTAN</t>
  </si>
  <si>
    <t>ETLCUST-01566</t>
  </si>
  <si>
    <t>NOVA ELECTONICS - GULISTAN</t>
  </si>
  <si>
    <t>ETLCUST-01567</t>
  </si>
  <si>
    <t>AMIN ENTERPRISE - GULISTAN</t>
  </si>
  <si>
    <t>ETLCUST-01572</t>
  </si>
  <si>
    <t>DEEPA ELECTRONICS - NAWABPUR</t>
  </si>
  <si>
    <t>ETLCUST-01575</t>
  </si>
  <si>
    <t>FAMOUS ELECTRONICS - GULISTAN</t>
  </si>
  <si>
    <t>ETLCUST-01579</t>
  </si>
  <si>
    <t>SOHEL ELECTRONICS - GULISTAN</t>
  </si>
  <si>
    <t>ETLCUST-01678</t>
  </si>
  <si>
    <t>ASPOR - HATIRPUL</t>
  </si>
  <si>
    <t>ETLCUST-01812</t>
  </si>
  <si>
    <t>ROSSLYN ELECTRONICS - NAWABPUR</t>
  </si>
  <si>
    <t>ETLCUST-01813</t>
  </si>
  <si>
    <t>NIZAM UDDIN - NAWABPUR</t>
  </si>
  <si>
    <t>ETLCUST-01821</t>
  </si>
  <si>
    <t>PATUAKHALIZILA SAMITTEE - PALTAN</t>
  </si>
  <si>
    <t>ETLCUST-01822</t>
  </si>
  <si>
    <t>TECHNO HAVEN - MOTIJHEEL</t>
  </si>
  <si>
    <t>ETLCUST-01823</t>
  </si>
  <si>
    <t>PERFECT IT SERVICES - MOTIJHEEL</t>
  </si>
  <si>
    <t>ETLCUST-01824</t>
  </si>
  <si>
    <t>H M COMPUTER - MOTIJHEEL</t>
  </si>
  <si>
    <t>ETLCUST-01825</t>
  </si>
  <si>
    <t>ETLCUST-01863</t>
  </si>
  <si>
    <t>KAZAL PHOTOGRAPHICS - PALTAN</t>
  </si>
  <si>
    <t>ETLCUST-01864</t>
  </si>
  <si>
    <t>HIGH QUALITY TECHNOLOGY - MOTIJHEEL</t>
  </si>
  <si>
    <t>ETLCUST-01866</t>
  </si>
  <si>
    <t>DIGITAL PHOTO BAZAR - PALTAN</t>
  </si>
  <si>
    <t>ETLCUST-01867</t>
  </si>
  <si>
    <t>TRUST COMPUTERS - MOTIJHEEL</t>
  </si>
  <si>
    <t>ETLCUST-01873</t>
  </si>
  <si>
    <t>TRADE CORPORATION - PALTON</t>
  </si>
  <si>
    <t>ETLCUST-01876</t>
  </si>
  <si>
    <t>B.K. BUSINESS CENTER - PALTAN</t>
  </si>
  <si>
    <t>ETLCUST-01881</t>
  </si>
  <si>
    <t>RONY ENTERPRISE - MOTIJHEEL</t>
  </si>
  <si>
    <t>ETLCUST-03455</t>
  </si>
  <si>
    <t>NAFISHA ENTERPRISE -MOTIJHEEL</t>
  </si>
  <si>
    <t>ETLCUST-00119</t>
  </si>
  <si>
    <t>SOFTZONE INC - UTTARA</t>
  </si>
  <si>
    <t>ETLCUST-00945</t>
  </si>
  <si>
    <t>SHIFA ELECTRONIC - GULISTAN</t>
  </si>
  <si>
    <t>ETLCUST-00351</t>
  </si>
  <si>
    <t>COMPUTER HOME - JAMUNA FUTURE PARK</t>
  </si>
  <si>
    <t>ETLCUST-04480</t>
  </si>
  <si>
    <t>HS TECHNOLOGY - MAHAKHALI</t>
  </si>
  <si>
    <t>ETLCUST-03076</t>
  </si>
  <si>
    <t>RAFIQUE ELECTRONICS - PATUATULI</t>
  </si>
  <si>
    <t>ETLCUST-00107</t>
  </si>
  <si>
    <t>B.C COMPUTER - UTTARA</t>
  </si>
  <si>
    <t>ETLCUST-00338</t>
  </si>
  <si>
    <t>RAHA COMPUTER - UTTARA</t>
  </si>
  <si>
    <t>ETLCUST-00340</t>
  </si>
  <si>
    <t>F13 SOLUTION - UTTARA</t>
  </si>
  <si>
    <t>ETLCUST-00341</t>
  </si>
  <si>
    <t>IMPULSE INTERNATIONAL - UTTARA</t>
  </si>
  <si>
    <t>ETLCUST-00342</t>
  </si>
  <si>
    <t>EN CORPORATION - GULSHAN</t>
  </si>
  <si>
    <t>ETLCUST-00345</t>
  </si>
  <si>
    <t>UNITED COMMERCIAL COMPUTER - BADDA</t>
  </si>
  <si>
    <t>ETLCUST-00346</t>
  </si>
  <si>
    <t>M.M. COMPUTER - KHILKHET</t>
  </si>
  <si>
    <t>ETLCUST-00348</t>
  </si>
  <si>
    <t>TARIF ENTERPRISE - BADDA</t>
  </si>
  <si>
    <t>ETLCUST-00931</t>
  </si>
  <si>
    <t>P4 TRADING - GULISTAN</t>
  </si>
  <si>
    <t>ETLCUST-00939</t>
  </si>
  <si>
    <t>SUPER KING - GULISTAN</t>
  </si>
  <si>
    <t>ETLCUST-01570</t>
  </si>
  <si>
    <t>RANA ELECTRONICS - GULISTAN</t>
  </si>
  <si>
    <t>ETLCUST-03408</t>
  </si>
  <si>
    <t>ISRAT TRADE INTERNATIONAL - GULISTAN</t>
  </si>
  <si>
    <t>ETLCUST-00349</t>
  </si>
  <si>
    <t>NET BANGLA LTD - UTTARA</t>
  </si>
  <si>
    <t>ETLCUST-04424</t>
  </si>
  <si>
    <t>SMART SOFT LIMITED - BANANI</t>
  </si>
  <si>
    <t>ETLCUST-02964</t>
  </si>
  <si>
    <t>AL - FARUQUE ELECTRONICS - MOTIJHEEL</t>
  </si>
  <si>
    <t>ETLCUST-00321</t>
  </si>
  <si>
    <t>R.R. COMPUTERS - BANANI</t>
  </si>
  <si>
    <t>ETLCUST-01239</t>
  </si>
  <si>
    <t>IT GARDEN - E.PLUS</t>
  </si>
  <si>
    <t>ETLCUST-05260</t>
  </si>
  <si>
    <t>S.K ENERGY SOLUTION - JATRABARI</t>
  </si>
  <si>
    <t>Total Yearly Target 26</t>
  </si>
  <si>
    <t xml:space="preserve">Total Achievement jan to june </t>
  </si>
  <si>
    <t>Achievment%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</si>
</sst>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0"/>
      <name val="Times New Roman"/>
      <family val="1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sz val="8"/>
      <color theme="6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2" fillId="0" borderId="5" xfId="1" applyNumberFormat="1" applyFont="1" applyBorder="1" applyAlignment="1">
      <alignment horizontal="left" vertical="center"/>
    </xf>
    <xf numFmtId="9" fontId="2" fillId="0" borderId="5" xfId="2" applyFont="1" applyBorder="1" applyAlignment="1">
      <alignment horizontal="left" vertical="center"/>
    </xf>
    <xf numFmtId="9" fontId="3" fillId="0" borderId="5" xfId="2" applyFont="1" applyBorder="1" applyAlignment="1">
      <alignment horizontal="left" vertical="center"/>
    </xf>
    <xf numFmtId="9" fontId="2" fillId="0" borderId="6" xfId="2" applyFont="1" applyBorder="1" applyAlignment="1">
      <alignment horizontal="left" vertical="center"/>
    </xf>
    <xf numFmtId="9" fontId="2" fillId="0" borderId="0" xfId="2" applyFont="1" applyBorder="1" applyAlignment="1">
      <alignment horizontal="left" vertical="center"/>
    </xf>
    <xf numFmtId="9" fontId="6" fillId="0" borderId="6" xfId="2" applyFont="1" applyBorder="1" applyAlignment="1">
      <alignment horizontal="left" vertical="center"/>
    </xf>
    <xf numFmtId="9" fontId="6" fillId="0" borderId="0" xfId="2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23.2\RezaulKibria_s%20Workplace\Current%20Folder\2026\July\Sales%20repor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 Cutomers Brand Sales"/>
      <sheetName val="Q2 Customer Monthly Sales "/>
      <sheetName val="Q2 Raw"/>
      <sheetName val="Co-ordinatore sales"/>
      <sheetName val="Sales Person wise 2026 Ach"/>
      <sheetName val="2026 Customer Brand Sales"/>
      <sheetName val="2026 Branch Wise Brand Sales"/>
      <sheetName val="Q1 &amp; Q2 Zone wise Brand Sales"/>
      <sheetName val="Sheet1"/>
      <sheetName val="query_1"/>
    </sheetNames>
    <sheetDataSet>
      <sheetData sheetId="0"/>
      <sheetData sheetId="1"/>
      <sheetData sheetId="2"/>
      <sheetData sheetId="3"/>
      <sheetData sheetId="4"/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</row>
        <row r="2">
          <cell r="F2">
            <v>5181178.7300000004</v>
          </cell>
          <cell r="G2">
            <v>131948416.31</v>
          </cell>
          <cell r="H2">
            <v>50328898.440000005</v>
          </cell>
          <cell r="I2">
            <v>20497129.039999999</v>
          </cell>
          <cell r="J2">
            <v>2791635</v>
          </cell>
          <cell r="K2">
            <v>6591685</v>
          </cell>
          <cell r="L2">
            <v>37927877.909999996</v>
          </cell>
          <cell r="M2">
            <v>2093365.9300000002</v>
          </cell>
          <cell r="N2">
            <v>34217384.969999999</v>
          </cell>
          <cell r="O2">
            <v>607980</v>
          </cell>
          <cell r="P2">
            <v>34206265.549999997</v>
          </cell>
          <cell r="Q2">
            <v>858320</v>
          </cell>
          <cell r="R2">
            <v>192633326.65000001</v>
          </cell>
          <cell r="S2">
            <v>19441820.899999995</v>
          </cell>
          <cell r="T2">
            <v>197927910</v>
          </cell>
          <cell r="U2">
            <v>67663674.310000002</v>
          </cell>
          <cell r="V2">
            <v>9072195.9100000001</v>
          </cell>
          <cell r="W2">
            <v>-14470</v>
          </cell>
          <cell r="X2">
            <v>942974450.77999997</v>
          </cell>
          <cell r="Y2">
            <v>38301217.390000001</v>
          </cell>
          <cell r="Z2">
            <v>1416800</v>
          </cell>
          <cell r="AA2">
            <v>23830554.090000004</v>
          </cell>
          <cell r="AB2">
            <v>1758259.5899999999</v>
          </cell>
          <cell r="AC2">
            <v>168421.82</v>
          </cell>
          <cell r="AD2">
            <v>12943152.210000001</v>
          </cell>
          <cell r="AE2">
            <v>33380242.209999993</v>
          </cell>
          <cell r="AF2">
            <v>72486835.450000003</v>
          </cell>
          <cell r="AG2">
            <v>1540000.1</v>
          </cell>
          <cell r="AH2">
            <v>1219500</v>
          </cell>
          <cell r="AI2">
            <v>114396.36</v>
          </cell>
          <cell r="AJ2">
            <v>110739499.71000001</v>
          </cell>
          <cell r="AK2">
            <v>22423115.66</v>
          </cell>
          <cell r="AL2">
            <v>97142490</v>
          </cell>
          <cell r="AM2">
            <v>222093610</v>
          </cell>
          <cell r="AN2">
            <v>8698290</v>
          </cell>
          <cell r="AO2">
            <v>23923783</v>
          </cell>
          <cell r="AP2">
            <v>5004869.3500000006</v>
          </cell>
          <cell r="AQ2">
            <v>9389</v>
          </cell>
          <cell r="AR2">
            <v>48424152.170000002</v>
          </cell>
          <cell r="AS2">
            <v>25071756.43</v>
          </cell>
          <cell r="AT2">
            <v>22026565.439999998</v>
          </cell>
          <cell r="AU2">
            <v>24360</v>
          </cell>
          <cell r="AV2">
            <v>57273912.789999999</v>
          </cell>
          <cell r="AW2">
            <v>302681.84000000003</v>
          </cell>
          <cell r="AX2">
            <v>10500</v>
          </cell>
          <cell r="AY2">
            <v>4091838.4999999995</v>
          </cell>
          <cell r="AZ2">
            <v>43026410</v>
          </cell>
          <cell r="BA2">
            <v>2178491381.5699997</v>
          </cell>
        </row>
        <row r="3">
          <cell r="A3" t="str">
            <v>Customer Code</v>
          </cell>
          <cell r="B3" t="str">
            <v>Customer Name</v>
          </cell>
          <cell r="C3" t="str">
            <v>Sales Person</v>
          </cell>
          <cell r="D3" t="str">
            <v>Zone</v>
          </cell>
          <cell r="E3" t="str">
            <v>Co-ordinator</v>
          </cell>
          <cell r="F3" t="str">
            <v>AVER</v>
          </cell>
          <cell r="G3" t="str">
            <v>C-DATA</v>
          </cell>
          <cell r="H3" t="str">
            <v>CISCO</v>
          </cell>
          <cell r="I3" t="str">
            <v>COMMSCOPE</v>
          </cell>
          <cell r="J3" t="str">
            <v>CSP</v>
          </cell>
          <cell r="K3" t="str">
            <v>CYBER Security/SOHOS/FORTINATE/TRENDMICRO</v>
          </cell>
          <cell r="L3" t="str">
            <v>DAHUA</v>
          </cell>
          <cell r="M3" t="str">
            <v>DATEUP</v>
          </cell>
          <cell r="N3" t="str">
            <v>DELL</v>
          </cell>
          <cell r="O3" t="str">
            <v>DIGITALX TONER</v>
          </cell>
          <cell r="P3" t="str">
            <v>DIGITALX UPS</v>
          </cell>
          <cell r="Q3" t="str">
            <v>DR.COM</v>
          </cell>
          <cell r="R3" t="str">
            <v>EPSON</v>
          </cell>
          <cell r="S3" t="str">
            <v>EXTERNAL BRAND</v>
          </cell>
          <cell r="T3" t="str">
            <v>EZVIZ</v>
          </cell>
          <cell r="U3" t="str">
            <v>GRANDSTREAM</v>
          </cell>
          <cell r="V3" t="str">
            <v>HIKSEMI</v>
          </cell>
          <cell r="W3" t="str">
            <v>HIK-STORAGE</v>
          </cell>
          <cell r="X3" t="str">
            <v>HIKVISION</v>
          </cell>
          <cell r="Y3" t="str">
            <v>HIKVISION IFPD</v>
          </cell>
          <cell r="Z3" t="str">
            <v>HILOOK</v>
          </cell>
          <cell r="AA3" t="str">
            <v>HUAWEI</v>
          </cell>
          <cell r="AB3" t="str">
            <v>ITC</v>
          </cell>
          <cell r="AC3" t="str">
            <v>JUNIPER</v>
          </cell>
          <cell r="AD3" t="str">
            <v>KYOCERA(MFP)</v>
          </cell>
          <cell r="AE3" t="str">
            <v>KYOCERA(MPS)</v>
          </cell>
          <cell r="AF3" t="str">
            <v>LENOVO</v>
          </cell>
          <cell r="AG3" t="str">
            <v>LILIN</v>
          </cell>
          <cell r="AH3" t="str">
            <v>LOCAL FDS</v>
          </cell>
          <cell r="AI3" t="str">
            <v>LOCAL-FPS</v>
          </cell>
          <cell r="AJ3" t="str">
            <v>LOGITECH</v>
          </cell>
          <cell r="AK3" t="str">
            <v>MARSRIVA (Online)</v>
          </cell>
          <cell r="AL3" t="str">
            <v>MARSRIVA DC UPS</v>
          </cell>
          <cell r="AM3" t="str">
            <v>MERCUSYS</v>
          </cell>
          <cell r="AN3" t="str">
            <v>METZ</v>
          </cell>
          <cell r="AO3" t="str">
            <v>MICROPACK</v>
          </cell>
          <cell r="AP3" t="str">
            <v>MIKROTIK</v>
          </cell>
          <cell r="AQ3" t="str">
            <v>NONBRAND</v>
          </cell>
          <cell r="AR3" t="str">
            <v>OMADA</v>
          </cell>
          <cell r="AS3" t="str">
            <v>OPTOMA</v>
          </cell>
          <cell r="AT3" t="str">
            <v>PANTUM</v>
          </cell>
          <cell r="AU3" t="str">
            <v>PARAMOUNT</v>
          </cell>
          <cell r="AV3" t="str">
            <v>ROSENBERGER</v>
          </cell>
          <cell r="AW3" t="str">
            <v>SEAGATE</v>
          </cell>
          <cell r="AX3" t="str">
            <v>SECUGEN</v>
          </cell>
          <cell r="AY3" t="str">
            <v>SERVICE BRAND</v>
          </cell>
          <cell r="AZ3" t="str">
            <v>SPEAKER</v>
          </cell>
          <cell r="BA3" t="str">
            <v>TP-LINK</v>
          </cell>
        </row>
        <row r="4">
          <cell r="A4" t="str">
            <v>ETLCUST-05354</v>
          </cell>
          <cell r="B4" t="str">
            <v>10G NETWORK - KHULNA</v>
          </cell>
          <cell r="C4" t="str">
            <v>Imrul Rayhan</v>
          </cell>
          <cell r="D4" t="str">
            <v>Khulna</v>
          </cell>
          <cell r="E4" t="str">
            <v>Khulna</v>
          </cell>
          <cell r="X4">
            <v>8500</v>
          </cell>
        </row>
        <row r="5">
          <cell r="A5" t="str">
            <v>ETLCUST-04229</v>
          </cell>
          <cell r="B5" t="str">
            <v>3 STAR COMPUTER - PATUAKHALI</v>
          </cell>
          <cell r="C5" t="str">
            <v>Shah Imran</v>
          </cell>
          <cell r="D5" t="str">
            <v>South Bengal</v>
          </cell>
          <cell r="E5" t="str">
            <v>South Bengal</v>
          </cell>
          <cell r="P5">
            <v>12800</v>
          </cell>
          <cell r="R5">
            <v>152000</v>
          </cell>
          <cell r="X5">
            <v>309750</v>
          </cell>
          <cell r="AM5">
            <v>6900</v>
          </cell>
          <cell r="BA5">
            <v>4900</v>
          </cell>
        </row>
        <row r="6">
          <cell r="A6" t="str">
            <v>ETLCUST-02511</v>
          </cell>
          <cell r="B6" t="str">
            <v>4S TECHNOLOGIES LTD.</v>
          </cell>
          <cell r="C6" t="str">
            <v>Abu Zahid Sobuj</v>
          </cell>
          <cell r="D6" t="str">
            <v>Corporate</v>
          </cell>
          <cell r="E6" t="str">
            <v>Corporate</v>
          </cell>
          <cell r="AV6">
            <v>750000</v>
          </cell>
        </row>
        <row r="7">
          <cell r="A7" t="str">
            <v>ETLCUST-05377</v>
          </cell>
          <cell r="B7" t="str">
            <v>7 CLOUDS - SYLHET</v>
          </cell>
          <cell r="C7" t="str">
            <v>Sanwar Husen</v>
          </cell>
          <cell r="D7" t="str">
            <v>Sylhet</v>
          </cell>
          <cell r="E7" t="str">
            <v>Sylhet</v>
          </cell>
          <cell r="T7">
            <v>211500</v>
          </cell>
        </row>
        <row r="8">
          <cell r="A8" t="str">
            <v>ETLCUST-02785</v>
          </cell>
          <cell r="B8" t="str">
            <v>A H TECHNOLOGY -AGARGOAN</v>
          </cell>
          <cell r="C8" t="str">
            <v>Md Tanjilur Rakib</v>
          </cell>
          <cell r="D8" t="str">
            <v>HO-SI</v>
          </cell>
          <cell r="E8" t="str">
            <v>HO-SI</v>
          </cell>
          <cell r="U8">
            <v>162500</v>
          </cell>
        </row>
        <row r="9">
          <cell r="A9" t="str">
            <v>ETLCUST-05026</v>
          </cell>
          <cell r="B9" t="str">
            <v>A K COUMPUTER SYSTEM - BARISAL</v>
          </cell>
          <cell r="C9" t="str">
            <v>Md. Aminul Islam</v>
          </cell>
          <cell r="D9" t="str">
            <v>South Bengal</v>
          </cell>
          <cell r="E9" t="str">
            <v>South Bengal</v>
          </cell>
          <cell r="AT9">
            <v>37000</v>
          </cell>
          <cell r="BA9">
            <v>2450</v>
          </cell>
        </row>
        <row r="10">
          <cell r="A10" t="str">
            <v>ETLCUST-00138</v>
          </cell>
          <cell r="B10" t="str">
            <v>A TO Z COMPUTER - UTTARA</v>
          </cell>
          <cell r="C10" t="str">
            <v>Dulal Sarker</v>
          </cell>
          <cell r="D10" t="str">
            <v>Uttara</v>
          </cell>
          <cell r="E10" t="str">
            <v>Uttara</v>
          </cell>
          <cell r="O10">
            <v>14550</v>
          </cell>
          <cell r="R10">
            <v>953000</v>
          </cell>
          <cell r="S10">
            <v>0</v>
          </cell>
          <cell r="AF10">
            <v>47000</v>
          </cell>
          <cell r="AJ10">
            <v>46400</v>
          </cell>
          <cell r="AL10">
            <v>98760</v>
          </cell>
          <cell r="AR10">
            <v>56250</v>
          </cell>
          <cell r="AT10">
            <v>431600</v>
          </cell>
          <cell r="BA10">
            <v>2758165</v>
          </cell>
        </row>
        <row r="11">
          <cell r="A11" t="str">
            <v>ETLCUST-00307</v>
          </cell>
          <cell r="B11" t="str">
            <v>A.K. COMPUTER - MULTIPLAN</v>
          </cell>
          <cell r="C11" t="str">
            <v>Md. Anamul Hoque</v>
          </cell>
          <cell r="D11" t="str">
            <v>Multiplan</v>
          </cell>
          <cell r="E11" t="str">
            <v>Multiplan</v>
          </cell>
          <cell r="O11">
            <v>9670</v>
          </cell>
          <cell r="P11">
            <v>96000</v>
          </cell>
          <cell r="R11">
            <v>3063060</v>
          </cell>
          <cell r="S11">
            <v>0</v>
          </cell>
          <cell r="AK11">
            <v>504500</v>
          </cell>
          <cell r="AT11">
            <v>847650</v>
          </cell>
        </row>
        <row r="12">
          <cell r="A12" t="str">
            <v>ETLCUST-00109</v>
          </cell>
          <cell r="B12" t="str">
            <v>A.M COMPUTER - UTTARA</v>
          </cell>
          <cell r="C12" t="str">
            <v>Dulal Sarker</v>
          </cell>
          <cell r="D12" t="str">
            <v>Uttara</v>
          </cell>
          <cell r="E12" t="str">
            <v>Uttara</v>
          </cell>
          <cell r="AV12">
            <v>15000</v>
          </cell>
        </row>
        <row r="13">
          <cell r="A13" t="str">
            <v>ETLCUST-00723</v>
          </cell>
          <cell r="B13" t="str">
            <v>A.R COMPUTER SOURCE - SATKHIRA</v>
          </cell>
          <cell r="C13" t="str">
            <v>Imrul Rayhan</v>
          </cell>
          <cell r="D13" t="str">
            <v>Khulna</v>
          </cell>
          <cell r="E13" t="str">
            <v>Khulna</v>
          </cell>
          <cell r="G13">
            <v>5000</v>
          </cell>
          <cell r="S13">
            <v>0</v>
          </cell>
          <cell r="T13">
            <v>17000</v>
          </cell>
          <cell r="V13">
            <v>6500</v>
          </cell>
          <cell r="BA13">
            <v>194815</v>
          </cell>
        </row>
        <row r="14">
          <cell r="A14" t="str">
            <v>ETLCUST-04194</v>
          </cell>
          <cell r="B14" t="str">
            <v>A.R NET COMMUNICATION - MYMENSINGH</v>
          </cell>
          <cell r="C14" t="str">
            <v>Rafiqul Islam Sumon</v>
          </cell>
          <cell r="D14" t="str">
            <v>Mymensingh</v>
          </cell>
          <cell r="E14" t="str">
            <v>Mymensingh</v>
          </cell>
          <cell r="AL14">
            <v>6360</v>
          </cell>
          <cell r="AM14">
            <v>56160</v>
          </cell>
          <cell r="BA14">
            <v>1503175</v>
          </cell>
        </row>
        <row r="15">
          <cell r="A15" t="str">
            <v>ETLCUST-00473</v>
          </cell>
          <cell r="B15" t="str">
            <v>A.S ELECTRONICS - GULISTAN</v>
          </cell>
          <cell r="C15" t="str">
            <v>Md Kamrul Hasan Sabuz</v>
          </cell>
          <cell r="D15" t="str">
            <v>Gulistan</v>
          </cell>
          <cell r="E15" t="str">
            <v>Gulistan</v>
          </cell>
          <cell r="AZ15">
            <v>236600</v>
          </cell>
        </row>
        <row r="16">
          <cell r="A16" t="str">
            <v>ETLCUST-04717</v>
          </cell>
          <cell r="B16" t="str">
            <v>AA TECH HUB - ELEPHANT ROAD</v>
          </cell>
          <cell r="C16" t="str">
            <v>Md Shamim Miah</v>
          </cell>
          <cell r="D16" t="str">
            <v>DHB</v>
          </cell>
          <cell r="E16" t="str">
            <v>DHB</v>
          </cell>
          <cell r="U16">
            <v>196000</v>
          </cell>
        </row>
        <row r="17">
          <cell r="A17" t="str">
            <v>ETLCUST-01233</v>
          </cell>
          <cell r="B17" t="str">
            <v>AA TECHNOLOGY LIMITED - PALTAN</v>
          </cell>
          <cell r="C17" t="str">
            <v>Md. Abdus Satter</v>
          </cell>
          <cell r="D17" t="str">
            <v>HO-SI</v>
          </cell>
          <cell r="E17" t="str">
            <v>HO-SI</v>
          </cell>
          <cell r="P17">
            <v>13000</v>
          </cell>
          <cell r="X17">
            <v>842100</v>
          </cell>
          <cell r="AV17">
            <v>92400</v>
          </cell>
        </row>
        <row r="18">
          <cell r="A18" t="str">
            <v>ETLCUST-01667</v>
          </cell>
          <cell r="B18" t="str">
            <v>AAMRA NETWORKS LTD - BANANI</v>
          </cell>
          <cell r="C18" t="str">
            <v>Sadekur Rahman</v>
          </cell>
          <cell r="D18" t="str">
            <v>HO-SI</v>
          </cell>
          <cell r="E18" t="str">
            <v>HO-SI</v>
          </cell>
          <cell r="U18">
            <v>102300</v>
          </cell>
          <cell r="AJ18">
            <v>1055000</v>
          </cell>
          <cell r="BA18">
            <v>109450</v>
          </cell>
        </row>
        <row r="19">
          <cell r="A19" t="str">
            <v>ETLCUST-03365</v>
          </cell>
          <cell r="B19" t="str">
            <v>AAYAT CORPORATION - E.ROAD</v>
          </cell>
          <cell r="C19" t="str">
            <v>Mohotasim Rana</v>
          </cell>
          <cell r="D19" t="str">
            <v>DHB</v>
          </cell>
          <cell r="E19" t="str">
            <v>DHB</v>
          </cell>
          <cell r="U19">
            <v>108000</v>
          </cell>
          <cell r="AY19">
            <v>4000</v>
          </cell>
        </row>
        <row r="20">
          <cell r="A20" t="str">
            <v>ETLCUST-00281</v>
          </cell>
          <cell r="B20" t="str">
            <v>AB COMPUTERS - B.BARIA</v>
          </cell>
          <cell r="C20" t="str">
            <v>Md. Imran Miah Khandakar</v>
          </cell>
          <cell r="D20" t="str">
            <v>Sylhet</v>
          </cell>
          <cell r="E20" t="str">
            <v>Sylhet</v>
          </cell>
          <cell r="R20">
            <v>10400</v>
          </cell>
        </row>
        <row r="21">
          <cell r="A21" t="str">
            <v>ETLCUST-00214</v>
          </cell>
          <cell r="B21" t="str">
            <v>ABACUS COMPUTER - SUVASTU</v>
          </cell>
          <cell r="C21" t="str">
            <v>Md Shamim Miah</v>
          </cell>
          <cell r="D21" t="str">
            <v>DHB</v>
          </cell>
          <cell r="E21" t="str">
            <v>DHB</v>
          </cell>
          <cell r="S21">
            <v>0</v>
          </cell>
          <cell r="U21">
            <v>0</v>
          </cell>
          <cell r="BA21">
            <v>40500</v>
          </cell>
        </row>
        <row r="22">
          <cell r="A22" t="str">
            <v>ETLCUST-00993</v>
          </cell>
          <cell r="B22" t="str">
            <v>ABC COMPUTER - PABNA</v>
          </cell>
          <cell r="C22" t="str">
            <v>Forhad Rubel</v>
          </cell>
          <cell r="D22" t="str">
            <v>North Bengal</v>
          </cell>
          <cell r="E22" t="str">
            <v>North Bengal</v>
          </cell>
          <cell r="R22">
            <v>102760</v>
          </cell>
          <cell r="X22">
            <v>423500</v>
          </cell>
          <cell r="AM22">
            <v>162955</v>
          </cell>
          <cell r="AT22">
            <v>12800</v>
          </cell>
          <cell r="BA22">
            <v>240640</v>
          </cell>
        </row>
        <row r="23">
          <cell r="A23" t="str">
            <v>ETLCUST-04561</v>
          </cell>
          <cell r="B23" t="str">
            <v>ABDUL HADY COMPUTER - JAMALPUR</v>
          </cell>
          <cell r="C23" t="str">
            <v>Md. Sujon Mia</v>
          </cell>
          <cell r="D23" t="str">
            <v>Mymensingh</v>
          </cell>
          <cell r="E23" t="str">
            <v>Mymensingh</v>
          </cell>
          <cell r="Q23">
            <v>1350</v>
          </cell>
          <cell r="T23">
            <v>25100</v>
          </cell>
          <cell r="V23">
            <v>56000</v>
          </cell>
          <cell r="X23">
            <v>157900</v>
          </cell>
          <cell r="AM23">
            <v>52940</v>
          </cell>
          <cell r="BA23">
            <v>84370</v>
          </cell>
        </row>
        <row r="24">
          <cell r="A24" t="str">
            <v>ETLCUST-01414</v>
          </cell>
          <cell r="B24" t="str">
            <v>ABDULLAH ENTERPRISE - GAZIPUR</v>
          </cell>
          <cell r="C24" t="str">
            <v>Md. Rahad</v>
          </cell>
          <cell r="D24" t="str">
            <v>Uttara</v>
          </cell>
          <cell r="E24" t="str">
            <v>Uttara</v>
          </cell>
          <cell r="G24">
            <v>690000</v>
          </cell>
          <cell r="S24">
            <v>0</v>
          </cell>
          <cell r="AL24">
            <v>87475</v>
          </cell>
          <cell r="AM24">
            <v>1181775</v>
          </cell>
          <cell r="AR24">
            <v>30300</v>
          </cell>
          <cell r="BA24">
            <v>5913505</v>
          </cell>
        </row>
        <row r="25">
          <cell r="A25" t="str">
            <v>ETLCUST-04243</v>
          </cell>
          <cell r="B25" t="str">
            <v>ABDULLAH IT ZONE - KALIAKAIR</v>
          </cell>
          <cell r="C25" t="str">
            <v>Biplop Kumar</v>
          </cell>
          <cell r="D25" t="str">
            <v>DHK-EXT</v>
          </cell>
          <cell r="E25" t="str">
            <v>DHK-EXT</v>
          </cell>
          <cell r="G25">
            <v>50000</v>
          </cell>
          <cell r="L25">
            <v>140000</v>
          </cell>
          <cell r="P25">
            <v>64000</v>
          </cell>
          <cell r="S25">
            <v>0</v>
          </cell>
          <cell r="AJ25">
            <v>51550</v>
          </cell>
          <cell r="AK25">
            <v>13600</v>
          </cell>
          <cell r="AL25">
            <v>107370</v>
          </cell>
          <cell r="AM25">
            <v>219160</v>
          </cell>
          <cell r="AZ25">
            <v>16050</v>
          </cell>
          <cell r="BA25">
            <v>760140</v>
          </cell>
        </row>
        <row r="26">
          <cell r="A26" t="str">
            <v>ETLCUST-00812</v>
          </cell>
          <cell r="B26" t="str">
            <v>ABINASH ENTERPRISE- RAJSHAHI</v>
          </cell>
          <cell r="C26" t="str">
            <v>Ahmed Bulbul</v>
          </cell>
          <cell r="D26" t="str">
            <v>Rajshahi</v>
          </cell>
          <cell r="E26" t="str">
            <v>Rajshahi</v>
          </cell>
          <cell r="AO26">
            <v>900</v>
          </cell>
          <cell r="AZ26">
            <v>292700</v>
          </cell>
        </row>
        <row r="27">
          <cell r="A27" t="str">
            <v>ETLCUST-03864</v>
          </cell>
          <cell r="B27" t="str">
            <v>ABN NETLINK - SHELTECH SIERRA</v>
          </cell>
          <cell r="C27" t="str">
            <v>Mohotasim Rana</v>
          </cell>
          <cell r="D27" t="str">
            <v>DHB</v>
          </cell>
          <cell r="E27" t="str">
            <v>DHB</v>
          </cell>
          <cell r="AP27">
            <v>32000</v>
          </cell>
        </row>
        <row r="28">
          <cell r="A28" t="str">
            <v>ETLCUST-04354</v>
          </cell>
          <cell r="B28" t="str">
            <v>ABONTIKA TELECOM AND ELECTRONICS - AGAILJHARA</v>
          </cell>
          <cell r="C28" t="str">
            <v>Md. Aminul Islam</v>
          </cell>
          <cell r="D28" t="str">
            <v>South Bengal</v>
          </cell>
          <cell r="E28" t="str">
            <v>South Bengal</v>
          </cell>
          <cell r="G28">
            <v>48400</v>
          </cell>
          <cell r="T28">
            <v>16200</v>
          </cell>
          <cell r="AM28">
            <v>70765</v>
          </cell>
          <cell r="AQ28">
            <v>0</v>
          </cell>
          <cell r="BA28">
            <v>1054005</v>
          </cell>
        </row>
        <row r="29">
          <cell r="A29" t="str">
            <v>ETLCUST-01935</v>
          </cell>
          <cell r="B29" t="str">
            <v>ABUL KHAIR STEEL PRODUCTS LTD</v>
          </cell>
          <cell r="C29" t="str">
            <v>Sayed Golam Murtuza</v>
          </cell>
          <cell r="D29" t="str">
            <v>Corporate</v>
          </cell>
          <cell r="E29" t="str">
            <v>Corporate</v>
          </cell>
          <cell r="X29">
            <v>1818</v>
          </cell>
        </row>
        <row r="30">
          <cell r="A30" t="str">
            <v>ETLCUST-01133</v>
          </cell>
          <cell r="B30" t="str">
            <v>ACCSEES TELECOM AND TRADERS - M.PUR</v>
          </cell>
          <cell r="C30" t="str">
            <v>Fajle Rabbi</v>
          </cell>
          <cell r="D30" t="str">
            <v>IDB</v>
          </cell>
          <cell r="E30" t="str">
            <v>IDB</v>
          </cell>
          <cell r="F30">
            <v>135000</v>
          </cell>
          <cell r="U30">
            <v>197000</v>
          </cell>
          <cell r="AM30">
            <v>425</v>
          </cell>
          <cell r="AR30">
            <v>29000</v>
          </cell>
          <cell r="AV30">
            <v>167000</v>
          </cell>
        </row>
        <row r="31">
          <cell r="A31" t="str">
            <v>ETLCUST-03324</v>
          </cell>
          <cell r="B31" t="str">
            <v>ACHAL COMPUTER - TANGAIL</v>
          </cell>
          <cell r="C31" t="str">
            <v>Niloy Ghosh</v>
          </cell>
          <cell r="D31" t="str">
            <v>DHK-EXT</v>
          </cell>
          <cell r="E31" t="str">
            <v>DHK-EXT</v>
          </cell>
          <cell r="G31">
            <v>30600</v>
          </cell>
          <cell r="Q31">
            <v>1350</v>
          </cell>
          <cell r="R31">
            <v>60740</v>
          </cell>
          <cell r="S31">
            <v>0</v>
          </cell>
          <cell r="T31">
            <v>53750</v>
          </cell>
          <cell r="AQ31">
            <v>0</v>
          </cell>
          <cell r="BA31">
            <v>436090</v>
          </cell>
        </row>
        <row r="32">
          <cell r="A32" t="str">
            <v>ETLCUST-04297</v>
          </cell>
          <cell r="B32" t="str">
            <v>ACS LOGISTICS LTD.</v>
          </cell>
          <cell r="C32" t="str">
            <v>Sayed Golam Murtuza</v>
          </cell>
          <cell r="D32" t="str">
            <v>Corporate</v>
          </cell>
          <cell r="E32" t="str">
            <v>Corporate</v>
          </cell>
          <cell r="T32">
            <v>8800</v>
          </cell>
          <cell r="BA32">
            <v>8500</v>
          </cell>
        </row>
        <row r="33">
          <cell r="A33" t="str">
            <v>ETLCUST-01942</v>
          </cell>
          <cell r="B33" t="str">
            <v>ACTIONAID BANGLADESH</v>
          </cell>
          <cell r="C33" t="str">
            <v>Ashraful Islam</v>
          </cell>
          <cell r="D33" t="str">
            <v>Corporate</v>
          </cell>
          <cell r="E33" t="str">
            <v>Corporate</v>
          </cell>
          <cell r="AD33">
            <v>90363.650000000009</v>
          </cell>
        </row>
        <row r="34">
          <cell r="A34" t="str">
            <v>ETLCUST-01592</v>
          </cell>
          <cell r="B34" t="str">
            <v>ACTIVE ELECTRONICS - GULISTAN</v>
          </cell>
          <cell r="C34" t="str">
            <v>Shamim Hossain</v>
          </cell>
          <cell r="D34" t="str">
            <v>Gulistan</v>
          </cell>
          <cell r="E34" t="str">
            <v>Gulistan</v>
          </cell>
          <cell r="AZ34">
            <v>352250</v>
          </cell>
        </row>
        <row r="35">
          <cell r="A35" t="str">
            <v>ETLCUST-03845</v>
          </cell>
          <cell r="B35" t="str">
            <v>ADIL TECH - RAJSHAHI</v>
          </cell>
          <cell r="C35" t="str">
            <v>Md Moniruzzaman Masum</v>
          </cell>
          <cell r="D35" t="str">
            <v>Rajshahi</v>
          </cell>
          <cell r="E35" t="str">
            <v>Rajshahi</v>
          </cell>
          <cell r="G35">
            <v>476000</v>
          </cell>
          <cell r="Q35">
            <v>890</v>
          </cell>
          <cell r="S35">
            <v>0</v>
          </cell>
          <cell r="T35">
            <v>98500</v>
          </cell>
          <cell r="X35">
            <v>104000</v>
          </cell>
          <cell r="AL35">
            <v>7950</v>
          </cell>
          <cell r="AM35">
            <v>588130</v>
          </cell>
          <cell r="AO35">
            <v>1350</v>
          </cell>
          <cell r="AZ35">
            <v>15400</v>
          </cell>
          <cell r="BA35">
            <v>3443385</v>
          </cell>
        </row>
        <row r="36">
          <cell r="A36" t="str">
            <v>ETLCUST-03141</v>
          </cell>
          <cell r="B36" t="str">
            <v>ADN TELECOM LIMITED - MOHAKHALI</v>
          </cell>
          <cell r="C36" t="str">
            <v>Sadekur Rahman</v>
          </cell>
          <cell r="D36" t="str">
            <v>HO-SI</v>
          </cell>
          <cell r="E36" t="str">
            <v>HO-SI</v>
          </cell>
          <cell r="BA36">
            <v>146863.5</v>
          </cell>
        </row>
        <row r="37">
          <cell r="A37" t="str">
            <v>ETLCUST-04632</v>
          </cell>
          <cell r="B37" t="str">
            <v xml:space="preserve">ADNAN TECHNOLOGY - B.MUKARRAM </v>
          </cell>
          <cell r="C37" t="str">
            <v>Md. Sahedul Islam</v>
          </cell>
          <cell r="D37" t="str">
            <v>Motijheel</v>
          </cell>
          <cell r="E37" t="str">
            <v>Motijheel</v>
          </cell>
          <cell r="T37">
            <v>1616300</v>
          </cell>
          <cell r="X37">
            <v>3725750</v>
          </cell>
        </row>
        <row r="38">
          <cell r="A38" t="str">
            <v>ETLCUST-05066</v>
          </cell>
          <cell r="B38" t="str">
            <v>ADVANCE DISTRIBUTIONS</v>
          </cell>
          <cell r="C38" t="str">
            <v>Shakil Ahmed</v>
          </cell>
          <cell r="D38" t="str">
            <v>Corporate</v>
          </cell>
          <cell r="E38" t="str">
            <v>Corporate</v>
          </cell>
          <cell r="AY38">
            <v>144285.72</v>
          </cell>
        </row>
        <row r="39">
          <cell r="A39" t="str">
            <v>ETLCUST-05353</v>
          </cell>
          <cell r="B39" t="str">
            <v>ADVANCE TECHNOLOGY - KHULNA</v>
          </cell>
          <cell r="C39" t="str">
            <v>Imrul Rayhan</v>
          </cell>
          <cell r="D39" t="str">
            <v>Khulna</v>
          </cell>
          <cell r="E39" t="str">
            <v>Khulna</v>
          </cell>
          <cell r="P39">
            <v>38400</v>
          </cell>
          <cell r="X39">
            <v>22750</v>
          </cell>
          <cell r="AZ39">
            <v>26400</v>
          </cell>
        </row>
        <row r="40">
          <cell r="A40" t="str">
            <v>ETLCUST-01619</v>
          </cell>
          <cell r="B40" t="str">
            <v>ADVANCE TECHNOLOGY SOLUTIONS - MOTIJHEEL</v>
          </cell>
          <cell r="C40" t="str">
            <v>Md. Abdus Satter</v>
          </cell>
          <cell r="D40" t="str">
            <v>HO-SI</v>
          </cell>
          <cell r="E40" t="str">
            <v>HO-SI</v>
          </cell>
          <cell r="U40">
            <v>129150</v>
          </cell>
        </row>
        <row r="41">
          <cell r="A41" t="str">
            <v>ETLCUST-01946</v>
          </cell>
          <cell r="B41" t="str">
            <v>ADVANCED CHEMICAL INDUSTRIES PLC.</v>
          </cell>
          <cell r="C41" t="str">
            <v>Sabbir Ahmed</v>
          </cell>
          <cell r="D41" t="str">
            <v>Corporate</v>
          </cell>
          <cell r="E41" t="str">
            <v>Corporate</v>
          </cell>
          <cell r="R41">
            <v>1839200</v>
          </cell>
          <cell r="S41">
            <v>0</v>
          </cell>
          <cell r="U41">
            <v>7800</v>
          </cell>
          <cell r="BA41">
            <v>18800</v>
          </cell>
        </row>
        <row r="42">
          <cell r="A42" t="str">
            <v>ETLCUST-00583</v>
          </cell>
          <cell r="B42" t="str">
            <v>AEGIS SERVICES LIMITED - MOHAKHALI</v>
          </cell>
          <cell r="C42" t="str">
            <v>Md Tanjilur Rakib</v>
          </cell>
          <cell r="D42" t="str">
            <v>HO-SI</v>
          </cell>
          <cell r="E42" t="str">
            <v>HO-SI</v>
          </cell>
          <cell r="X42">
            <v>109600.83</v>
          </cell>
          <cell r="AV42">
            <v>68210.52</v>
          </cell>
          <cell r="BA42">
            <v>221054.4</v>
          </cell>
        </row>
        <row r="43">
          <cell r="A43" t="str">
            <v>ETLCUST-01168</v>
          </cell>
          <cell r="B43" t="str">
            <v>AEON DESIGN - SHYAMOLI</v>
          </cell>
          <cell r="C43" t="str">
            <v>Sadekur Rahman</v>
          </cell>
          <cell r="D43" t="str">
            <v>HO-SI</v>
          </cell>
          <cell r="E43" t="str">
            <v>HO-SI</v>
          </cell>
          <cell r="I43">
            <v>27960</v>
          </cell>
          <cell r="AR43">
            <v>43200</v>
          </cell>
          <cell r="BA43">
            <v>16750</v>
          </cell>
        </row>
        <row r="44">
          <cell r="A44" t="str">
            <v>ETLCUST-03402</v>
          </cell>
          <cell r="B44" t="str">
            <v>AFIFA TRADE INTERNATIONAL</v>
          </cell>
          <cell r="C44" t="str">
            <v>Md Saim Ali Rezvy</v>
          </cell>
          <cell r="D44" t="str">
            <v>Corporate</v>
          </cell>
          <cell r="E44" t="str">
            <v>Corporate</v>
          </cell>
          <cell r="U44">
            <v>168500</v>
          </cell>
          <cell r="AV44">
            <v>435000</v>
          </cell>
        </row>
        <row r="45">
          <cell r="A45" t="str">
            <v>ETLCUST-01948</v>
          </cell>
          <cell r="B45" t="str">
            <v>AGNI SYSTEMS LTD.</v>
          </cell>
          <cell r="C45" t="str">
            <v>Md Saim Ali Rezvy</v>
          </cell>
          <cell r="D45" t="str">
            <v>Corporate</v>
          </cell>
          <cell r="E45" t="str">
            <v>Corporate</v>
          </cell>
          <cell r="U45">
            <v>17500</v>
          </cell>
          <cell r="BA45">
            <v>93900</v>
          </cell>
        </row>
        <row r="46">
          <cell r="A46" t="str">
            <v>ETLCUST-04455</v>
          </cell>
          <cell r="B46" t="str">
            <v>AGRANI BANK PLC.</v>
          </cell>
          <cell r="C46" t="str">
            <v>Hasibul Hasan Symoon</v>
          </cell>
          <cell r="D46" t="str">
            <v>Corporate</v>
          </cell>
          <cell r="E46" t="str">
            <v>Corporate</v>
          </cell>
          <cell r="AD46">
            <v>42272.710000000006</v>
          </cell>
        </row>
        <row r="47">
          <cell r="A47" t="str">
            <v>ETLCUST-01017</v>
          </cell>
          <cell r="B47" t="str">
            <v>AH EMPORIUM - CTG</v>
          </cell>
          <cell r="C47" t="str">
            <v>Mohammad Mamunur Rashid</v>
          </cell>
          <cell r="D47" t="str">
            <v>CTG</v>
          </cell>
          <cell r="E47" t="str">
            <v>CTG</v>
          </cell>
          <cell r="U47">
            <v>31600</v>
          </cell>
          <cell r="BA47">
            <v>3100</v>
          </cell>
        </row>
        <row r="48">
          <cell r="A48" t="str">
            <v>ETLCUST-05331</v>
          </cell>
          <cell r="B48" t="str">
            <v>AH POWER AND TECHNOLOGY - RAMPURA</v>
          </cell>
          <cell r="C48" t="str">
            <v>Md Tanjilur Rakib</v>
          </cell>
          <cell r="D48" t="str">
            <v>HO-SI</v>
          </cell>
          <cell r="E48" t="str">
            <v>HO-SI</v>
          </cell>
          <cell r="AR48">
            <v>506000</v>
          </cell>
        </row>
        <row r="49">
          <cell r="A49" t="str">
            <v>ETLCUST-02729</v>
          </cell>
          <cell r="B49" t="str">
            <v>AHIYA TECHNOLOGY - SUVASTU ARCADE</v>
          </cell>
          <cell r="C49" t="str">
            <v>Md Shamim Miah</v>
          </cell>
          <cell r="D49" t="str">
            <v>DHB</v>
          </cell>
          <cell r="E49" t="str">
            <v>DHB</v>
          </cell>
          <cell r="S49">
            <v>0</v>
          </cell>
          <cell r="T49">
            <v>4499350</v>
          </cell>
          <cell r="X49">
            <v>10502050</v>
          </cell>
          <cell r="BA49">
            <v>7091500</v>
          </cell>
        </row>
        <row r="50">
          <cell r="A50" t="str">
            <v>ETLCUST-03388</v>
          </cell>
          <cell r="B50" t="str">
            <v xml:space="preserve">AHMED ENTERPRISE-KHULNA </v>
          </cell>
          <cell r="C50" t="str">
            <v>Md Husaun</v>
          </cell>
          <cell r="D50" t="str">
            <v>Khulna</v>
          </cell>
          <cell r="E50" t="str">
            <v>Khulna</v>
          </cell>
          <cell r="R50">
            <v>51240</v>
          </cell>
        </row>
        <row r="51">
          <cell r="A51" t="str">
            <v>ETLCUST-05303</v>
          </cell>
          <cell r="B51" t="str">
            <v>AHONA TELECOM - SUNAMGANJ</v>
          </cell>
          <cell r="C51" t="str">
            <v>Kunjaraj Singha</v>
          </cell>
          <cell r="D51" t="str">
            <v>Sylhet</v>
          </cell>
          <cell r="E51" t="str">
            <v>Sylhet</v>
          </cell>
          <cell r="S51">
            <v>0</v>
          </cell>
          <cell r="AL51">
            <v>52470</v>
          </cell>
          <cell r="AM51">
            <v>1140</v>
          </cell>
          <cell r="AZ51">
            <v>51100</v>
          </cell>
          <cell r="BA51">
            <v>789550</v>
          </cell>
        </row>
        <row r="52">
          <cell r="A52" t="str">
            <v>ETLCUST-04660</v>
          </cell>
          <cell r="B52" t="str">
            <v>AI TECHNOLOGY - B. MUKARRAM</v>
          </cell>
          <cell r="C52" t="str">
            <v>Hridoy Chandra Das</v>
          </cell>
          <cell r="D52" t="str">
            <v>Motijheel</v>
          </cell>
          <cell r="E52" t="str">
            <v>Motijheel</v>
          </cell>
          <cell r="T52">
            <v>417600</v>
          </cell>
          <cell r="X52">
            <v>6503955</v>
          </cell>
          <cell r="BA52">
            <v>10600</v>
          </cell>
        </row>
        <row r="53">
          <cell r="A53" t="str">
            <v>ETLCUST-00979</v>
          </cell>
          <cell r="B53" t="str">
            <v>AIONIC COMPUTER - SIRAJGONJ</v>
          </cell>
          <cell r="C53" t="str">
            <v>Md. Raihan Shohag</v>
          </cell>
          <cell r="D53" t="str">
            <v>North Bengal</v>
          </cell>
          <cell r="E53" t="str">
            <v>North Bengal</v>
          </cell>
          <cell r="S53">
            <v>0</v>
          </cell>
          <cell r="X53">
            <v>5550</v>
          </cell>
          <cell r="AM53">
            <v>24445</v>
          </cell>
          <cell r="AO53">
            <v>20290</v>
          </cell>
          <cell r="BA53">
            <v>105265</v>
          </cell>
        </row>
        <row r="54">
          <cell r="A54" t="str">
            <v>ETLCUST-00735</v>
          </cell>
          <cell r="B54" t="str">
            <v>AKARSHAN COMPUTER - SATKHIRA</v>
          </cell>
          <cell r="C54" t="str">
            <v>Shah Md Wasikuzzaman</v>
          </cell>
          <cell r="D54" t="str">
            <v>Khulna</v>
          </cell>
          <cell r="E54" t="str">
            <v>Khulna</v>
          </cell>
          <cell r="AJ54">
            <v>3800</v>
          </cell>
          <cell r="AZ54">
            <v>39000</v>
          </cell>
        </row>
        <row r="55">
          <cell r="A55" t="str">
            <v>ETLCUST-05224</v>
          </cell>
          <cell r="B55" t="str">
            <v>AKASH LAPTOP &amp; GADGET - PABNA</v>
          </cell>
          <cell r="C55" t="str">
            <v>Forhad Rubel</v>
          </cell>
          <cell r="D55" t="str">
            <v>North Bengal</v>
          </cell>
          <cell r="E55" t="str">
            <v>North Bengal</v>
          </cell>
          <cell r="X55">
            <v>99375</v>
          </cell>
          <cell r="AM55">
            <v>121140</v>
          </cell>
          <cell r="BA55">
            <v>8000</v>
          </cell>
        </row>
        <row r="56">
          <cell r="A56" t="str">
            <v>ETLCUST-02693</v>
          </cell>
          <cell r="B56" t="str">
            <v>AKH KNITTING &amp; DYEING LTD.</v>
          </cell>
          <cell r="C56" t="str">
            <v>Hasibul Hasan Symoon</v>
          </cell>
          <cell r="D56" t="str">
            <v>Corporate</v>
          </cell>
          <cell r="E56" t="str">
            <v>Corporate</v>
          </cell>
          <cell r="I56">
            <v>2250</v>
          </cell>
          <cell r="M56">
            <v>9000</v>
          </cell>
          <cell r="R56">
            <v>45000</v>
          </cell>
          <cell r="S56">
            <v>58280</v>
          </cell>
          <cell r="U56">
            <v>61000</v>
          </cell>
          <cell r="X56">
            <v>130000</v>
          </cell>
          <cell r="AR56">
            <v>82000</v>
          </cell>
          <cell r="AV56">
            <v>33000</v>
          </cell>
          <cell r="AW56">
            <v>38000</v>
          </cell>
          <cell r="AY56">
            <v>58300</v>
          </cell>
        </row>
        <row r="57">
          <cell r="A57" t="str">
            <v>ETLCUST-02609</v>
          </cell>
          <cell r="B57" t="str">
            <v>AKIJ VENTURE LTD.</v>
          </cell>
          <cell r="C57" t="str">
            <v>Md. Raihan Ali</v>
          </cell>
          <cell r="D57" t="str">
            <v>Corporate</v>
          </cell>
          <cell r="E57" t="str">
            <v>Corporate</v>
          </cell>
          <cell r="AJ57">
            <v>115789.47</v>
          </cell>
        </row>
        <row r="58">
          <cell r="A58" t="str">
            <v>ETLCUST-01903</v>
          </cell>
          <cell r="B58" t="str">
            <v>AKRAM ENTERPRISE - GULISTAN</v>
          </cell>
          <cell r="C58" t="str">
            <v>Hridoy Chandra Das</v>
          </cell>
          <cell r="D58" t="str">
            <v>Motijheel</v>
          </cell>
          <cell r="E58" t="str">
            <v>Motijheel</v>
          </cell>
          <cell r="S58">
            <v>0</v>
          </cell>
          <cell r="T58">
            <v>799950</v>
          </cell>
          <cell r="AL58">
            <v>7490</v>
          </cell>
          <cell r="AM58">
            <v>1944150</v>
          </cell>
          <cell r="AQ58">
            <v>0</v>
          </cell>
          <cell r="AR58">
            <v>24000</v>
          </cell>
          <cell r="BA58">
            <v>9441670</v>
          </cell>
        </row>
        <row r="59">
          <cell r="A59" t="str">
            <v>ETLCUST-05429</v>
          </cell>
          <cell r="B59" t="str">
            <v xml:space="preserve">AL - WAKIL TRADE INTERNATIONAL - MIRPUR </v>
          </cell>
          <cell r="C59" t="str">
            <v>Md. Abdus Satter</v>
          </cell>
          <cell r="D59" t="str">
            <v>HO-SI</v>
          </cell>
          <cell r="E59" t="str">
            <v>HO-SI</v>
          </cell>
          <cell r="AS59">
            <v>345000</v>
          </cell>
        </row>
        <row r="60">
          <cell r="A60" t="str">
            <v>ETLCUST-00282</v>
          </cell>
          <cell r="B60" t="str">
            <v>AL AMIN ELECTRIC - B.BARIA</v>
          </cell>
          <cell r="C60" t="str">
            <v>Md. Imran Miah Khandakar</v>
          </cell>
          <cell r="D60" t="str">
            <v>Sylhet</v>
          </cell>
          <cell r="E60" t="str">
            <v>Sylhet</v>
          </cell>
          <cell r="G60">
            <v>520500</v>
          </cell>
          <cell r="R60">
            <v>3000</v>
          </cell>
          <cell r="T60">
            <v>3753100</v>
          </cell>
          <cell r="X60">
            <v>1102100</v>
          </cell>
          <cell r="AL60">
            <v>1014460</v>
          </cell>
          <cell r="AM60">
            <v>380</v>
          </cell>
          <cell r="BA60">
            <v>409780</v>
          </cell>
        </row>
        <row r="61">
          <cell r="A61" t="str">
            <v>ETLCUST-04635</v>
          </cell>
          <cell r="B61" t="str">
            <v>AL MODINA ENTERPRISE - CTG</v>
          </cell>
          <cell r="C61" t="str">
            <v>Md. Mamunur Rashid</v>
          </cell>
          <cell r="D61" t="str">
            <v>CTG</v>
          </cell>
          <cell r="E61" t="str">
            <v>CTG</v>
          </cell>
          <cell r="S61">
            <v>0</v>
          </cell>
          <cell r="AL61">
            <v>674580</v>
          </cell>
          <cell r="AM61">
            <v>1422920</v>
          </cell>
          <cell r="BA61">
            <v>7995965</v>
          </cell>
        </row>
        <row r="62">
          <cell r="A62" t="str">
            <v>ETLCUST-05386</v>
          </cell>
          <cell r="B62" t="str">
            <v>AL-ABIR MOTORS - NOBABGONJ</v>
          </cell>
          <cell r="C62" t="str">
            <v>Md Kamrul Hasan Sabuz</v>
          </cell>
          <cell r="D62" t="str">
            <v>Gulistan</v>
          </cell>
          <cell r="E62" t="str">
            <v>Gulistan</v>
          </cell>
          <cell r="AK62">
            <v>137600</v>
          </cell>
        </row>
        <row r="63">
          <cell r="A63" t="str">
            <v>ETLCUST-00619</v>
          </cell>
          <cell r="B63" t="str">
            <v>AL-AMIN COMPUTER AND MOBILE - RANGPUR</v>
          </cell>
          <cell r="C63" t="str">
            <v>Md Abdullah Al Mamun</v>
          </cell>
          <cell r="D63" t="str">
            <v>North Bengal</v>
          </cell>
          <cell r="E63" t="str">
            <v>North Bengal</v>
          </cell>
          <cell r="AZ63">
            <v>10850</v>
          </cell>
        </row>
        <row r="64">
          <cell r="A64" t="str">
            <v>ETLCUST-04746</v>
          </cell>
          <cell r="B64" t="str">
            <v>AL-AMIN TELECOM -PABNA</v>
          </cell>
          <cell r="C64" t="str">
            <v>Forhad Rubel</v>
          </cell>
          <cell r="D64" t="str">
            <v>North Bengal</v>
          </cell>
          <cell r="E64" t="str">
            <v>North Bengal</v>
          </cell>
          <cell r="Q64">
            <v>13900</v>
          </cell>
          <cell r="S64">
            <v>0</v>
          </cell>
          <cell r="AL64">
            <v>15900</v>
          </cell>
          <cell r="AM64">
            <v>1110190</v>
          </cell>
          <cell r="AQ64">
            <v>0</v>
          </cell>
          <cell r="BA64">
            <v>4830790</v>
          </cell>
        </row>
        <row r="65">
          <cell r="A65" t="str">
            <v>ETLCUST-00761</v>
          </cell>
          <cell r="B65" t="str">
            <v>AL-AMIN.NET - MULTIPLAN</v>
          </cell>
          <cell r="C65" t="str">
            <v>Md Nur Karim Chowdhury</v>
          </cell>
          <cell r="D65" t="str">
            <v>Multiplan</v>
          </cell>
          <cell r="E65" t="str">
            <v>Multiplan</v>
          </cell>
          <cell r="S65">
            <v>0</v>
          </cell>
          <cell r="T65">
            <v>146500</v>
          </cell>
          <cell r="U65">
            <v>37450</v>
          </cell>
          <cell r="AM65">
            <v>1705675</v>
          </cell>
          <cell r="AR65">
            <v>421950</v>
          </cell>
          <cell r="BA65">
            <v>35299755</v>
          </cell>
        </row>
        <row r="66">
          <cell r="A66" t="str">
            <v>ETLCUST-03800</v>
          </cell>
          <cell r="B66" t="str">
            <v>ALETA SOLUTIONS PVT LTD - BADDA</v>
          </cell>
          <cell r="C66" t="str">
            <v>Liton Biswas</v>
          </cell>
          <cell r="D66" t="str">
            <v>HO-SI</v>
          </cell>
          <cell r="E66" t="str">
            <v>HO-SI</v>
          </cell>
          <cell r="M66">
            <v>51800</v>
          </cell>
        </row>
        <row r="67">
          <cell r="A67" t="str">
            <v>ETLCUST-04607</v>
          </cell>
          <cell r="B67" t="str">
            <v>ALI COMPUTER AND TELECOM - NETROKONA</v>
          </cell>
          <cell r="C67" t="str">
            <v>Rafiqul Islam Sumon</v>
          </cell>
          <cell r="D67" t="str">
            <v>Mymensingh</v>
          </cell>
          <cell r="E67" t="str">
            <v>Mymensingh</v>
          </cell>
          <cell r="R67">
            <v>35000</v>
          </cell>
          <cell r="S67">
            <v>0</v>
          </cell>
          <cell r="AK67">
            <v>34000</v>
          </cell>
          <cell r="AL67">
            <v>58840</v>
          </cell>
          <cell r="AM67">
            <v>12730</v>
          </cell>
          <cell r="AO67">
            <v>17750</v>
          </cell>
          <cell r="BA67">
            <v>1632975</v>
          </cell>
        </row>
        <row r="68">
          <cell r="A68" t="str">
            <v>ETLCUST-05308</v>
          </cell>
          <cell r="B68" t="str">
            <v>ALIF EMBROIDERY VILLAGE LTD.</v>
          </cell>
          <cell r="C68" t="str">
            <v>Md. Anisur Rahman</v>
          </cell>
          <cell r="D68" t="str">
            <v>Corporate</v>
          </cell>
          <cell r="E68" t="str">
            <v>Corporate</v>
          </cell>
          <cell r="U68">
            <v>501000</v>
          </cell>
          <cell r="AY68">
            <v>19000</v>
          </cell>
        </row>
        <row r="69">
          <cell r="A69" t="str">
            <v>ETLCUST-04197</v>
          </cell>
          <cell r="B69" t="str">
            <v>ALIF TECHNOLOGY</v>
          </cell>
          <cell r="C69" t="str">
            <v>Ashraful Islam</v>
          </cell>
          <cell r="D69" t="str">
            <v>Corporate</v>
          </cell>
          <cell r="E69" t="str">
            <v>Corporate</v>
          </cell>
          <cell r="I69">
            <v>3833000</v>
          </cell>
          <cell r="U69">
            <v>273000</v>
          </cell>
          <cell r="AA69">
            <v>79200</v>
          </cell>
          <cell r="AR69">
            <v>21900</v>
          </cell>
          <cell r="BA69">
            <v>45000</v>
          </cell>
        </row>
        <row r="70">
          <cell r="A70" t="str">
            <v>ETLCUST-00630</v>
          </cell>
          <cell r="B70" t="str">
            <v>ALL IN ONE - RANGPUR</v>
          </cell>
          <cell r="C70" t="str">
            <v>Md. Arif Arman</v>
          </cell>
          <cell r="D70" t="str">
            <v>North Bengal</v>
          </cell>
          <cell r="E70" t="str">
            <v>North Bengal</v>
          </cell>
          <cell r="L70">
            <v>25500</v>
          </cell>
          <cell r="Q70">
            <v>890</v>
          </cell>
          <cell r="R70">
            <v>24500</v>
          </cell>
          <cell r="X70">
            <v>135800</v>
          </cell>
          <cell r="AQ70">
            <v>0</v>
          </cell>
          <cell r="AT70">
            <v>25500</v>
          </cell>
          <cell r="AZ70">
            <v>61000</v>
          </cell>
          <cell r="BA70">
            <v>483820</v>
          </cell>
        </row>
        <row r="71">
          <cell r="A71" t="str">
            <v>ETLCUST-04774</v>
          </cell>
          <cell r="B71" t="str">
            <v xml:space="preserve">ALL IT LIMITED - IDB </v>
          </cell>
          <cell r="C71" t="str">
            <v>Gaji Parvin Nesa</v>
          </cell>
          <cell r="D71" t="str">
            <v>IDB</v>
          </cell>
          <cell r="E71" t="str">
            <v>IDB</v>
          </cell>
          <cell r="R71">
            <v>4059000</v>
          </cell>
          <cell r="AJ71">
            <v>80000</v>
          </cell>
        </row>
        <row r="72">
          <cell r="A72" t="str">
            <v>ETLCUST-03656</v>
          </cell>
          <cell r="B72" t="str">
            <v>ALL IT LIMITED - MULTIPLAN</v>
          </cell>
          <cell r="C72" t="str">
            <v>Md Mokshed Ali</v>
          </cell>
          <cell r="D72" t="str">
            <v>Multiplan</v>
          </cell>
          <cell r="E72" t="str">
            <v>Multiplan</v>
          </cell>
          <cell r="R72">
            <v>2156000</v>
          </cell>
          <cell r="AZ72">
            <v>5100</v>
          </cell>
        </row>
        <row r="73">
          <cell r="A73" t="str">
            <v>ETLCUST-00440</v>
          </cell>
          <cell r="B73" t="str">
            <v>ALL IT LTD - SHYAMOLI</v>
          </cell>
          <cell r="C73" t="str">
            <v>Md. Rony Ahmed</v>
          </cell>
          <cell r="D73" t="str">
            <v>DHB</v>
          </cell>
          <cell r="E73" t="str">
            <v>DHB</v>
          </cell>
          <cell r="R73">
            <v>769000</v>
          </cell>
        </row>
        <row r="74">
          <cell r="A74" t="str">
            <v>ETLCUST-05013</v>
          </cell>
          <cell r="B74" t="str">
            <v>ALL IT SOLUTION - SAVAR</v>
          </cell>
          <cell r="C74" t="str">
            <v>Biplop Kumar</v>
          </cell>
          <cell r="D74" t="str">
            <v>DHK-EXT</v>
          </cell>
          <cell r="E74" t="str">
            <v>DHK-EXT</v>
          </cell>
          <cell r="AJ74">
            <v>30945</v>
          </cell>
        </row>
        <row r="75">
          <cell r="A75" t="str">
            <v>ETLCUST-04115</v>
          </cell>
          <cell r="B75" t="str">
            <v>AL-MODINA COMPUTER-MOHADEVPUR</v>
          </cell>
          <cell r="C75" t="str">
            <v>Md. Abu Basar</v>
          </cell>
          <cell r="D75" t="str">
            <v>Rajshahi</v>
          </cell>
          <cell r="E75" t="str">
            <v>Rajshahi</v>
          </cell>
          <cell r="G75">
            <v>75000</v>
          </cell>
          <cell r="P75">
            <v>6400</v>
          </cell>
          <cell r="S75">
            <v>0</v>
          </cell>
          <cell r="AL75">
            <v>10600</v>
          </cell>
          <cell r="AZ75">
            <v>27500</v>
          </cell>
          <cell r="BA75">
            <v>36550</v>
          </cell>
        </row>
        <row r="76">
          <cell r="A76" t="str">
            <v>ETLCUST-03295</v>
          </cell>
          <cell r="B76" t="str">
            <v>AL-MODINA COMPUTERS - GULISTAN</v>
          </cell>
          <cell r="C76" t="str">
            <v>Shamim Hossain</v>
          </cell>
          <cell r="D76" t="str">
            <v>Gulistan</v>
          </cell>
          <cell r="E76" t="str">
            <v>Gulistan</v>
          </cell>
          <cell r="AL76">
            <v>661350</v>
          </cell>
        </row>
        <row r="77">
          <cell r="A77" t="str">
            <v>ETLCUST-03929</v>
          </cell>
          <cell r="B77" t="str">
            <v>AL-MODINA ENTERPRISE - GAZIPUR</v>
          </cell>
          <cell r="C77" t="str">
            <v>Md. Rahad</v>
          </cell>
          <cell r="D77" t="str">
            <v>Uttara</v>
          </cell>
          <cell r="E77" t="str">
            <v>Uttara</v>
          </cell>
          <cell r="G77">
            <v>612000</v>
          </cell>
          <cell r="S77">
            <v>0</v>
          </cell>
          <cell r="T77">
            <v>635000</v>
          </cell>
          <cell r="U77">
            <v>3900</v>
          </cell>
          <cell r="X77">
            <v>232750</v>
          </cell>
          <cell r="AL77">
            <v>202800</v>
          </cell>
          <cell r="AM77">
            <v>1449105</v>
          </cell>
          <cell r="AQ77">
            <v>0</v>
          </cell>
          <cell r="AR77">
            <v>11200</v>
          </cell>
          <cell r="BA77">
            <v>5494000</v>
          </cell>
        </row>
        <row r="78">
          <cell r="A78" t="str">
            <v>ETLCUST-00441</v>
          </cell>
          <cell r="B78" t="str">
            <v>AL-MONIR INTERNATIONAL - MOTALIB PLAZA</v>
          </cell>
          <cell r="C78" t="str">
            <v>Md Shamim Miah</v>
          </cell>
          <cell r="D78" t="str">
            <v>DHB</v>
          </cell>
          <cell r="E78" t="str">
            <v>DHB</v>
          </cell>
          <cell r="S78">
            <v>0</v>
          </cell>
          <cell r="BA78">
            <v>116840</v>
          </cell>
        </row>
        <row r="79">
          <cell r="A79" t="str">
            <v>ETLCUST-00144</v>
          </cell>
          <cell r="B79" t="str">
            <v>AL-NOOR COMPUTER - UTTARA</v>
          </cell>
          <cell r="C79" t="str">
            <v>Dulal Sarker</v>
          </cell>
          <cell r="D79" t="str">
            <v>Uttara</v>
          </cell>
          <cell r="E79" t="str">
            <v>Uttara</v>
          </cell>
          <cell r="X79">
            <v>153000</v>
          </cell>
        </row>
        <row r="80">
          <cell r="A80" t="str">
            <v>ETLCUST-03108</v>
          </cell>
          <cell r="B80" t="str">
            <v>ALOMGIR ELECTRONICS CABLE - BAKERGONJ</v>
          </cell>
          <cell r="C80" t="str">
            <v>Md. Aminul Islam</v>
          </cell>
          <cell r="D80" t="str">
            <v>South Bengal</v>
          </cell>
          <cell r="E80" t="str">
            <v>South Bengal</v>
          </cell>
          <cell r="T80">
            <v>7900</v>
          </cell>
          <cell r="BA80">
            <v>4790</v>
          </cell>
        </row>
        <row r="81">
          <cell r="A81" t="str">
            <v>ETLCUST-00763</v>
          </cell>
          <cell r="B81" t="str">
            <v>ALPHA BYTE TECHNOLOGY - MULTIPLAN</v>
          </cell>
          <cell r="C81" t="str">
            <v>Md Mokshed Ali</v>
          </cell>
          <cell r="D81" t="str">
            <v>Multiplan</v>
          </cell>
          <cell r="E81" t="str">
            <v>Multiplan</v>
          </cell>
          <cell r="U81">
            <v>10400</v>
          </cell>
        </row>
        <row r="82">
          <cell r="A82" t="str">
            <v>ETLCUST-04242</v>
          </cell>
          <cell r="B82" t="str">
            <v>ALPHA COMPUTER - SHARIATPUR</v>
          </cell>
          <cell r="C82" t="str">
            <v>Hanif shek</v>
          </cell>
          <cell r="D82" t="str">
            <v>South Bengal</v>
          </cell>
          <cell r="E82" t="str">
            <v>South Bengal</v>
          </cell>
          <cell r="O82">
            <v>27500</v>
          </cell>
          <cell r="P82">
            <v>25600</v>
          </cell>
          <cell r="AL82">
            <v>13250</v>
          </cell>
          <cell r="BA82">
            <v>-14405</v>
          </cell>
        </row>
        <row r="83">
          <cell r="A83" t="str">
            <v>ETLCUST-04723</v>
          </cell>
          <cell r="B83" t="str">
            <v xml:space="preserve">ALPHA COMPUTER -TANGAIL </v>
          </cell>
          <cell r="C83" t="str">
            <v>Niloy Ghosh</v>
          </cell>
          <cell r="D83" t="str">
            <v>DHK-EXT</v>
          </cell>
          <cell r="E83" t="str">
            <v>DHK-EXT</v>
          </cell>
          <cell r="AM83">
            <v>380</v>
          </cell>
          <cell r="BA83">
            <v>12400</v>
          </cell>
        </row>
        <row r="84">
          <cell r="A84" t="str">
            <v>ETLCUST-04082</v>
          </cell>
          <cell r="B84" t="str">
            <v>ALTAF TRADERS - PABNA</v>
          </cell>
          <cell r="C84" t="str">
            <v>Forhad Rubel</v>
          </cell>
          <cell r="D84" t="str">
            <v>North Bengal</v>
          </cell>
          <cell r="E84" t="str">
            <v>North Bengal</v>
          </cell>
          <cell r="G84">
            <v>50650</v>
          </cell>
          <cell r="AM84">
            <v>455440</v>
          </cell>
          <cell r="AQ84">
            <v>0</v>
          </cell>
          <cell r="AR84">
            <v>5600</v>
          </cell>
          <cell r="BA84">
            <v>1707435</v>
          </cell>
        </row>
        <row r="85">
          <cell r="A85" t="str">
            <v>ETLCUST-04509</v>
          </cell>
          <cell r="B85" t="str">
            <v>ALVIAN TRADE - E.ROAD</v>
          </cell>
          <cell r="C85" t="str">
            <v>Md Rabiul Islam</v>
          </cell>
          <cell r="D85" t="str">
            <v>DHB</v>
          </cell>
          <cell r="E85" t="str">
            <v>DHB</v>
          </cell>
          <cell r="T85">
            <v>4944650</v>
          </cell>
          <cell r="X85">
            <v>5512150</v>
          </cell>
          <cell r="AL85">
            <v>112350</v>
          </cell>
          <cell r="AQ85">
            <v>0</v>
          </cell>
        </row>
        <row r="86">
          <cell r="A86" t="str">
            <v>ETLCUST-01248</v>
          </cell>
          <cell r="B86" t="str">
            <v>AM COMPUTERS - MOTIJHEEL</v>
          </cell>
          <cell r="C86" t="str">
            <v>Hridoy Chandra Das</v>
          </cell>
          <cell r="D86" t="str">
            <v>Motijheel</v>
          </cell>
          <cell r="E86" t="str">
            <v>Motijheel</v>
          </cell>
          <cell r="P86">
            <v>526800</v>
          </cell>
          <cell r="V86">
            <v>44000</v>
          </cell>
          <cell r="AF86">
            <v>935000</v>
          </cell>
          <cell r="AO86">
            <v>67200</v>
          </cell>
        </row>
        <row r="87">
          <cell r="A87" t="str">
            <v>ETLCUST-03670</v>
          </cell>
          <cell r="B87" t="str">
            <v>AM IT SOLUTIONS - MOTIJHEEL</v>
          </cell>
          <cell r="C87" t="str">
            <v>Hridoy Chandra Das</v>
          </cell>
          <cell r="D87" t="str">
            <v>Motijheel</v>
          </cell>
          <cell r="E87" t="str">
            <v>Motijheel</v>
          </cell>
          <cell r="AF87">
            <v>897600</v>
          </cell>
        </row>
        <row r="88">
          <cell r="A88" t="str">
            <v>ETLCUST-04633</v>
          </cell>
          <cell r="B88" t="str">
            <v>AMAN COMPUTER - KHULNA</v>
          </cell>
          <cell r="C88" t="str">
            <v>Md Husaun</v>
          </cell>
          <cell r="D88" t="str">
            <v>Khulna</v>
          </cell>
          <cell r="E88" t="str">
            <v>Khulna</v>
          </cell>
          <cell r="R88">
            <v>14500</v>
          </cell>
          <cell r="BA88">
            <v>6490</v>
          </cell>
        </row>
        <row r="89">
          <cell r="A89" t="str">
            <v>ETLCUST-02878</v>
          </cell>
          <cell r="B89" t="str">
            <v>AMANA INTERNATIONAL PVT LTD - UTTARA</v>
          </cell>
          <cell r="C89" t="str">
            <v>Dulal Sarker</v>
          </cell>
          <cell r="D89" t="str">
            <v>Uttara</v>
          </cell>
          <cell r="E89" t="str">
            <v>Uttara</v>
          </cell>
          <cell r="U89">
            <v>130000</v>
          </cell>
          <cell r="AV89">
            <v>33400</v>
          </cell>
        </row>
        <row r="90">
          <cell r="A90" t="str">
            <v>ETLCUST-05236</v>
          </cell>
          <cell r="B90" t="str">
            <v>AMANN BANGLADESH LIMITED</v>
          </cell>
          <cell r="C90" t="str">
            <v>Md. Raihan Ali</v>
          </cell>
          <cell r="D90" t="str">
            <v>Corporate</v>
          </cell>
          <cell r="E90" t="str">
            <v>Corporate</v>
          </cell>
          <cell r="S90">
            <v>19631.57</v>
          </cell>
          <cell r="AY90">
            <v>17158.259999999998</v>
          </cell>
        </row>
        <row r="91">
          <cell r="A91" t="str">
            <v>ETLCUST-01596</v>
          </cell>
          <cell r="B91" t="str">
            <v>AMAR COMMUNICATION SYSTEM - DB</v>
          </cell>
          <cell r="C91" t="str">
            <v>Sadekur Rahman</v>
          </cell>
          <cell r="D91" t="str">
            <v>HO-SI</v>
          </cell>
          <cell r="E91" t="str">
            <v>HO-SI</v>
          </cell>
          <cell r="AR91">
            <v>346500</v>
          </cell>
        </row>
        <row r="92">
          <cell r="A92" t="str">
            <v>ETLCUST-04867</v>
          </cell>
          <cell r="B92" t="str">
            <v>AMAR DESH PUBLICATION LIMITED</v>
          </cell>
          <cell r="C92" t="str">
            <v>Rafsan Jani</v>
          </cell>
          <cell r="D92" t="str">
            <v>Corporate</v>
          </cell>
          <cell r="E92" t="str">
            <v>Corporate</v>
          </cell>
          <cell r="U92">
            <v>3900</v>
          </cell>
        </row>
        <row r="93">
          <cell r="A93" t="str">
            <v>ETLCUST-03471</v>
          </cell>
          <cell r="B93" t="str">
            <v>AMBER IT - GULSHAN</v>
          </cell>
          <cell r="C93" t="str">
            <v>Liton Biswas</v>
          </cell>
          <cell r="D93" t="str">
            <v>HO-SI</v>
          </cell>
          <cell r="E93" t="str">
            <v>HO-SI</v>
          </cell>
          <cell r="G93">
            <v>4130519.31</v>
          </cell>
          <cell r="S93">
            <v>42105.400000000009</v>
          </cell>
        </row>
        <row r="94">
          <cell r="A94" t="str">
            <v>ETLCUST-01961</v>
          </cell>
          <cell r="B94" t="str">
            <v>AMERICAN EMBASSY DHAKA</v>
          </cell>
          <cell r="C94" t="str">
            <v>Sabbir Ahmed</v>
          </cell>
          <cell r="D94" t="str">
            <v>Corporate</v>
          </cell>
          <cell r="E94" t="str">
            <v>Corporate</v>
          </cell>
          <cell r="AJ94">
            <v>615000</v>
          </cell>
        </row>
        <row r="95">
          <cell r="A95" t="str">
            <v>ETLCUST-00523</v>
          </cell>
          <cell r="B95" t="str">
            <v>AMICO TRADING CORPORATION - SANTINAGAR</v>
          </cell>
          <cell r="C95" t="str">
            <v>Sadekur Rahman</v>
          </cell>
          <cell r="D95" t="str">
            <v>HO-SI</v>
          </cell>
          <cell r="E95" t="str">
            <v>HO-SI</v>
          </cell>
          <cell r="X95">
            <v>123200</v>
          </cell>
          <cell r="AV95">
            <v>16200</v>
          </cell>
          <cell r="BA95">
            <v>3750</v>
          </cell>
        </row>
        <row r="96">
          <cell r="A96" t="str">
            <v>ETLCUST-01888</v>
          </cell>
          <cell r="B96" t="str">
            <v>AMIN DIGITAL TECHNOLOGY - BAITUL MUKARRAM</v>
          </cell>
          <cell r="C96" t="str">
            <v>Hridoy Chandra Das</v>
          </cell>
          <cell r="D96" t="str">
            <v>Motijheel</v>
          </cell>
          <cell r="E96" t="str">
            <v>Motijheel</v>
          </cell>
          <cell r="T96">
            <v>258000</v>
          </cell>
          <cell r="X96">
            <v>1174700</v>
          </cell>
          <cell r="AM96">
            <v>850</v>
          </cell>
          <cell r="AR96">
            <v>42500</v>
          </cell>
        </row>
        <row r="97">
          <cell r="A97" t="str">
            <v>ETLCUST-03397</v>
          </cell>
          <cell r="B97" t="str">
            <v>AMIN MOHAMMAD LAND DEVELOPMENT LTD.</v>
          </cell>
          <cell r="C97" t="str">
            <v>Mohammad Maruf Hasan</v>
          </cell>
          <cell r="D97" t="str">
            <v>Corporate</v>
          </cell>
          <cell r="E97" t="str">
            <v>Corporate</v>
          </cell>
          <cell r="R97">
            <v>83686.350000000006</v>
          </cell>
        </row>
        <row r="98">
          <cell r="A98" t="str">
            <v>ETLCUST-04410</v>
          </cell>
          <cell r="B98" t="str">
            <v>AMINA ENTERPRISE - HABIGANJ</v>
          </cell>
          <cell r="C98" t="str">
            <v>Md. Imran Miah Khandakar</v>
          </cell>
          <cell r="D98" t="str">
            <v>Sylhet</v>
          </cell>
          <cell r="E98" t="str">
            <v>Sylhet</v>
          </cell>
          <cell r="AL98">
            <v>13250</v>
          </cell>
          <cell r="AM98">
            <v>30650</v>
          </cell>
          <cell r="AO98">
            <v>13250</v>
          </cell>
          <cell r="BA98">
            <v>73150</v>
          </cell>
        </row>
        <row r="99">
          <cell r="A99" t="str">
            <v>ETLCUST-01435</v>
          </cell>
          <cell r="B99" t="str">
            <v>AMIRUL SUPER SHOP - GAZIPUR</v>
          </cell>
          <cell r="C99" t="str">
            <v>MD. Shipon Ali</v>
          </cell>
          <cell r="D99" t="str">
            <v>Uttara</v>
          </cell>
          <cell r="E99" t="str">
            <v>Uttara</v>
          </cell>
          <cell r="G99">
            <v>189900</v>
          </cell>
          <cell r="AO99">
            <v>570</v>
          </cell>
          <cell r="BA99">
            <v>3690</v>
          </cell>
        </row>
        <row r="100">
          <cell r="A100" t="str">
            <v>ETLCUST-04953</v>
          </cell>
          <cell r="B100" t="str">
            <v>ANAMIKA BUSINESS CENTER - PATUAKHALI</v>
          </cell>
          <cell r="C100" t="str">
            <v>Md. Aminul Islam</v>
          </cell>
          <cell r="D100" t="str">
            <v>South Bengal</v>
          </cell>
          <cell r="E100" t="str">
            <v>South Bengal</v>
          </cell>
          <cell r="G100">
            <v>55470</v>
          </cell>
          <cell r="Q100">
            <v>890</v>
          </cell>
          <cell r="S100">
            <v>0</v>
          </cell>
          <cell r="T100">
            <v>154000</v>
          </cell>
          <cell r="X100">
            <v>216550</v>
          </cell>
          <cell r="AL100">
            <v>37505</v>
          </cell>
          <cell r="AM100">
            <v>83990</v>
          </cell>
          <cell r="AQ100">
            <v>0</v>
          </cell>
          <cell r="BA100">
            <v>449690</v>
          </cell>
        </row>
        <row r="101">
          <cell r="A101" t="str">
            <v>ETLCUST-00159</v>
          </cell>
          <cell r="B101" t="str">
            <v>ANANDA COMPUTERS - IDB</v>
          </cell>
          <cell r="C101" t="str">
            <v>Gaji Parvin Nesa</v>
          </cell>
          <cell r="D101" t="str">
            <v>IDB</v>
          </cell>
          <cell r="E101" t="str">
            <v>IDB</v>
          </cell>
          <cell r="AO101">
            <v>20250</v>
          </cell>
        </row>
        <row r="102">
          <cell r="A102" t="str">
            <v>ETLCUST-02886</v>
          </cell>
          <cell r="B102" t="str">
            <v>ANANDA GROUP</v>
          </cell>
          <cell r="C102" t="str">
            <v>Shakil Ahmed</v>
          </cell>
          <cell r="D102" t="str">
            <v>Corporate</v>
          </cell>
          <cell r="E102" t="str">
            <v>Corporate</v>
          </cell>
          <cell r="AD102">
            <v>18000</v>
          </cell>
        </row>
        <row r="103">
          <cell r="A103" t="str">
            <v>ETLCUST-05037</v>
          </cell>
          <cell r="B103" t="str">
            <v>ANANDO TECHNOLOGY - JALOKATHI</v>
          </cell>
          <cell r="C103" t="str">
            <v>Md. Aminul Islam</v>
          </cell>
          <cell r="D103" t="str">
            <v>South Bengal</v>
          </cell>
          <cell r="E103" t="str">
            <v>South Bengal</v>
          </cell>
          <cell r="G103">
            <v>20000</v>
          </cell>
          <cell r="T103">
            <v>1850</v>
          </cell>
          <cell r="X103">
            <v>288510</v>
          </cell>
          <cell r="AM103">
            <v>47280</v>
          </cell>
          <cell r="BA103">
            <v>461345</v>
          </cell>
        </row>
        <row r="104">
          <cell r="A104" t="str">
            <v>ETLCUST-04032</v>
          </cell>
          <cell r="B104" t="str">
            <v>ANANTA GROUP</v>
          </cell>
          <cell r="C104" t="str">
            <v>Md Saim Ali Rezvy</v>
          </cell>
          <cell r="D104" t="str">
            <v>Corporate</v>
          </cell>
          <cell r="E104" t="str">
            <v>Corporate</v>
          </cell>
          <cell r="U104">
            <v>248372.76</v>
          </cell>
          <cell r="X104">
            <v>1136.5</v>
          </cell>
          <cell r="AV104">
            <v>35272.720000000001</v>
          </cell>
        </row>
        <row r="105">
          <cell r="A105" t="str">
            <v>ETLCUST-05399</v>
          </cell>
          <cell r="B105" t="str">
            <v>ANAS COMPUTER - LAXMIPUR</v>
          </cell>
          <cell r="C105" t="str">
            <v>Reazuddin</v>
          </cell>
          <cell r="D105" t="str">
            <v>CTG</v>
          </cell>
          <cell r="E105" t="str">
            <v>CTG</v>
          </cell>
          <cell r="X105">
            <v>102400</v>
          </cell>
        </row>
        <row r="106">
          <cell r="A106" t="str">
            <v>ETLCUST-00631</v>
          </cell>
          <cell r="B106" t="str">
            <v>ANAS COMPUTER - RANGPUR</v>
          </cell>
          <cell r="C106" t="str">
            <v>Md Abdullah Al Mamun</v>
          </cell>
          <cell r="D106" t="str">
            <v>North Bengal</v>
          </cell>
          <cell r="E106" t="str">
            <v>North Bengal</v>
          </cell>
          <cell r="X106">
            <v>29525</v>
          </cell>
        </row>
        <row r="107">
          <cell r="A107" t="str">
            <v>ETLCUST-04615</v>
          </cell>
          <cell r="B107" t="str">
            <v>ANCHORAGE CONTAINER DEPOT LIMITED</v>
          </cell>
          <cell r="C107" t="str">
            <v>Akter Hossen Nishan</v>
          </cell>
          <cell r="D107" t="str">
            <v>Corporate</v>
          </cell>
          <cell r="E107" t="str">
            <v>Corporate</v>
          </cell>
          <cell r="U107">
            <v>7700</v>
          </cell>
        </row>
        <row r="108">
          <cell r="A108" t="str">
            <v>ETLCUST-00957</v>
          </cell>
          <cell r="B108" t="str">
            <v>ANIK ELECTRONICS AND ELECTRIC - GULISTAN</v>
          </cell>
          <cell r="C108" t="str">
            <v>Md Kamrul Hasan Sabuz</v>
          </cell>
          <cell r="D108" t="str">
            <v>Gulistan</v>
          </cell>
          <cell r="E108" t="str">
            <v>Gulistan</v>
          </cell>
          <cell r="AZ108">
            <v>378400</v>
          </cell>
        </row>
        <row r="109">
          <cell r="A109" t="str">
            <v>ETLCUST-01870</v>
          </cell>
          <cell r="B109" t="str">
            <v>ANWARA TRADING INTERNATIONAL - PALTAN</v>
          </cell>
          <cell r="C109" t="str">
            <v>Md. Akram Rashid</v>
          </cell>
          <cell r="D109" t="str">
            <v>Motijheel</v>
          </cell>
          <cell r="E109" t="str">
            <v>Motijheel</v>
          </cell>
          <cell r="P109">
            <v>69500</v>
          </cell>
          <cell r="R109">
            <v>522500</v>
          </cell>
        </row>
        <row r="110">
          <cell r="A110" t="str">
            <v>ETLCUST-03000</v>
          </cell>
          <cell r="B110" t="str">
            <v>APEX FASHION WEAR LIMITED</v>
          </cell>
          <cell r="C110" t="str">
            <v>Sabbir Ahmed</v>
          </cell>
          <cell r="D110" t="str">
            <v>Corporate</v>
          </cell>
          <cell r="E110" t="str">
            <v>Corporate</v>
          </cell>
          <cell r="AR110">
            <v>135000</v>
          </cell>
          <cell r="AV110">
            <v>52800</v>
          </cell>
          <cell r="BA110">
            <v>0</v>
          </cell>
        </row>
        <row r="111">
          <cell r="A111" t="str">
            <v>ETLCUST-01964</v>
          </cell>
          <cell r="B111" t="str">
            <v>APEX LINGERIE LIMITED</v>
          </cell>
          <cell r="C111" t="str">
            <v>Sabbir Ahmed</v>
          </cell>
          <cell r="D111" t="str">
            <v>Corporate</v>
          </cell>
          <cell r="E111" t="str">
            <v>Corporate</v>
          </cell>
          <cell r="U111">
            <v>42000</v>
          </cell>
        </row>
        <row r="112">
          <cell r="A112" t="str">
            <v>ETLCUST-01965</v>
          </cell>
          <cell r="B112" t="str">
            <v>APEX SPINNING &amp; KNITTING MILLS LTD.</v>
          </cell>
          <cell r="C112" t="str">
            <v>Sabbir Ahmed</v>
          </cell>
          <cell r="D112" t="str">
            <v>Corporate</v>
          </cell>
          <cell r="E112" t="str">
            <v>Corporate</v>
          </cell>
          <cell r="U112">
            <v>-21000</v>
          </cell>
          <cell r="AR112">
            <v>43000</v>
          </cell>
          <cell r="AV112">
            <v>17800</v>
          </cell>
        </row>
        <row r="113">
          <cell r="A113" t="str">
            <v>ETLCUST-01966</v>
          </cell>
          <cell r="B113" t="str">
            <v>APEX TEXTILE PRINTING MILLS LTD.</v>
          </cell>
          <cell r="C113" t="str">
            <v>Sabbir Ahmed</v>
          </cell>
          <cell r="D113" t="str">
            <v>Corporate</v>
          </cell>
          <cell r="E113" t="str">
            <v>Corporate</v>
          </cell>
          <cell r="U113">
            <v>42000</v>
          </cell>
          <cell r="AR113">
            <v>148200</v>
          </cell>
          <cell r="AV113">
            <v>9000</v>
          </cell>
        </row>
        <row r="114">
          <cell r="A114" t="str">
            <v>ETLCUST-04849</v>
          </cell>
          <cell r="B114" t="str">
            <v>APL (BANGLADESH) PVT. LTD.</v>
          </cell>
          <cell r="C114" t="str">
            <v>Akter Hossen Nishan</v>
          </cell>
          <cell r="D114" t="str">
            <v>Corporate</v>
          </cell>
          <cell r="E114" t="str">
            <v>Corporate</v>
          </cell>
          <cell r="AJ114">
            <v>5040</v>
          </cell>
        </row>
        <row r="115">
          <cell r="A115" t="str">
            <v>ETLCUST-04246</v>
          </cell>
          <cell r="B115" t="str">
            <v>APOGEE IT - PANTHAPATH</v>
          </cell>
          <cell r="C115" t="str">
            <v>Sadekur Rahman</v>
          </cell>
          <cell r="D115" t="str">
            <v>HO-SI</v>
          </cell>
          <cell r="E115" t="str">
            <v>HO-SI</v>
          </cell>
          <cell r="F115">
            <v>405000</v>
          </cell>
          <cell r="U115">
            <v>46000</v>
          </cell>
          <cell r="AV115">
            <v>66800</v>
          </cell>
        </row>
        <row r="116">
          <cell r="A116" t="str">
            <v>ETLCUST-01464</v>
          </cell>
          <cell r="B116" t="str">
            <v>APPLE COMPUTER SYSTEM - BARISAL</v>
          </cell>
          <cell r="C116" t="str">
            <v>Shah Imran</v>
          </cell>
          <cell r="D116" t="str">
            <v>South Bengal</v>
          </cell>
          <cell r="E116" t="str">
            <v>South Bengal</v>
          </cell>
          <cell r="P116">
            <v>25600</v>
          </cell>
          <cell r="X116">
            <v>61400</v>
          </cell>
          <cell r="AK116">
            <v>13600</v>
          </cell>
          <cell r="AL116">
            <v>15900</v>
          </cell>
          <cell r="AM116">
            <v>13705</v>
          </cell>
          <cell r="AO116">
            <v>64950</v>
          </cell>
          <cell r="AQ116">
            <v>0</v>
          </cell>
          <cell r="BA116">
            <v>338670</v>
          </cell>
        </row>
        <row r="117">
          <cell r="A117" t="str">
            <v>ETLCUST-00240</v>
          </cell>
          <cell r="B117" t="str">
            <v>APTECH COMPUTER INSTITUTE - SYLHET</v>
          </cell>
          <cell r="C117" t="str">
            <v>Jane Alam Bhuiyan</v>
          </cell>
          <cell r="D117" t="str">
            <v>Sylhet</v>
          </cell>
          <cell r="E117" t="str">
            <v>Sylhet</v>
          </cell>
          <cell r="R117">
            <v>54000</v>
          </cell>
          <cell r="AJ117">
            <v>50600</v>
          </cell>
          <cell r="BA117">
            <v>20890</v>
          </cell>
        </row>
        <row r="118">
          <cell r="A118" t="str">
            <v>ETLCUST-05304</v>
          </cell>
          <cell r="B118" t="str">
            <v>APURBA TECHNOLOGY - MADARIPUR</v>
          </cell>
          <cell r="C118" t="str">
            <v>Hanif shek</v>
          </cell>
          <cell r="D118" t="str">
            <v>South Bengal</v>
          </cell>
          <cell r="E118" t="str">
            <v>South Bengal</v>
          </cell>
          <cell r="R118">
            <v>169000</v>
          </cell>
          <cell r="AK118">
            <v>27200</v>
          </cell>
          <cell r="BA118">
            <v>47075</v>
          </cell>
        </row>
        <row r="119">
          <cell r="A119" t="str">
            <v>ETLCUST-00233</v>
          </cell>
          <cell r="B119" t="str">
            <v>AR NET SOLUTION - E.ROAD</v>
          </cell>
          <cell r="C119" t="str">
            <v>Md. Rony Ahmed</v>
          </cell>
          <cell r="D119" t="str">
            <v>DHB</v>
          </cell>
          <cell r="E119" t="str">
            <v>DHB</v>
          </cell>
          <cell r="G119">
            <v>2200</v>
          </cell>
          <cell r="S119">
            <v>0</v>
          </cell>
          <cell r="T119">
            <v>4500</v>
          </cell>
          <cell r="X119">
            <v>85200</v>
          </cell>
          <cell r="AL119">
            <v>337465</v>
          </cell>
          <cell r="AM119">
            <v>918635</v>
          </cell>
          <cell r="AQ119">
            <v>0</v>
          </cell>
          <cell r="AR119">
            <v>277250</v>
          </cell>
          <cell r="AV119">
            <v>100200</v>
          </cell>
          <cell r="BA119">
            <v>22262705</v>
          </cell>
        </row>
        <row r="120">
          <cell r="A120" t="str">
            <v>ETLCUST-03581</v>
          </cell>
          <cell r="B120" t="str">
            <v>ARIA COMPUTER ZONE - SHERPUR</v>
          </cell>
          <cell r="C120" t="str">
            <v>Md. Sujon Mia</v>
          </cell>
          <cell r="D120" t="str">
            <v>Mymensingh</v>
          </cell>
          <cell r="E120" t="str">
            <v>Mymensingh</v>
          </cell>
          <cell r="P120">
            <v>6400</v>
          </cell>
          <cell r="S120">
            <v>0</v>
          </cell>
          <cell r="T120">
            <v>81800</v>
          </cell>
          <cell r="AL120">
            <v>19900</v>
          </cell>
          <cell r="AM120">
            <v>23000</v>
          </cell>
          <cell r="BA120">
            <v>318705</v>
          </cell>
        </row>
        <row r="121">
          <cell r="A121" t="str">
            <v>ETLCUST-00682</v>
          </cell>
          <cell r="B121" t="str">
            <v>ARIANA SYSTEM - KHULNA</v>
          </cell>
          <cell r="C121" t="str">
            <v>Md Husaun</v>
          </cell>
          <cell r="D121" t="str">
            <v>Khulna</v>
          </cell>
          <cell r="E121" t="str">
            <v>Khulna</v>
          </cell>
          <cell r="BA121">
            <v>1750</v>
          </cell>
        </row>
        <row r="122">
          <cell r="A122" t="str">
            <v>ETLCUST-00243</v>
          </cell>
          <cell r="B122" t="str">
            <v>ARIBA COMPUTER WORLD - SUNAMGONJ</v>
          </cell>
          <cell r="C122" t="str">
            <v>Amit Das</v>
          </cell>
          <cell r="D122" t="str">
            <v>Sylhet</v>
          </cell>
          <cell r="E122" t="str">
            <v>Sylhet</v>
          </cell>
          <cell r="S122">
            <v>0</v>
          </cell>
          <cell r="T122">
            <v>70500</v>
          </cell>
          <cell r="AL122">
            <v>52530</v>
          </cell>
          <cell r="AM122">
            <v>380</v>
          </cell>
          <cell r="BA122">
            <v>1080070</v>
          </cell>
        </row>
        <row r="123">
          <cell r="A123" t="str">
            <v>ETLCUST-03435</v>
          </cell>
          <cell r="B123" t="str">
            <v>ARIF COMPUTER - CHUADANGA</v>
          </cell>
          <cell r="C123" t="str">
            <v>Md. Hasanuzzaman</v>
          </cell>
          <cell r="D123" t="str">
            <v>South Bengal</v>
          </cell>
          <cell r="E123" t="str">
            <v>South Bengal</v>
          </cell>
          <cell r="G123">
            <v>84400</v>
          </cell>
          <cell r="O123">
            <v>5500</v>
          </cell>
          <cell r="P123">
            <v>12800</v>
          </cell>
          <cell r="R123">
            <v>15600</v>
          </cell>
          <cell r="S123">
            <v>0</v>
          </cell>
          <cell r="X123">
            <v>81100</v>
          </cell>
          <cell r="AL123">
            <v>40980</v>
          </cell>
          <cell r="AM123">
            <v>3490</v>
          </cell>
          <cell r="AO123">
            <v>4325</v>
          </cell>
          <cell r="AR123">
            <v>7000</v>
          </cell>
          <cell r="BA123">
            <v>1320850</v>
          </cell>
        </row>
        <row r="124">
          <cell r="A124" t="str">
            <v>ETLCUST-05015</v>
          </cell>
          <cell r="B124" t="str">
            <v>ARISHA TECH - ELEPHANT ROAD</v>
          </cell>
          <cell r="C124" t="str">
            <v>Md. Razan Hossain</v>
          </cell>
          <cell r="D124" t="str">
            <v>DHB</v>
          </cell>
          <cell r="E124" t="str">
            <v>DHB</v>
          </cell>
          <cell r="P124">
            <v>122000</v>
          </cell>
        </row>
        <row r="125">
          <cell r="A125" t="str">
            <v>ETLCUST-04287</v>
          </cell>
          <cell r="B125" t="str">
            <v>ARISTO COMPUTER - MEHERPUR</v>
          </cell>
          <cell r="C125" t="str">
            <v>Md. Hasanuzzaman</v>
          </cell>
          <cell r="D125" t="str">
            <v>South Bengal</v>
          </cell>
          <cell r="E125" t="str">
            <v>South Bengal</v>
          </cell>
          <cell r="G125">
            <v>25250</v>
          </cell>
          <cell r="P125">
            <v>38400</v>
          </cell>
          <cell r="R125">
            <v>17880</v>
          </cell>
          <cell r="V125">
            <v>10000</v>
          </cell>
          <cell r="X125">
            <v>24400</v>
          </cell>
          <cell r="AL125">
            <v>9950</v>
          </cell>
          <cell r="AO125">
            <v>10200</v>
          </cell>
          <cell r="AR125">
            <v>6000</v>
          </cell>
          <cell r="BA125">
            <v>105270</v>
          </cell>
        </row>
        <row r="126">
          <cell r="A126" t="str">
            <v>ETLCUST-00903</v>
          </cell>
          <cell r="B126" t="str">
            <v>ARISTO COMPUTERS - KUSHTIA</v>
          </cell>
          <cell r="C126" t="str">
            <v>Md Rakibul Islam</v>
          </cell>
          <cell r="D126" t="str">
            <v>South Bengal</v>
          </cell>
          <cell r="E126" t="str">
            <v>South Bengal</v>
          </cell>
          <cell r="G126">
            <v>56000</v>
          </cell>
          <cell r="L126">
            <v>850000</v>
          </cell>
          <cell r="P126">
            <v>128000</v>
          </cell>
          <cell r="R126">
            <v>958940</v>
          </cell>
          <cell r="S126">
            <v>0</v>
          </cell>
          <cell r="X126">
            <v>810600</v>
          </cell>
          <cell r="AJ126">
            <v>206275</v>
          </cell>
          <cell r="AL126">
            <v>39320</v>
          </cell>
          <cell r="AM126">
            <v>32400</v>
          </cell>
          <cell r="AO126">
            <v>46900</v>
          </cell>
          <cell r="AQ126">
            <v>0</v>
          </cell>
          <cell r="AR126">
            <v>57670</v>
          </cell>
          <cell r="BA126">
            <v>702040</v>
          </cell>
        </row>
        <row r="127">
          <cell r="A127" t="str">
            <v>ETLCUST-01970</v>
          </cell>
          <cell r="B127" t="str">
            <v>ARISTOPHARMA LTD.</v>
          </cell>
          <cell r="C127" t="str">
            <v>Abu Zahid Sobuj</v>
          </cell>
          <cell r="D127" t="str">
            <v>Corporate</v>
          </cell>
          <cell r="E127" t="str">
            <v>Corporate</v>
          </cell>
          <cell r="M127">
            <v>10300</v>
          </cell>
          <cell r="P127">
            <v>6600</v>
          </cell>
          <cell r="R127">
            <v>2565000</v>
          </cell>
          <cell r="U127">
            <v>324836.36</v>
          </cell>
          <cell r="V127">
            <v>167000</v>
          </cell>
          <cell r="X127">
            <v>9000</v>
          </cell>
          <cell r="AD127">
            <v>1083845.45</v>
          </cell>
          <cell r="AK127">
            <v>89500</v>
          </cell>
          <cell r="AR127">
            <v>16400</v>
          </cell>
          <cell r="BA127">
            <v>19581.84</v>
          </cell>
        </row>
        <row r="128">
          <cell r="A128" t="str">
            <v>ETLCUST-01472</v>
          </cell>
          <cell r="B128" t="str">
            <v>ARK COMPUTER SYSTEM - BARISAL</v>
          </cell>
          <cell r="C128" t="str">
            <v>Shah Imran</v>
          </cell>
          <cell r="D128" t="str">
            <v>South Bengal</v>
          </cell>
          <cell r="E128" t="str">
            <v>South Bengal</v>
          </cell>
          <cell r="BA128">
            <v>729585</v>
          </cell>
        </row>
        <row r="129">
          <cell r="A129" t="str">
            <v>ETLCUST-05425</v>
          </cell>
          <cell r="B129" t="str">
            <v xml:space="preserve">ARNO ELECTRONICS - BARISHAL </v>
          </cell>
          <cell r="C129" t="str">
            <v>Md. Aminul Islam</v>
          </cell>
          <cell r="D129" t="str">
            <v>South Bengal</v>
          </cell>
          <cell r="E129" t="str">
            <v>South Bengal</v>
          </cell>
          <cell r="G129">
            <v>30000</v>
          </cell>
          <cell r="S129">
            <v>0</v>
          </cell>
          <cell r="AM129">
            <v>52400</v>
          </cell>
          <cell r="BA129">
            <v>1317050</v>
          </cell>
        </row>
        <row r="130">
          <cell r="A130" t="str">
            <v>ETLCUST-04656</v>
          </cell>
          <cell r="B130" t="str">
            <v>AROBI COMPUTER BD - BOGURA</v>
          </cell>
          <cell r="C130" t="str">
            <v>Md Shahidul Islam</v>
          </cell>
          <cell r="D130" t="str">
            <v>North Bengal</v>
          </cell>
          <cell r="E130" t="str">
            <v>North Bengal</v>
          </cell>
          <cell r="G130">
            <v>648000</v>
          </cell>
          <cell r="S130">
            <v>0</v>
          </cell>
          <cell r="T130">
            <v>298000</v>
          </cell>
          <cell r="AM130">
            <v>748295</v>
          </cell>
          <cell r="AZ130">
            <v>105150</v>
          </cell>
          <cell r="BA130">
            <v>6806815</v>
          </cell>
        </row>
        <row r="131">
          <cell r="A131" t="str">
            <v>ETLCUST-00703</v>
          </cell>
          <cell r="B131" t="str">
            <v>ARPANET - JESSORE</v>
          </cell>
          <cell r="C131" t="str">
            <v>Md Husaun</v>
          </cell>
          <cell r="D131" t="str">
            <v>Khulna</v>
          </cell>
          <cell r="E131" t="str">
            <v>Khulna</v>
          </cell>
          <cell r="AM131">
            <v>380</v>
          </cell>
          <cell r="BA131">
            <v>72705</v>
          </cell>
        </row>
        <row r="132">
          <cell r="A132" t="str">
            <v>ETLCUST-05101</v>
          </cell>
          <cell r="B132" t="str">
            <v>ARPITA ELECTRONICS - COMILLA</v>
          </cell>
          <cell r="C132" t="str">
            <v>Nazmul Amin Sajib</v>
          </cell>
          <cell r="D132" t="str">
            <v>CTG</v>
          </cell>
          <cell r="E132" t="str">
            <v>CTG</v>
          </cell>
          <cell r="S132">
            <v>0</v>
          </cell>
          <cell r="AL132">
            <v>49820</v>
          </cell>
          <cell r="AM132">
            <v>163300</v>
          </cell>
          <cell r="AQ132">
            <v>0</v>
          </cell>
          <cell r="BA132">
            <v>1009585</v>
          </cell>
        </row>
        <row r="133">
          <cell r="A133" t="str">
            <v>ETLCUST-04933</v>
          </cell>
          <cell r="B133" t="str">
            <v>ARROWNET - SYLHET</v>
          </cell>
          <cell r="C133" t="str">
            <v>Amit Das</v>
          </cell>
          <cell r="D133" t="str">
            <v>Sylhet</v>
          </cell>
          <cell r="E133" t="str">
            <v>Sylhet</v>
          </cell>
          <cell r="U133">
            <v>60500</v>
          </cell>
        </row>
        <row r="134">
          <cell r="A134" t="str">
            <v>ETLCUST-05426</v>
          </cell>
          <cell r="B134" t="str">
            <v>ARTNATURE BANGLADESH LTD.</v>
          </cell>
          <cell r="C134" t="str">
            <v>Md. Raihan Ali</v>
          </cell>
          <cell r="D134" t="str">
            <v>Corporate</v>
          </cell>
          <cell r="E134" t="str">
            <v>Corporate</v>
          </cell>
          <cell r="U134">
            <v>173157.95</v>
          </cell>
        </row>
        <row r="135">
          <cell r="A135" t="str">
            <v>ETLCUST-01977</v>
          </cell>
          <cell r="B135" t="str">
            <v>AS TECHNOLOGIES</v>
          </cell>
          <cell r="C135" t="str">
            <v>Hasibul Hasan Symoon</v>
          </cell>
          <cell r="D135" t="str">
            <v>Corporate</v>
          </cell>
          <cell r="E135" t="str">
            <v>Corporate</v>
          </cell>
          <cell r="U135">
            <v>274300</v>
          </cell>
        </row>
        <row r="136">
          <cell r="A136" t="str">
            <v>ETLCUST-04134</v>
          </cell>
          <cell r="B136" t="str">
            <v>ASA TECHNOLOGY - BANANI</v>
          </cell>
          <cell r="C136" t="str">
            <v>Md. Abdus Satter</v>
          </cell>
          <cell r="D136" t="str">
            <v>HO-SI</v>
          </cell>
          <cell r="E136" t="str">
            <v>HO-SI</v>
          </cell>
          <cell r="P136">
            <v>49500</v>
          </cell>
          <cell r="U136">
            <v>111000</v>
          </cell>
          <cell r="AR136">
            <v>50200</v>
          </cell>
          <cell r="AV136">
            <v>180000</v>
          </cell>
          <cell r="BA136">
            <v>8375</v>
          </cell>
        </row>
        <row r="137">
          <cell r="A137" t="str">
            <v>ETLCUST-01346</v>
          </cell>
          <cell r="B137" t="str">
            <v>ASHA COMPUTERS-1 - FATULLA</v>
          </cell>
          <cell r="C137" t="str">
            <v>Arafat Hossain</v>
          </cell>
          <cell r="D137" t="str">
            <v>South Bengal</v>
          </cell>
          <cell r="E137" t="str">
            <v>South Bengal</v>
          </cell>
          <cell r="G137">
            <v>112000</v>
          </cell>
          <cell r="O137">
            <v>5500</v>
          </cell>
          <cell r="Q137">
            <v>890</v>
          </cell>
          <cell r="S137">
            <v>0</v>
          </cell>
          <cell r="AM137">
            <v>102275</v>
          </cell>
          <cell r="BA137">
            <v>3661515</v>
          </cell>
        </row>
        <row r="138">
          <cell r="A138" t="str">
            <v>ETLCUST-03885</v>
          </cell>
          <cell r="B138" t="str">
            <v>ASHRAF COMPUTERS - HABIGANJ</v>
          </cell>
          <cell r="C138" t="str">
            <v>Md. Imran Miah Khandakar</v>
          </cell>
          <cell r="D138" t="str">
            <v>Sylhet</v>
          </cell>
          <cell r="E138" t="str">
            <v>Sylhet</v>
          </cell>
          <cell r="P138">
            <v>32000</v>
          </cell>
          <cell r="Q138">
            <v>890</v>
          </cell>
          <cell r="R138">
            <v>77200</v>
          </cell>
          <cell r="S138">
            <v>0</v>
          </cell>
          <cell r="T138">
            <v>204300</v>
          </cell>
          <cell r="X138">
            <v>205400</v>
          </cell>
          <cell r="AM138">
            <v>74930</v>
          </cell>
          <cell r="AT138">
            <v>275800</v>
          </cell>
          <cell r="BA138">
            <v>382435</v>
          </cell>
        </row>
        <row r="139">
          <cell r="A139" t="str">
            <v>ETLCUST-00690</v>
          </cell>
          <cell r="B139" t="str">
            <v>ASHU COMPUTER - JESSORE</v>
          </cell>
          <cell r="C139" t="str">
            <v>Md Husaun</v>
          </cell>
          <cell r="D139" t="str">
            <v>Khulna</v>
          </cell>
          <cell r="E139" t="str">
            <v>Khulna</v>
          </cell>
          <cell r="AT139">
            <v>66500</v>
          </cell>
          <cell r="BA139">
            <v>11400</v>
          </cell>
        </row>
        <row r="140">
          <cell r="A140" t="str">
            <v>ETLCUST-01842</v>
          </cell>
          <cell r="B140" t="str">
            <v>ASIA BIZ SECURITIES AND SOLUTIONS - MULTIPLAN</v>
          </cell>
          <cell r="C140" t="str">
            <v>Md Nur Karim Chowdhury</v>
          </cell>
          <cell r="D140" t="str">
            <v>Multiplan</v>
          </cell>
          <cell r="E140" t="str">
            <v>Multiplan</v>
          </cell>
          <cell r="R140">
            <v>12500</v>
          </cell>
          <cell r="S140">
            <v>0</v>
          </cell>
          <cell r="U140">
            <v>229200</v>
          </cell>
          <cell r="AL140">
            <v>112350</v>
          </cell>
          <cell r="AS140">
            <v>820000</v>
          </cell>
          <cell r="BA140">
            <v>149000</v>
          </cell>
        </row>
        <row r="141">
          <cell r="A141" t="str">
            <v>ETLCUST-03659</v>
          </cell>
          <cell r="B141" t="str">
            <v>ASIA ELECTRONICS - PABNA</v>
          </cell>
          <cell r="C141" t="str">
            <v>Forhad Rubel</v>
          </cell>
          <cell r="D141" t="str">
            <v>North Bengal</v>
          </cell>
          <cell r="E141" t="str">
            <v>North Bengal</v>
          </cell>
          <cell r="G141">
            <v>152000</v>
          </cell>
          <cell r="S141">
            <v>0</v>
          </cell>
          <cell r="AL141">
            <v>26500</v>
          </cell>
          <cell r="AM141">
            <v>371750</v>
          </cell>
          <cell r="AO141">
            <v>12000</v>
          </cell>
          <cell r="AQ141">
            <v>0</v>
          </cell>
          <cell r="BA141">
            <v>3501020</v>
          </cell>
        </row>
        <row r="142">
          <cell r="A142" t="str">
            <v>ETLCUST-01556</v>
          </cell>
          <cell r="B142" t="str">
            <v>ASIA TECH SOLUTION INTERNATIONAL - CTG</v>
          </cell>
          <cell r="C142" t="str">
            <v>Shahidul Alam Chowdhury</v>
          </cell>
          <cell r="D142" t="str">
            <v>CTG</v>
          </cell>
          <cell r="E142" t="str">
            <v>CTG</v>
          </cell>
          <cell r="AJ142">
            <v>156775</v>
          </cell>
          <cell r="AR142">
            <v>90000</v>
          </cell>
          <cell r="BA142">
            <v>18600</v>
          </cell>
        </row>
        <row r="143">
          <cell r="A143" t="str">
            <v>ETLCUST-01548</v>
          </cell>
          <cell r="B143" t="str">
            <v>ASIA TRADE - CTG</v>
          </cell>
          <cell r="C143" t="str">
            <v>Shahidul Alam Chowdhury</v>
          </cell>
          <cell r="D143" t="str">
            <v>CTG</v>
          </cell>
          <cell r="E143" t="str">
            <v>CTG</v>
          </cell>
          <cell r="R143">
            <v>875000</v>
          </cell>
          <cell r="AT143">
            <v>61500</v>
          </cell>
        </row>
        <row r="144">
          <cell r="A144" t="str">
            <v>ETLCUST-04535</v>
          </cell>
          <cell r="B144" t="str">
            <v>ASIAN ELECTRONICS - CTG</v>
          </cell>
          <cell r="C144" t="str">
            <v>Manjurul Huda Parvez</v>
          </cell>
          <cell r="D144" t="str">
            <v>CTG</v>
          </cell>
          <cell r="E144" t="str">
            <v>CTG</v>
          </cell>
          <cell r="P144">
            <v>256000</v>
          </cell>
          <cell r="T144">
            <v>1724800</v>
          </cell>
          <cell r="X144">
            <v>14355658</v>
          </cell>
          <cell r="AL144">
            <v>124550</v>
          </cell>
          <cell r="AM144">
            <v>232370</v>
          </cell>
          <cell r="AR144">
            <v>124400</v>
          </cell>
          <cell r="BA144">
            <v>2381505</v>
          </cell>
        </row>
        <row r="145">
          <cell r="A145" t="str">
            <v>ETLCUST-01044</v>
          </cell>
          <cell r="B145" t="str">
            <v>ASIAN TECHNOLOGY - CTG</v>
          </cell>
          <cell r="C145" t="str">
            <v>Titul Dutta</v>
          </cell>
          <cell r="D145" t="str">
            <v>CTG</v>
          </cell>
          <cell r="E145" t="str">
            <v>CTG</v>
          </cell>
          <cell r="M145">
            <v>17600</v>
          </cell>
          <cell r="U145">
            <v>17000</v>
          </cell>
          <cell r="X145">
            <v>1362500</v>
          </cell>
          <cell r="AR145">
            <v>17000</v>
          </cell>
          <cell r="AV145">
            <v>1137900</v>
          </cell>
          <cell r="BA145">
            <v>153850</v>
          </cell>
        </row>
        <row r="146">
          <cell r="A146" t="str">
            <v>ETLCUST-04289</v>
          </cell>
          <cell r="B146" t="str">
            <v>ASIAN UNIVERSITY FOR WOMEN</v>
          </cell>
          <cell r="C146" t="str">
            <v>Akter Hossen Nishan</v>
          </cell>
          <cell r="D146" t="str">
            <v>Corporate</v>
          </cell>
          <cell r="E146" t="str">
            <v>Corporate</v>
          </cell>
          <cell r="AF146">
            <v>14737</v>
          </cell>
          <cell r="AJ146">
            <v>8000</v>
          </cell>
        </row>
        <row r="147">
          <cell r="A147" t="str">
            <v>ETLCUST-01982</v>
          </cell>
          <cell r="B147" t="str">
            <v>ASROTEX GROUP</v>
          </cell>
          <cell r="C147" t="str">
            <v>Nazir Ahmod</v>
          </cell>
          <cell r="D147" t="str">
            <v>Corporate</v>
          </cell>
          <cell r="E147" t="str">
            <v>Corporate</v>
          </cell>
          <cell r="AD147">
            <v>15000</v>
          </cell>
          <cell r="AR147">
            <v>92450</v>
          </cell>
        </row>
        <row r="148">
          <cell r="A148" t="str">
            <v>ETLCUST-05266</v>
          </cell>
          <cell r="B148" t="str">
            <v>AS-SUNNAH FOUNDATION</v>
          </cell>
          <cell r="C148" t="str">
            <v>Rafsan Jani</v>
          </cell>
          <cell r="D148" t="str">
            <v>Corporate</v>
          </cell>
          <cell r="E148" t="str">
            <v>Corporate</v>
          </cell>
          <cell r="G148">
            <v>434000</v>
          </cell>
          <cell r="M148">
            <v>50750</v>
          </cell>
          <cell r="T148">
            <v>0</v>
          </cell>
          <cell r="U148">
            <v>537192</v>
          </cell>
          <cell r="X148">
            <v>1806</v>
          </cell>
          <cell r="AA148">
            <v>505829</v>
          </cell>
          <cell r="AJ148">
            <v>12770</v>
          </cell>
          <cell r="AV148">
            <v>157900</v>
          </cell>
          <cell r="BA148">
            <v>19750</v>
          </cell>
        </row>
        <row r="149">
          <cell r="A149" t="str">
            <v>ETLCUST-04556</v>
          </cell>
          <cell r="B149" t="str">
            <v>AT AUTOMATION LTD - ELEPHANT ROAD</v>
          </cell>
          <cell r="C149" t="str">
            <v>Md. Abdus Satter</v>
          </cell>
          <cell r="D149" t="str">
            <v>HO-SI</v>
          </cell>
          <cell r="E149" t="str">
            <v>HO-SI</v>
          </cell>
          <cell r="X149">
            <v>156500</v>
          </cell>
        </row>
        <row r="150">
          <cell r="A150" t="str">
            <v>ETLCUST-01423</v>
          </cell>
          <cell r="B150" t="str">
            <v>ATIK ELECTRONICS &amp; COMPUTER - GAZIPUR</v>
          </cell>
          <cell r="C150" t="str">
            <v>Md. Rahad</v>
          </cell>
          <cell r="D150" t="str">
            <v>Uttara</v>
          </cell>
          <cell r="E150" t="str">
            <v>Uttara</v>
          </cell>
          <cell r="S150">
            <v>0</v>
          </cell>
          <cell r="U150">
            <v>7800</v>
          </cell>
          <cell r="X150">
            <v>258000</v>
          </cell>
          <cell r="AJ150">
            <v>70550</v>
          </cell>
          <cell r="AL150">
            <v>31005</v>
          </cell>
          <cell r="AM150">
            <v>90000</v>
          </cell>
          <cell r="AQ150">
            <v>0</v>
          </cell>
          <cell r="AT150">
            <v>348700</v>
          </cell>
          <cell r="BA150">
            <v>1092345</v>
          </cell>
        </row>
        <row r="151">
          <cell r="A151" t="str">
            <v>ETLCUST-03532</v>
          </cell>
          <cell r="B151" t="str">
            <v>ATSA SOLUTION - BARIDHARA</v>
          </cell>
          <cell r="C151" t="str">
            <v>Md Tanjilur Rakib</v>
          </cell>
          <cell r="D151" t="str">
            <v>HO-SI</v>
          </cell>
          <cell r="E151" t="str">
            <v>HO-SI</v>
          </cell>
          <cell r="AD151">
            <v>15500</v>
          </cell>
        </row>
        <row r="152">
          <cell r="A152" t="str">
            <v>ETLCUST-00270</v>
          </cell>
          <cell r="B152" t="str">
            <v>AUTHENTIC COMPUTER - HABIGONJ</v>
          </cell>
          <cell r="C152" t="str">
            <v>Md. Imran Miah Khandakar</v>
          </cell>
          <cell r="D152" t="str">
            <v>Sylhet</v>
          </cell>
          <cell r="E152" t="str">
            <v>Sylhet</v>
          </cell>
          <cell r="G152">
            <v>312000</v>
          </cell>
          <cell r="O152">
            <v>2750</v>
          </cell>
          <cell r="P152">
            <v>64000</v>
          </cell>
          <cell r="R152">
            <v>2542350</v>
          </cell>
          <cell r="S152">
            <v>0</v>
          </cell>
          <cell r="T152">
            <v>1760700</v>
          </cell>
          <cell r="X152">
            <v>485200</v>
          </cell>
          <cell r="AJ152">
            <v>238600</v>
          </cell>
          <cell r="AK152">
            <v>16000</v>
          </cell>
          <cell r="AL152">
            <v>175650</v>
          </cell>
          <cell r="AM152">
            <v>794260</v>
          </cell>
          <cell r="AO152">
            <v>625300</v>
          </cell>
          <cell r="AQ152">
            <v>0</v>
          </cell>
          <cell r="AT152">
            <v>68800</v>
          </cell>
          <cell r="AZ152">
            <v>396700</v>
          </cell>
          <cell r="BA152">
            <v>4063880</v>
          </cell>
        </row>
        <row r="153">
          <cell r="A153" t="str">
            <v>ETLCUST-04451</v>
          </cell>
          <cell r="B153" t="str">
            <v>AYAAN INFO TECH - BAITUL MUKARRAM</v>
          </cell>
          <cell r="C153" t="str">
            <v>Md. Sahedul Islam</v>
          </cell>
          <cell r="D153" t="str">
            <v>Motijheel</v>
          </cell>
          <cell r="E153" t="str">
            <v>Motijheel</v>
          </cell>
          <cell r="T153">
            <v>2235700</v>
          </cell>
          <cell r="X153">
            <v>9592200</v>
          </cell>
          <cell r="AQ153">
            <v>0</v>
          </cell>
          <cell r="BA153">
            <v>295540</v>
          </cell>
        </row>
        <row r="154">
          <cell r="A154" t="str">
            <v>ETLCUST-03933</v>
          </cell>
          <cell r="B154" t="str">
            <v>AYAT ENTERPRISE-TANGAIL</v>
          </cell>
          <cell r="C154" t="str">
            <v>Niloy Ghosh</v>
          </cell>
          <cell r="D154" t="str">
            <v>DHK-EXT</v>
          </cell>
          <cell r="E154" t="str">
            <v>DHK-EXT</v>
          </cell>
          <cell r="L154">
            <v>142500</v>
          </cell>
          <cell r="T154">
            <v>75700</v>
          </cell>
          <cell r="X154">
            <v>75100</v>
          </cell>
          <cell r="AJ154">
            <v>13800</v>
          </cell>
          <cell r="AL154">
            <v>42425</v>
          </cell>
          <cell r="BA154">
            <v>263675</v>
          </cell>
        </row>
        <row r="155">
          <cell r="A155" t="str">
            <v>ETLCUST-05214</v>
          </cell>
          <cell r="B155" t="str">
            <v>AYESHA ELECTRIC AND SOLAR - GULISTAN</v>
          </cell>
          <cell r="C155" t="str">
            <v>Shamim Hossain</v>
          </cell>
          <cell r="D155" t="str">
            <v>Gulistan</v>
          </cell>
          <cell r="E155" t="str">
            <v>Gulistan</v>
          </cell>
          <cell r="S155">
            <v>0</v>
          </cell>
          <cell r="AK155">
            <v>266600</v>
          </cell>
        </row>
        <row r="156">
          <cell r="A156" t="str">
            <v>ETLCUST-05439</v>
          </cell>
          <cell r="B156" t="str">
            <v>AYUB ELECTRONICS - NATORE</v>
          </cell>
          <cell r="C156" t="str">
            <v>Md. Abu Basar</v>
          </cell>
          <cell r="D156" t="str">
            <v>North Bengal</v>
          </cell>
          <cell r="E156" t="str">
            <v>North Bengal</v>
          </cell>
          <cell r="AM156">
            <v>201850</v>
          </cell>
          <cell r="BA156">
            <v>721875</v>
          </cell>
        </row>
        <row r="157">
          <cell r="A157" t="str">
            <v>ETLCUST-00017</v>
          </cell>
          <cell r="B157" t="str">
            <v>AZAD COMPUTER - PANCHAGARH</v>
          </cell>
          <cell r="C157" t="str">
            <v>Akramul Haque</v>
          </cell>
          <cell r="D157" t="str">
            <v>North Bengal</v>
          </cell>
          <cell r="E157" t="str">
            <v>North Bengal</v>
          </cell>
          <cell r="P157">
            <v>32000</v>
          </cell>
          <cell r="R157">
            <v>95500</v>
          </cell>
          <cell r="S157">
            <v>0</v>
          </cell>
          <cell r="T157">
            <v>189500</v>
          </cell>
          <cell r="X157">
            <v>456725</v>
          </cell>
          <cell r="AM157">
            <v>47830</v>
          </cell>
          <cell r="AO157">
            <v>20500</v>
          </cell>
          <cell r="AQ157">
            <v>0</v>
          </cell>
          <cell r="BA157">
            <v>647165</v>
          </cell>
        </row>
        <row r="158">
          <cell r="A158" t="str">
            <v>ETLCUST-02694</v>
          </cell>
          <cell r="B158" t="str">
            <v>AZAM CORPORATION - CTG</v>
          </cell>
          <cell r="C158" t="str">
            <v>Manjurul Huda Parvez</v>
          </cell>
          <cell r="D158" t="str">
            <v>CTG</v>
          </cell>
          <cell r="E158" t="str">
            <v>CTG</v>
          </cell>
          <cell r="AL158">
            <v>57120</v>
          </cell>
          <cell r="AM158">
            <v>49800</v>
          </cell>
          <cell r="BA158">
            <v>502635</v>
          </cell>
        </row>
        <row r="159">
          <cell r="A159" t="str">
            <v>ETLCUST-05264</v>
          </cell>
          <cell r="B159" t="str">
            <v>AZIM COMPUTER - NOAKHALI</v>
          </cell>
          <cell r="C159" t="str">
            <v>Reazuddin</v>
          </cell>
          <cell r="D159" t="str">
            <v>CTG</v>
          </cell>
          <cell r="E159" t="str">
            <v>CTG</v>
          </cell>
          <cell r="X159">
            <v>41000</v>
          </cell>
        </row>
        <row r="160">
          <cell r="A160" t="str">
            <v>ETLCUST-00952</v>
          </cell>
          <cell r="B160" t="str">
            <v>AZMIR TELECOM - GULISTAN</v>
          </cell>
          <cell r="C160" t="str">
            <v>Noor Hossain</v>
          </cell>
          <cell r="D160" t="str">
            <v>Gulistan</v>
          </cell>
          <cell r="E160" t="str">
            <v>Gulistan</v>
          </cell>
          <cell r="AZ160">
            <v>1506350</v>
          </cell>
        </row>
        <row r="161">
          <cell r="A161" t="str">
            <v>ETLCUST-01300</v>
          </cell>
          <cell r="B161" t="str">
            <v>B M DUBAI DIGITAL TECHNOLOGY- FENI</v>
          </cell>
          <cell r="C161" t="str">
            <v>Reazuddin</v>
          </cell>
          <cell r="D161" t="str">
            <v>CTG</v>
          </cell>
          <cell r="E161" t="str">
            <v>CTG</v>
          </cell>
          <cell r="G161">
            <v>2716000</v>
          </cell>
          <cell r="S161">
            <v>0</v>
          </cell>
          <cell r="T161">
            <v>359700</v>
          </cell>
          <cell r="U161">
            <v>21900</v>
          </cell>
          <cell r="X161">
            <v>12541600</v>
          </cell>
          <cell r="AK161">
            <v>1002200</v>
          </cell>
          <cell r="AL161">
            <v>2278045</v>
          </cell>
          <cell r="AM161">
            <v>1074170</v>
          </cell>
          <cell r="AR161">
            <v>58700</v>
          </cell>
          <cell r="BA161">
            <v>8356865</v>
          </cell>
        </row>
        <row r="162">
          <cell r="A162" t="str">
            <v>ETLCUST-02956</v>
          </cell>
          <cell r="B162" t="str">
            <v>BABU ELECTRONICS - JESSORE</v>
          </cell>
          <cell r="C162" t="str">
            <v>Md Husaun</v>
          </cell>
          <cell r="D162" t="str">
            <v>Khulna</v>
          </cell>
          <cell r="E162" t="str">
            <v>Khulna</v>
          </cell>
          <cell r="G162">
            <v>224000</v>
          </cell>
          <cell r="X162">
            <v>146000</v>
          </cell>
          <cell r="AL162">
            <v>50045</v>
          </cell>
          <cell r="AM162">
            <v>112225</v>
          </cell>
          <cell r="BA162">
            <v>1998700</v>
          </cell>
        </row>
        <row r="163">
          <cell r="A163" t="str">
            <v>ETLCUST-00117</v>
          </cell>
          <cell r="B163" t="str">
            <v>BADHAN VERITIES STORE - UTTARA</v>
          </cell>
          <cell r="C163" t="str">
            <v>Dulal Sarker</v>
          </cell>
          <cell r="D163" t="str">
            <v>Uttara</v>
          </cell>
          <cell r="E163" t="str">
            <v>Uttara</v>
          </cell>
          <cell r="AZ163">
            <v>91700</v>
          </cell>
          <cell r="BA163">
            <v>59530</v>
          </cell>
        </row>
        <row r="164">
          <cell r="A164" t="str">
            <v>ETLCUST-03856</v>
          </cell>
          <cell r="B164" t="str">
            <v>BADRUL AND TECHNOLOGY - ZINDABAZAR</v>
          </cell>
          <cell r="C164" t="str">
            <v>Kunjaraj Singha</v>
          </cell>
          <cell r="D164" t="str">
            <v>Sylhet</v>
          </cell>
          <cell r="E164" t="str">
            <v>Sylhet</v>
          </cell>
          <cell r="R164">
            <v>8240</v>
          </cell>
        </row>
        <row r="165">
          <cell r="A165" t="str">
            <v>ETLCUST-00778</v>
          </cell>
          <cell r="B165" t="str">
            <v>BADSHA ELECTRONICS - RAJSHAHI</v>
          </cell>
          <cell r="C165" t="str">
            <v>Ahmed Bulbul</v>
          </cell>
          <cell r="D165" t="str">
            <v>Rajshahi</v>
          </cell>
          <cell r="E165" t="str">
            <v>Rajshahi</v>
          </cell>
          <cell r="X165">
            <v>6100</v>
          </cell>
        </row>
        <row r="166">
          <cell r="A166" t="str">
            <v>ETLCUST-03208</v>
          </cell>
          <cell r="B166" t="str">
            <v>BADSHA TEXTILES LTD.</v>
          </cell>
          <cell r="C166" t="str">
            <v>Ashraful Islam</v>
          </cell>
          <cell r="D166" t="str">
            <v>Corporate</v>
          </cell>
          <cell r="E166" t="str">
            <v>Corporate</v>
          </cell>
          <cell r="R166">
            <v>45000</v>
          </cell>
          <cell r="S166">
            <v>0</v>
          </cell>
        </row>
        <row r="167">
          <cell r="A167" t="str">
            <v>ETLCUST-00726</v>
          </cell>
          <cell r="B167" t="str">
            <v>BAGERHAT COMPUTER - BAGERHAT</v>
          </cell>
          <cell r="C167" t="str">
            <v>Imrul Rayhan</v>
          </cell>
          <cell r="D167" t="str">
            <v>Khulna</v>
          </cell>
          <cell r="E167" t="str">
            <v>Khulna</v>
          </cell>
          <cell r="G167">
            <v>112000</v>
          </cell>
          <cell r="P167">
            <v>13200</v>
          </cell>
          <cell r="X167">
            <v>137400</v>
          </cell>
          <cell r="AM167">
            <v>15670</v>
          </cell>
          <cell r="AO167">
            <v>9500</v>
          </cell>
          <cell r="AZ167">
            <v>7900</v>
          </cell>
          <cell r="BA167">
            <v>163400</v>
          </cell>
        </row>
        <row r="168">
          <cell r="A168" t="str">
            <v>ETLCUST-00452</v>
          </cell>
          <cell r="B168" t="str">
            <v>BANALOTA ELECTRONICS -BAJITPUR</v>
          </cell>
          <cell r="C168" t="str">
            <v>Md. Imran Miah Khandakar</v>
          </cell>
          <cell r="D168" t="str">
            <v>Sylhet</v>
          </cell>
          <cell r="E168" t="str">
            <v>Sylhet</v>
          </cell>
          <cell r="AZ168">
            <v>17100</v>
          </cell>
        </row>
        <row r="169">
          <cell r="A169" t="str">
            <v>ETLCUST-00704</v>
          </cell>
          <cell r="B169" t="str">
            <v>BANGALEE COMPUTERS - KHULNA</v>
          </cell>
          <cell r="C169" t="str">
            <v>Md Husaun</v>
          </cell>
          <cell r="D169" t="str">
            <v>Khulna</v>
          </cell>
          <cell r="E169" t="str">
            <v>Khulna</v>
          </cell>
          <cell r="M169">
            <v>8500</v>
          </cell>
          <cell r="AP169">
            <v>13500</v>
          </cell>
          <cell r="BA169">
            <v>10800</v>
          </cell>
        </row>
        <row r="170">
          <cell r="A170" t="str">
            <v>ETLCUST-03946</v>
          </cell>
          <cell r="B170" t="str">
            <v>BANGLA COMPUTER - CHHATOK</v>
          </cell>
          <cell r="C170" t="str">
            <v>Kunjaraj Singha</v>
          </cell>
          <cell r="D170" t="str">
            <v>Sylhet</v>
          </cell>
          <cell r="E170" t="str">
            <v>Sylhet</v>
          </cell>
          <cell r="R170">
            <v>22500</v>
          </cell>
          <cell r="S170">
            <v>0</v>
          </cell>
          <cell r="BA170">
            <v>267450</v>
          </cell>
        </row>
        <row r="171">
          <cell r="A171" t="str">
            <v>ETLCUST-03264</v>
          </cell>
          <cell r="B171" t="str">
            <v>BANGLADESH ASSOCIATE OF IT SOLUTION - PALLABI</v>
          </cell>
          <cell r="C171" t="str">
            <v>Sabuj Das</v>
          </cell>
          <cell r="D171" t="str">
            <v>HO-SI</v>
          </cell>
          <cell r="E171" t="str">
            <v>HO-SI</v>
          </cell>
          <cell r="AV171">
            <v>-162000</v>
          </cell>
        </row>
        <row r="172">
          <cell r="A172" t="str">
            <v>ETLCUST-04961</v>
          </cell>
          <cell r="B172" t="str">
            <v>BANGLADESH BANK</v>
          </cell>
          <cell r="C172" t="str">
            <v>Sajjad Hossain Sumon</v>
          </cell>
          <cell r="D172" t="str">
            <v>Tender</v>
          </cell>
          <cell r="E172" t="str">
            <v>Tender</v>
          </cell>
          <cell r="S172">
            <v>76.94</v>
          </cell>
        </row>
        <row r="173">
          <cell r="A173" t="str">
            <v>ETLCUST-00023</v>
          </cell>
          <cell r="B173" t="str">
            <v>BANGLADESH COMPUTER EDUCATION - RANISONKAIL</v>
          </cell>
          <cell r="C173" t="str">
            <v>Akramul Haque</v>
          </cell>
          <cell r="D173" t="str">
            <v>North Bengal</v>
          </cell>
          <cell r="E173" t="str">
            <v>North Bengal</v>
          </cell>
          <cell r="Q173">
            <v>890</v>
          </cell>
          <cell r="R173">
            <v>810000</v>
          </cell>
          <cell r="S173">
            <v>0</v>
          </cell>
          <cell r="AQ173">
            <v>0</v>
          </cell>
          <cell r="BA173">
            <v>889405</v>
          </cell>
        </row>
        <row r="174">
          <cell r="A174" t="str">
            <v>ETLCUST-02648</v>
          </cell>
          <cell r="B174" t="str">
            <v>BANGLADESH EXPORT IMPORT COMPANY LIMITED</v>
          </cell>
          <cell r="C174" t="str">
            <v>Hasibul Hasan Symoon</v>
          </cell>
          <cell r="D174" t="str">
            <v>Corporate</v>
          </cell>
          <cell r="E174" t="str">
            <v>Corporate</v>
          </cell>
          <cell r="BA174">
            <v>38950</v>
          </cell>
        </row>
        <row r="175">
          <cell r="A175" t="str">
            <v>ETLCUST-04903</v>
          </cell>
          <cell r="B175" t="str">
            <v>BANGLADESH EXTENSION EDUCATION SERVICES</v>
          </cell>
          <cell r="C175" t="str">
            <v>Rafsan Jani</v>
          </cell>
          <cell r="D175" t="str">
            <v>Corporate</v>
          </cell>
          <cell r="E175" t="str">
            <v>Corporate</v>
          </cell>
          <cell r="S175">
            <v>4272.7299999999996</v>
          </cell>
          <cell r="AY175">
            <v>12136.36</v>
          </cell>
        </row>
        <row r="176">
          <cell r="A176" t="str">
            <v>ETLCUST-01067</v>
          </cell>
          <cell r="B176" t="str">
            <v>BANGLADESH OFFICE EQUIPMENT - CTG</v>
          </cell>
          <cell r="C176" t="str">
            <v>Shahidul Alam Chowdhury</v>
          </cell>
          <cell r="D176" t="str">
            <v>CTG</v>
          </cell>
          <cell r="E176" t="str">
            <v>CTG</v>
          </cell>
          <cell r="R176">
            <v>90360</v>
          </cell>
          <cell r="Y176">
            <v>265000</v>
          </cell>
        </row>
        <row r="177">
          <cell r="A177" t="str">
            <v>ETLCUST-03852</v>
          </cell>
          <cell r="B177" t="str">
            <v>BANGLADESH PUBLIC ADMINISTRATION TRAINING CENTRE (BPATC)</v>
          </cell>
          <cell r="C177" t="str">
            <v>Md Saim Ali Rezvy</v>
          </cell>
          <cell r="D177" t="str">
            <v>Corporate</v>
          </cell>
          <cell r="E177" t="str">
            <v>Corporate</v>
          </cell>
          <cell r="AD177">
            <v>34500</v>
          </cell>
        </row>
        <row r="178">
          <cell r="A178" t="str">
            <v>ETLCUST-05432</v>
          </cell>
          <cell r="B178" t="str">
            <v>BANGLADESH SCIENCE HOUSE</v>
          </cell>
          <cell r="C178" t="str">
            <v>Samiran Chandra Biswas</v>
          </cell>
          <cell r="D178" t="str">
            <v>Corporate</v>
          </cell>
          <cell r="E178" t="str">
            <v>Corporate</v>
          </cell>
          <cell r="S178">
            <v>0</v>
          </cell>
          <cell r="BA178">
            <v>3125</v>
          </cell>
        </row>
        <row r="179">
          <cell r="A179" t="str">
            <v>ETLCUST-02291</v>
          </cell>
          <cell r="B179" t="str">
            <v>BANGLADESH SPECIALIZED HOSPITAL PLC.</v>
          </cell>
          <cell r="C179" t="str">
            <v>Shakil Ahmed</v>
          </cell>
          <cell r="D179" t="str">
            <v>Corporate</v>
          </cell>
          <cell r="E179" t="str">
            <v>Corporate</v>
          </cell>
          <cell r="U179">
            <v>47150</v>
          </cell>
        </row>
        <row r="180">
          <cell r="A180" t="str">
            <v>ETLCUST-05077</v>
          </cell>
          <cell r="B180" t="str">
            <v>BANGLADESH TELECOMMUNICATIONS COMPANY LTD.</v>
          </cell>
          <cell r="C180" t="str">
            <v>Sadekur Rahman</v>
          </cell>
          <cell r="D180" t="str">
            <v>HO-SI</v>
          </cell>
          <cell r="E180" t="str">
            <v>HO-SI</v>
          </cell>
          <cell r="H180">
            <v>5518421.0499999998</v>
          </cell>
          <cell r="S180">
            <v>1524673.8</v>
          </cell>
          <cell r="X180">
            <v>842</v>
          </cell>
          <cell r="AA180">
            <v>10639473.750000002</v>
          </cell>
          <cell r="AK180">
            <v>134210.54999999999</v>
          </cell>
          <cell r="AV180">
            <v>16315.79</v>
          </cell>
        </row>
        <row r="181">
          <cell r="A181" t="str">
            <v>ETLCUST-02003</v>
          </cell>
          <cell r="B181" t="str">
            <v>BANK ASIA PLC.</v>
          </cell>
          <cell r="C181" t="str">
            <v>Ashraful Islam</v>
          </cell>
          <cell r="D181" t="str">
            <v>Corporate</v>
          </cell>
          <cell r="E181" t="str">
            <v>Corporate</v>
          </cell>
          <cell r="AJ181">
            <v>13676.36</v>
          </cell>
        </row>
        <row r="182">
          <cell r="A182" t="str">
            <v>ETLCUST-02767</v>
          </cell>
          <cell r="B182" t="str">
            <v>BARAKA GROUP</v>
          </cell>
          <cell r="C182" t="str">
            <v>Md Saim Ali Rezvy</v>
          </cell>
          <cell r="D182" t="str">
            <v>Corporate</v>
          </cell>
          <cell r="E182" t="str">
            <v>Corporate</v>
          </cell>
          <cell r="U182">
            <v>2480</v>
          </cell>
          <cell r="AJ182">
            <v>6520</v>
          </cell>
        </row>
        <row r="183">
          <cell r="A183" t="str">
            <v>ETLCUST-03563</v>
          </cell>
          <cell r="B183" t="str">
            <v>BARAKAH TECHNOLOGY - SUVASTU ARCADE</v>
          </cell>
          <cell r="C183" t="str">
            <v>Mohotasim Rana</v>
          </cell>
          <cell r="D183" t="str">
            <v>DHB</v>
          </cell>
          <cell r="E183" t="str">
            <v>DHB</v>
          </cell>
          <cell r="U183">
            <v>22200</v>
          </cell>
        </row>
        <row r="184">
          <cell r="A184" t="str">
            <v>ETLCUST-02004</v>
          </cell>
          <cell r="B184" t="str">
            <v>BARI TECHNOLOGIES</v>
          </cell>
          <cell r="C184" t="str">
            <v>Shakil Ahmed</v>
          </cell>
          <cell r="D184" t="str">
            <v>Corporate</v>
          </cell>
          <cell r="E184" t="str">
            <v>Corporate</v>
          </cell>
          <cell r="U184">
            <v>7500</v>
          </cell>
          <cell r="AA184">
            <v>105000</v>
          </cell>
          <cell r="AV184">
            <v>1780000</v>
          </cell>
        </row>
        <row r="185">
          <cell r="A185" t="str">
            <v>ETLCUST-02726</v>
          </cell>
          <cell r="B185" t="str">
            <v>BARIDHI GARMENTS LTD.</v>
          </cell>
          <cell r="C185" t="str">
            <v>Ashraful Islam</v>
          </cell>
          <cell r="D185" t="str">
            <v>Corporate</v>
          </cell>
          <cell r="E185" t="str">
            <v>Corporate</v>
          </cell>
          <cell r="AJ185">
            <v>118550</v>
          </cell>
        </row>
        <row r="186">
          <cell r="A186" t="str">
            <v>ETLCUST-03427</v>
          </cell>
          <cell r="B186" t="str">
            <v>BARIK COMPUTER - CHUADANGA</v>
          </cell>
          <cell r="C186" t="str">
            <v>Md. Hasanuzzaman</v>
          </cell>
          <cell r="D186" t="str">
            <v>South Bengal</v>
          </cell>
          <cell r="E186" t="str">
            <v>South Bengal</v>
          </cell>
          <cell r="G186">
            <v>80800</v>
          </cell>
          <cell r="L186">
            <v>8500</v>
          </cell>
          <cell r="P186">
            <v>6600</v>
          </cell>
          <cell r="R186">
            <v>35400</v>
          </cell>
          <cell r="S186">
            <v>0</v>
          </cell>
          <cell r="T186">
            <v>34700</v>
          </cell>
          <cell r="AJ186">
            <v>5875</v>
          </cell>
          <cell r="AL186">
            <v>14590</v>
          </cell>
          <cell r="AT186">
            <v>15000</v>
          </cell>
          <cell r="BA186">
            <v>989120</v>
          </cell>
        </row>
        <row r="187">
          <cell r="A187" t="str">
            <v>ETLCUST-05211</v>
          </cell>
          <cell r="B187" t="str">
            <v>BARNALI TEXTILE AND PRINTING INDUSTRIES (PVT.) LTD.</v>
          </cell>
          <cell r="C187" t="str">
            <v>Shakil Ahmed</v>
          </cell>
          <cell r="D187" t="str">
            <v>Corporate</v>
          </cell>
          <cell r="E187" t="str">
            <v>Corporate</v>
          </cell>
          <cell r="R187">
            <v>39000</v>
          </cell>
          <cell r="U187">
            <v>688000</v>
          </cell>
        </row>
        <row r="188">
          <cell r="A188" t="str">
            <v>ETLCUST-03715</v>
          </cell>
          <cell r="B188" t="str">
            <v>BARO BARI COMPUTER - E.ROAD</v>
          </cell>
          <cell r="C188" t="str">
            <v>Mohotasim Rana</v>
          </cell>
          <cell r="D188" t="str">
            <v>DHB</v>
          </cell>
          <cell r="E188" t="str">
            <v>DHB</v>
          </cell>
          <cell r="AO188">
            <v>17700</v>
          </cell>
        </row>
        <row r="189">
          <cell r="A189" t="str">
            <v>ETLCUST-04965</v>
          </cell>
          <cell r="B189" t="str">
            <v>BASHUNDHARA OIL AND GAS COMPANY LTD - SI  -  KERANIGANJ</v>
          </cell>
          <cell r="C189" t="str">
            <v>Liton Biswas</v>
          </cell>
          <cell r="D189" t="str">
            <v>HO-SI</v>
          </cell>
          <cell r="E189" t="str">
            <v>HO-SI</v>
          </cell>
          <cell r="S189">
            <v>6000</v>
          </cell>
          <cell r="U189">
            <v>3000</v>
          </cell>
          <cell r="X189">
            <v>2000</v>
          </cell>
          <cell r="AV189">
            <v>36000</v>
          </cell>
          <cell r="AY189">
            <v>18000</v>
          </cell>
        </row>
        <row r="190">
          <cell r="A190" t="str">
            <v>ETLCUST-00742</v>
          </cell>
          <cell r="B190" t="str">
            <v>BASIC TECHNOLOGIES - MULTIPLAN</v>
          </cell>
          <cell r="C190" t="str">
            <v>Mohammad Mostofa</v>
          </cell>
          <cell r="D190" t="str">
            <v>Multiplan</v>
          </cell>
          <cell r="E190" t="str">
            <v>Multiplan</v>
          </cell>
          <cell r="U190">
            <v>18700</v>
          </cell>
          <cell r="AF190">
            <v>23000</v>
          </cell>
        </row>
        <row r="191">
          <cell r="A191" t="str">
            <v>ETLCUST-05243</v>
          </cell>
          <cell r="B191" t="str">
            <v>BBCON API LTD.</v>
          </cell>
          <cell r="C191" t="str">
            <v>Md. Anisur Rahman</v>
          </cell>
          <cell r="D191" t="str">
            <v>Corporate</v>
          </cell>
          <cell r="E191" t="str">
            <v>Corporate</v>
          </cell>
          <cell r="I191">
            <v>6555</v>
          </cell>
          <cell r="L191">
            <v>0</v>
          </cell>
          <cell r="M191">
            <v>14500</v>
          </cell>
          <cell r="P191">
            <v>34500</v>
          </cell>
          <cell r="S191">
            <v>1400</v>
          </cell>
          <cell r="U191">
            <v>295500</v>
          </cell>
          <cell r="X191">
            <v>58700</v>
          </cell>
          <cell r="AV191">
            <v>101230</v>
          </cell>
        </row>
        <row r="192">
          <cell r="A192" t="str">
            <v>ETLCUST-02019</v>
          </cell>
          <cell r="B192" t="str">
            <v>BBS CABLES PLC.</v>
          </cell>
          <cell r="C192" t="str">
            <v>Abu Zahid Sobuj</v>
          </cell>
          <cell r="D192" t="str">
            <v>Corporate</v>
          </cell>
          <cell r="E192" t="str">
            <v>Corporate</v>
          </cell>
          <cell r="M192">
            <v>98000</v>
          </cell>
          <cell r="S192">
            <v>123409</v>
          </cell>
          <cell r="X192">
            <v>238590.91999999998</v>
          </cell>
          <cell r="AO192">
            <v>3500</v>
          </cell>
          <cell r="AR192">
            <v>161000</v>
          </cell>
          <cell r="AT192">
            <v>14850</v>
          </cell>
          <cell r="AV192">
            <v>14000</v>
          </cell>
          <cell r="AY192">
            <v>98000</v>
          </cell>
        </row>
        <row r="193">
          <cell r="A193" t="str">
            <v>ETLCUST-05068</v>
          </cell>
          <cell r="B193" t="str">
            <v>BCL IT SOLUTION - BOGRA</v>
          </cell>
          <cell r="C193" t="str">
            <v>Md Shahidul Islam</v>
          </cell>
          <cell r="D193" t="str">
            <v>North Bengal</v>
          </cell>
          <cell r="E193" t="str">
            <v>North Bengal</v>
          </cell>
          <cell r="U193">
            <v>71250</v>
          </cell>
          <cell r="AM193">
            <v>850</v>
          </cell>
          <cell r="AR193">
            <v>6890</v>
          </cell>
          <cell r="BA193">
            <v>42965</v>
          </cell>
        </row>
        <row r="194">
          <cell r="A194" t="str">
            <v>ETLCUST-03084</v>
          </cell>
          <cell r="B194" t="str">
            <v>BD COMPUTER - NETROKONA</v>
          </cell>
          <cell r="C194" t="str">
            <v>Rafiqul Islam Sumon</v>
          </cell>
          <cell r="D194" t="str">
            <v>Mymensingh</v>
          </cell>
          <cell r="E194" t="str">
            <v>Mymensingh</v>
          </cell>
          <cell r="S194">
            <v>0</v>
          </cell>
          <cell r="AM194">
            <v>47865</v>
          </cell>
          <cell r="BA194">
            <v>96975</v>
          </cell>
        </row>
        <row r="195">
          <cell r="A195" t="str">
            <v>ETLCUST-03354</v>
          </cell>
          <cell r="B195" t="str">
            <v>BD DIGITAL TECHNOLOGY - SOBUJBAGH</v>
          </cell>
          <cell r="C195" t="str">
            <v>Sabuj Das</v>
          </cell>
          <cell r="D195" t="str">
            <v>HO-SI</v>
          </cell>
          <cell r="E195" t="str">
            <v>HO-SI</v>
          </cell>
          <cell r="U195">
            <v>44500</v>
          </cell>
        </row>
        <row r="196">
          <cell r="A196" t="str">
            <v>ETLCUST-00710</v>
          </cell>
          <cell r="B196" t="str">
            <v>BD LINK COMPUTER - JESSORE</v>
          </cell>
          <cell r="C196" t="str">
            <v>Md Husaun</v>
          </cell>
          <cell r="D196" t="str">
            <v>Khulna</v>
          </cell>
          <cell r="E196" t="str">
            <v>Khulna</v>
          </cell>
          <cell r="AF196">
            <v>-9300</v>
          </cell>
        </row>
        <row r="197">
          <cell r="A197" t="str">
            <v>ETLCUST-05324</v>
          </cell>
          <cell r="B197" t="str">
            <v>BD SHOP LIMITED - E.ROAD</v>
          </cell>
          <cell r="C197" t="str">
            <v>Md Shamim Miah</v>
          </cell>
          <cell r="D197" t="str">
            <v>DHB</v>
          </cell>
          <cell r="E197" t="str">
            <v>DHB</v>
          </cell>
          <cell r="AK197">
            <v>46000</v>
          </cell>
        </row>
        <row r="198">
          <cell r="A198" t="str">
            <v>ETLCUST-02022</v>
          </cell>
          <cell r="B198" t="str">
            <v>BEACON PHARMACEUTICALS PLC.</v>
          </cell>
          <cell r="C198" t="str">
            <v>Rafsan Jani</v>
          </cell>
          <cell r="D198" t="str">
            <v>Corporate</v>
          </cell>
          <cell r="E198" t="str">
            <v>Corporate</v>
          </cell>
          <cell r="R198">
            <v>12727.27</v>
          </cell>
          <cell r="S198">
            <v>147200.40999999997</v>
          </cell>
          <cell r="X198">
            <v>107036.39</v>
          </cell>
          <cell r="AY198">
            <v>256884.71000000002</v>
          </cell>
        </row>
        <row r="199">
          <cell r="A199" t="str">
            <v>ETLCUST-00906</v>
          </cell>
          <cell r="B199" t="str">
            <v>BENGAL COMPUTERS - KUSHTIA</v>
          </cell>
          <cell r="C199" t="str">
            <v>Md Rakibul Islam</v>
          </cell>
          <cell r="D199" t="str">
            <v>South Bengal</v>
          </cell>
          <cell r="E199" t="str">
            <v>South Bengal</v>
          </cell>
          <cell r="R199">
            <v>84500</v>
          </cell>
          <cell r="S199">
            <v>0</v>
          </cell>
          <cell r="V199">
            <v>5800</v>
          </cell>
          <cell r="AM199">
            <v>9180</v>
          </cell>
          <cell r="AO199">
            <v>19800</v>
          </cell>
          <cell r="AQ199">
            <v>0</v>
          </cell>
          <cell r="AZ199">
            <v>7700</v>
          </cell>
          <cell r="BA199">
            <v>11250</v>
          </cell>
        </row>
        <row r="200">
          <cell r="A200" t="str">
            <v>ETLCUST-02027</v>
          </cell>
          <cell r="B200" t="str">
            <v>BENGAL GROUP OF INDUSTRIES LTD</v>
          </cell>
          <cell r="C200" t="str">
            <v>Mosfiqur Rahman</v>
          </cell>
          <cell r="D200" t="str">
            <v>Corporate</v>
          </cell>
          <cell r="E200" t="str">
            <v>Corporate</v>
          </cell>
          <cell r="R200">
            <v>7500</v>
          </cell>
        </row>
        <row r="201">
          <cell r="A201" t="str">
            <v>ETLCUST-05391</v>
          </cell>
          <cell r="B201" t="str">
            <v>BENGAL IT SOLUTION - COX'S BAZAR</v>
          </cell>
          <cell r="C201" t="str">
            <v>Md. Mamunur Rashid</v>
          </cell>
          <cell r="D201" t="str">
            <v>CTG</v>
          </cell>
          <cell r="E201" t="str">
            <v>CTG</v>
          </cell>
          <cell r="T201">
            <v>15000</v>
          </cell>
          <cell r="X201">
            <v>1195600</v>
          </cell>
          <cell r="AL201">
            <v>117810</v>
          </cell>
          <cell r="AM201">
            <v>534500</v>
          </cell>
          <cell r="AQ201">
            <v>0</v>
          </cell>
          <cell r="BA201">
            <v>270375</v>
          </cell>
        </row>
        <row r="202">
          <cell r="A202" t="str">
            <v>ETLCUST-00942</v>
          </cell>
          <cell r="B202" t="str">
            <v>BEPARI ENTERPRISE - GULISTAN</v>
          </cell>
          <cell r="C202" t="str">
            <v>Noor Hossain</v>
          </cell>
          <cell r="D202" t="str">
            <v>Gulistan</v>
          </cell>
          <cell r="E202" t="str">
            <v>Gulistan</v>
          </cell>
          <cell r="AZ202">
            <v>575900</v>
          </cell>
        </row>
        <row r="203">
          <cell r="A203" t="str">
            <v>ETLCUST-02893</v>
          </cell>
          <cell r="B203" t="str">
            <v>BERGER PAINTS BANGLADESH LTD.</v>
          </cell>
          <cell r="C203" t="str">
            <v>Hasibul Hasan Symoon</v>
          </cell>
          <cell r="D203" t="str">
            <v>Corporate</v>
          </cell>
          <cell r="E203" t="str">
            <v>Corporate</v>
          </cell>
          <cell r="AD203">
            <v>538727.29</v>
          </cell>
        </row>
        <row r="204">
          <cell r="A204" t="str">
            <v>ETLCUST-03345</v>
          </cell>
          <cell r="B204" t="str">
            <v>BEST COMMUNICATION - MIRPUR</v>
          </cell>
          <cell r="C204" t="str">
            <v>Amit Sarker</v>
          </cell>
          <cell r="D204" t="str">
            <v>IDB</v>
          </cell>
          <cell r="E204" t="str">
            <v>IDB</v>
          </cell>
          <cell r="S204">
            <v>0</v>
          </cell>
          <cell r="T204">
            <v>156350</v>
          </cell>
          <cell r="U204">
            <v>186800</v>
          </cell>
          <cell r="AL204">
            <v>528120</v>
          </cell>
          <cell r="AM204">
            <v>4586930</v>
          </cell>
          <cell r="AO204">
            <v>452500</v>
          </cell>
          <cell r="AR204">
            <v>196300</v>
          </cell>
          <cell r="AT204">
            <v>10000</v>
          </cell>
          <cell r="BA204">
            <v>52266045</v>
          </cell>
        </row>
        <row r="205">
          <cell r="A205" t="str">
            <v>ETLCUST-04693</v>
          </cell>
          <cell r="B205" t="str">
            <v>BEST COMPUTER SYSTEM - BARISHAL</v>
          </cell>
          <cell r="C205" t="str">
            <v>Md. Aminul Islam</v>
          </cell>
          <cell r="D205" t="str">
            <v>South Bengal</v>
          </cell>
          <cell r="E205" t="str">
            <v>South Bengal</v>
          </cell>
          <cell r="AM205">
            <v>3800</v>
          </cell>
          <cell r="AO205">
            <v>9985</v>
          </cell>
          <cell r="BA205">
            <v>172390</v>
          </cell>
        </row>
        <row r="206">
          <cell r="A206" t="str">
            <v>ETLCUST-04730</v>
          </cell>
          <cell r="B206" t="str">
            <v>BEST ELECTRONICS LIMITED</v>
          </cell>
          <cell r="C206" t="str">
            <v>Hasibul Hasan Symoon</v>
          </cell>
          <cell r="D206" t="str">
            <v>Corporate</v>
          </cell>
          <cell r="E206" t="str">
            <v>Corporate</v>
          </cell>
          <cell r="BA206">
            <v>770000</v>
          </cell>
        </row>
        <row r="207">
          <cell r="A207" t="str">
            <v>ETLCUST-00034</v>
          </cell>
          <cell r="B207" t="str">
            <v>BEST IT BAZAR - DINAJPUR</v>
          </cell>
          <cell r="C207" t="str">
            <v>Akramul Haque</v>
          </cell>
          <cell r="D207" t="str">
            <v>North Bengal</v>
          </cell>
          <cell r="E207" t="str">
            <v>North Bengal</v>
          </cell>
          <cell r="G207">
            <v>450100</v>
          </cell>
          <cell r="S207">
            <v>0</v>
          </cell>
          <cell r="AL207">
            <v>38690</v>
          </cell>
          <cell r="AM207">
            <v>174490</v>
          </cell>
          <cell r="AQ207">
            <v>0</v>
          </cell>
          <cell r="AR207">
            <v>11200</v>
          </cell>
          <cell r="BA207">
            <v>544090</v>
          </cell>
        </row>
        <row r="208">
          <cell r="A208" t="str">
            <v>ETLCUST-04084</v>
          </cell>
          <cell r="B208" t="str">
            <v>BEST TECH -  E. ROAD</v>
          </cell>
          <cell r="C208" t="str">
            <v>Md. Rony Ahmed</v>
          </cell>
          <cell r="D208" t="str">
            <v>DHB</v>
          </cell>
          <cell r="E208" t="str">
            <v>DHB</v>
          </cell>
          <cell r="AM208">
            <v>425</v>
          </cell>
          <cell r="AQ208">
            <v>0</v>
          </cell>
          <cell r="BA208">
            <v>47500</v>
          </cell>
        </row>
        <row r="209">
          <cell r="A209" t="str">
            <v>ETLCUST-05248</v>
          </cell>
          <cell r="B209" t="str">
            <v>BEST TYCOON (BD) ENTERPRISE LIMITED</v>
          </cell>
          <cell r="C209" t="str">
            <v>Rafsan Jani</v>
          </cell>
          <cell r="D209" t="str">
            <v>Corporate</v>
          </cell>
          <cell r="E209" t="str">
            <v>Corporate</v>
          </cell>
          <cell r="S209">
            <v>179950.16</v>
          </cell>
          <cell r="X209">
            <v>562285.46</v>
          </cell>
          <cell r="Y209">
            <v>1652800</v>
          </cell>
          <cell r="AR209">
            <v>98960</v>
          </cell>
          <cell r="AY209">
            <v>55000</v>
          </cell>
        </row>
        <row r="210">
          <cell r="A210" t="str">
            <v>ETLCUST-04412</v>
          </cell>
          <cell r="B210" t="str">
            <v>BESTINBRANDS PRIVATE LTD.</v>
          </cell>
          <cell r="C210" t="str">
            <v>Sabbir Ahmed</v>
          </cell>
          <cell r="D210" t="str">
            <v>Corporate</v>
          </cell>
          <cell r="E210" t="str">
            <v>Corporate</v>
          </cell>
          <cell r="F210">
            <v>59000</v>
          </cell>
          <cell r="AJ210">
            <v>6500</v>
          </cell>
        </row>
        <row r="211">
          <cell r="A211" t="str">
            <v>ETLCUST-01428</v>
          </cell>
          <cell r="B211" t="str">
            <v>BETAR SERVICE - GAZIPUR</v>
          </cell>
          <cell r="C211" t="str">
            <v>MD. Shipon Ali</v>
          </cell>
          <cell r="D211" t="str">
            <v>Uttara</v>
          </cell>
          <cell r="E211" t="str">
            <v>Uttara</v>
          </cell>
          <cell r="AM211">
            <v>115000</v>
          </cell>
          <cell r="AZ211">
            <v>510900</v>
          </cell>
          <cell r="BA211">
            <v>4107125</v>
          </cell>
        </row>
        <row r="212">
          <cell r="A212" t="str">
            <v>ETLCUST-04279</v>
          </cell>
          <cell r="B212" t="str">
            <v>BHAI BHAI ELECTRONICS &amp; HARDWARE- FENI</v>
          </cell>
          <cell r="C212" t="str">
            <v>Reazuddin</v>
          </cell>
          <cell r="D212" t="str">
            <v>CTG</v>
          </cell>
          <cell r="E212" t="str">
            <v>CTG</v>
          </cell>
          <cell r="P212">
            <v>66000</v>
          </cell>
        </row>
        <row r="213">
          <cell r="A213" t="str">
            <v>ETLCUST-03086</v>
          </cell>
          <cell r="B213" t="str">
            <v>BHAI BHAI TELECOM - KHULNA</v>
          </cell>
          <cell r="C213" t="str">
            <v>Md Husaun</v>
          </cell>
          <cell r="D213" t="str">
            <v>Khulna</v>
          </cell>
          <cell r="E213" t="str">
            <v>Khulna</v>
          </cell>
          <cell r="G213">
            <v>240000</v>
          </cell>
          <cell r="S213">
            <v>0</v>
          </cell>
          <cell r="X213">
            <v>197500</v>
          </cell>
          <cell r="AM213">
            <v>343250</v>
          </cell>
          <cell r="AQ213">
            <v>0</v>
          </cell>
          <cell r="AZ213">
            <v>72600</v>
          </cell>
          <cell r="BA213">
            <v>3309970</v>
          </cell>
        </row>
        <row r="214">
          <cell r="A214" t="str">
            <v>ETLCUST-02039</v>
          </cell>
          <cell r="B214" t="str">
            <v>BHL GROUP</v>
          </cell>
          <cell r="C214" t="str">
            <v>Md. Raihan Ali</v>
          </cell>
          <cell r="D214" t="str">
            <v>Corporate</v>
          </cell>
          <cell r="E214" t="str">
            <v>Corporate</v>
          </cell>
          <cell r="AY214">
            <v>29000</v>
          </cell>
        </row>
        <row r="215">
          <cell r="A215" t="str">
            <v>ETLCUST-05294</v>
          </cell>
          <cell r="B215" t="str">
            <v>BHOLA PC CENTER - BHOLA</v>
          </cell>
          <cell r="C215" t="str">
            <v>Md. Aminul Islam</v>
          </cell>
          <cell r="D215" t="str">
            <v>South Bengal</v>
          </cell>
          <cell r="E215" t="str">
            <v>South Bengal</v>
          </cell>
          <cell r="G215">
            <v>10200</v>
          </cell>
          <cell r="BA215">
            <v>51670</v>
          </cell>
        </row>
        <row r="216">
          <cell r="A216" t="str">
            <v>ETLCUST-01327</v>
          </cell>
          <cell r="B216" t="str">
            <v>BHUIYAN MOBILE - FENI</v>
          </cell>
          <cell r="C216" t="str">
            <v>Reazuddin</v>
          </cell>
          <cell r="D216" t="str">
            <v>CTG</v>
          </cell>
          <cell r="E216" t="str">
            <v>CTG</v>
          </cell>
          <cell r="AL216">
            <v>611850</v>
          </cell>
          <cell r="AM216">
            <v>274865</v>
          </cell>
          <cell r="AZ216">
            <v>143200</v>
          </cell>
          <cell r="BA216">
            <v>5898485</v>
          </cell>
        </row>
        <row r="217">
          <cell r="A217" t="str">
            <v>ETLCUST-04972</v>
          </cell>
          <cell r="B217" t="str">
            <v>BHUIYAN TECHNOLOGIES &amp; SOLUTIONS - CTG</v>
          </cell>
          <cell r="C217" t="str">
            <v>Shahidul Alam Chowdhury</v>
          </cell>
          <cell r="D217" t="str">
            <v>CTG</v>
          </cell>
          <cell r="E217" t="str">
            <v>CTG</v>
          </cell>
          <cell r="X217">
            <v>36000</v>
          </cell>
          <cell r="AM217">
            <v>380</v>
          </cell>
          <cell r="BA217">
            <v>17250</v>
          </cell>
        </row>
        <row r="218">
          <cell r="A218" t="str">
            <v>ETLCUST-03440</v>
          </cell>
          <cell r="B218" t="str">
            <v>BIG IT BAZAR - KURIGRAM</v>
          </cell>
          <cell r="C218" t="str">
            <v>Md. Arif Arman</v>
          </cell>
          <cell r="D218" t="str">
            <v>North Bengal</v>
          </cell>
          <cell r="E218" t="str">
            <v>North Bengal</v>
          </cell>
          <cell r="AL218">
            <v>50225</v>
          </cell>
        </row>
        <row r="219">
          <cell r="A219" t="str">
            <v>ETLCUST-05435</v>
          </cell>
          <cell r="B219" t="str">
            <v>BIHS GENERAL HOSPITAL</v>
          </cell>
          <cell r="C219" t="str">
            <v>Md. Anisur Rahman</v>
          </cell>
          <cell r="D219" t="str">
            <v>Corporate</v>
          </cell>
          <cell r="E219" t="str">
            <v>Corporate</v>
          </cell>
          <cell r="U219">
            <v>56590.95</v>
          </cell>
        </row>
        <row r="220">
          <cell r="A220" t="str">
            <v>ETLCUST-05135</v>
          </cell>
          <cell r="B220" t="str">
            <v>Bijoy Online Ltd. - Gulshan</v>
          </cell>
          <cell r="C220" t="str">
            <v>Md. Abdus Satter</v>
          </cell>
          <cell r="D220" t="str">
            <v>HO-SI</v>
          </cell>
          <cell r="E220" t="str">
            <v>HO-SI</v>
          </cell>
          <cell r="U220">
            <v>45300</v>
          </cell>
        </row>
        <row r="221">
          <cell r="A221" t="str">
            <v>ETLCUST-03731</v>
          </cell>
          <cell r="B221" t="str">
            <v>BIKI COMPUTER SOLUTION - SUNAMGANJ</v>
          </cell>
          <cell r="C221" t="str">
            <v>Amit Das</v>
          </cell>
          <cell r="D221" t="str">
            <v>Sylhet</v>
          </cell>
          <cell r="E221" t="str">
            <v>Sylhet</v>
          </cell>
          <cell r="G221">
            <v>5000</v>
          </cell>
          <cell r="R221">
            <v>87500</v>
          </cell>
          <cell r="S221">
            <v>0</v>
          </cell>
          <cell r="AL221">
            <v>7950</v>
          </cell>
          <cell r="BA221">
            <v>275900</v>
          </cell>
        </row>
        <row r="222">
          <cell r="A222" t="str">
            <v>ETLCUST-04880</v>
          </cell>
          <cell r="B222" t="str">
            <v>BIMAN BANGLADESH AIRLINES LTD.</v>
          </cell>
          <cell r="C222" t="str">
            <v>Md. Zakaria</v>
          </cell>
          <cell r="D222" t="str">
            <v>Tender</v>
          </cell>
          <cell r="E222" t="str">
            <v>Tender</v>
          </cell>
          <cell r="AD222">
            <v>213665.4</v>
          </cell>
        </row>
        <row r="223">
          <cell r="A223" t="str">
            <v>ETLCUST-00166</v>
          </cell>
          <cell r="B223" t="str">
            <v>BINARY LOGIC - IDB</v>
          </cell>
          <cell r="C223" t="str">
            <v>Gaji Parvin Nesa</v>
          </cell>
          <cell r="D223" t="str">
            <v>IDB</v>
          </cell>
          <cell r="E223" t="str">
            <v>IDB</v>
          </cell>
          <cell r="R223">
            <v>301000</v>
          </cell>
          <cell r="U223">
            <v>3750</v>
          </cell>
          <cell r="AM223">
            <v>3490</v>
          </cell>
          <cell r="BA223">
            <v>23000</v>
          </cell>
        </row>
        <row r="224">
          <cell r="A224" t="str">
            <v>ETLCUST-05254</v>
          </cell>
          <cell r="B224" t="str">
            <v>BINIMOY ELECTRONICS BINIMOY SOLAR POWER - CTG</v>
          </cell>
          <cell r="C224" t="str">
            <v>Shahidul Alam Chowdhury</v>
          </cell>
          <cell r="D224" t="str">
            <v>CTG</v>
          </cell>
          <cell r="E224" t="str">
            <v>CTG</v>
          </cell>
          <cell r="AK224">
            <v>46000</v>
          </cell>
        </row>
        <row r="225">
          <cell r="A225" t="str">
            <v>ETLCUST-00595</v>
          </cell>
          <cell r="B225" t="str">
            <v>BIO ACCESS TECH CO.- DILKUSHA</v>
          </cell>
          <cell r="C225" t="str">
            <v>Liton Biswas</v>
          </cell>
          <cell r="D225" t="str">
            <v>HO-SI</v>
          </cell>
          <cell r="E225" t="str">
            <v>HO-SI</v>
          </cell>
          <cell r="AV225">
            <v>260200</v>
          </cell>
        </row>
        <row r="226">
          <cell r="A226" t="str">
            <v>ETLCUST-01857</v>
          </cell>
          <cell r="B226" t="str">
            <v>BIOVAAS TECH AID - MULTIPLAN</v>
          </cell>
          <cell r="C226" t="str">
            <v>Mohammad Mostofa</v>
          </cell>
          <cell r="D226" t="str">
            <v>Multiplan</v>
          </cell>
          <cell r="E226" t="str">
            <v>Multiplan</v>
          </cell>
          <cell r="H226">
            <v>96500</v>
          </cell>
          <cell r="U226">
            <v>18800</v>
          </cell>
        </row>
        <row r="227">
          <cell r="A227" t="str">
            <v>ETLCUST-05192</v>
          </cell>
          <cell r="B227" t="str">
            <v>BIO-XIN COSMECEUTICALS</v>
          </cell>
          <cell r="C227" t="str">
            <v>Abu Zahid Sobuj</v>
          </cell>
          <cell r="D227" t="str">
            <v>Corporate</v>
          </cell>
          <cell r="E227" t="str">
            <v>Corporate</v>
          </cell>
          <cell r="AR227">
            <v>8500</v>
          </cell>
        </row>
        <row r="228">
          <cell r="A228" t="str">
            <v>ETLCUST-05293</v>
          </cell>
          <cell r="B228" t="str">
            <v>BISMILLAH COMPUTER - ISHWARDI</v>
          </cell>
          <cell r="C228" t="str">
            <v>Forhad Rubel</v>
          </cell>
          <cell r="D228" t="str">
            <v>North Bengal</v>
          </cell>
          <cell r="E228" t="str">
            <v>North Bengal</v>
          </cell>
          <cell r="P228">
            <v>6400</v>
          </cell>
          <cell r="X228">
            <v>100875</v>
          </cell>
          <cell r="BA228">
            <v>140070</v>
          </cell>
        </row>
        <row r="229">
          <cell r="A229" t="str">
            <v>ETLCUST-01830</v>
          </cell>
          <cell r="B229" t="str">
            <v>BISMILLAH COMPUTERS - SAVAR</v>
          </cell>
          <cell r="C229" t="str">
            <v>Biplop Kumar</v>
          </cell>
          <cell r="D229" t="str">
            <v>DHK-EXT</v>
          </cell>
          <cell r="E229" t="str">
            <v>DHK-EXT</v>
          </cell>
          <cell r="G229">
            <v>312000</v>
          </cell>
          <cell r="L229">
            <v>58800</v>
          </cell>
          <cell r="S229">
            <v>0</v>
          </cell>
          <cell r="AM229">
            <v>215360</v>
          </cell>
          <cell r="AO229">
            <v>2850</v>
          </cell>
          <cell r="BA229">
            <v>3198180</v>
          </cell>
        </row>
        <row r="230">
          <cell r="A230" t="str">
            <v>ETLCUST-04324</v>
          </cell>
          <cell r="B230" t="str">
            <v>BISMILLAH IT SOLUTION &amp; ENGINEERING - NOTUN BAZAR</v>
          </cell>
          <cell r="C230" t="str">
            <v>Jiku Saha</v>
          </cell>
          <cell r="D230" t="str">
            <v>Uttara</v>
          </cell>
          <cell r="E230" t="str">
            <v>Uttara</v>
          </cell>
          <cell r="BA230">
            <v>2090</v>
          </cell>
        </row>
        <row r="231">
          <cell r="A231" t="str">
            <v>ETLCUST-01569</v>
          </cell>
          <cell r="B231" t="str">
            <v>BISWABANI - NAWABPUR</v>
          </cell>
          <cell r="C231" t="str">
            <v>Shamim Hossain</v>
          </cell>
          <cell r="D231" t="str">
            <v>Gulistan</v>
          </cell>
          <cell r="E231" t="str">
            <v>Gulistan</v>
          </cell>
          <cell r="AZ231">
            <v>360050</v>
          </cell>
        </row>
        <row r="232">
          <cell r="A232" t="str">
            <v>ETLCUST-01004</v>
          </cell>
          <cell r="B232" t="str">
            <v>BISWAJIT ELECTRONICS - SIRAJGONJ</v>
          </cell>
          <cell r="C232" t="str">
            <v>Md Shahidul Islam</v>
          </cell>
          <cell r="D232" t="str">
            <v>North Bengal</v>
          </cell>
          <cell r="E232" t="str">
            <v>North Bengal</v>
          </cell>
          <cell r="G232">
            <v>400000</v>
          </cell>
          <cell r="S232">
            <v>0</v>
          </cell>
          <cell r="AL232">
            <v>47700</v>
          </cell>
          <cell r="AM232">
            <v>446500</v>
          </cell>
          <cell r="BA232">
            <v>3348530</v>
          </cell>
        </row>
        <row r="233">
          <cell r="A233" t="str">
            <v>ETLCUST-01458</v>
          </cell>
          <cell r="B233" t="str">
            <v>BISWAS AND CO - BARISAL</v>
          </cell>
          <cell r="C233" t="str">
            <v>Shah Imran</v>
          </cell>
          <cell r="D233" t="str">
            <v>South Bengal</v>
          </cell>
          <cell r="E233" t="str">
            <v>South Bengal</v>
          </cell>
          <cell r="AM233">
            <v>18320</v>
          </cell>
          <cell r="AZ233">
            <v>159550</v>
          </cell>
          <cell r="BA233">
            <v>128650</v>
          </cell>
        </row>
        <row r="234">
          <cell r="A234" t="str">
            <v>ETLCUST-01427</v>
          </cell>
          <cell r="B234" t="str">
            <v>BISWAS ENTERPRISE - UTTARA</v>
          </cell>
          <cell r="C234" t="str">
            <v>Md. Rahad</v>
          </cell>
          <cell r="D234" t="str">
            <v>Uttara</v>
          </cell>
          <cell r="E234" t="str">
            <v>Uttara</v>
          </cell>
          <cell r="X234">
            <v>512875</v>
          </cell>
          <cell r="AK234">
            <v>53700</v>
          </cell>
          <cell r="AL234">
            <v>101050</v>
          </cell>
          <cell r="BA234">
            <v>1303795</v>
          </cell>
        </row>
        <row r="235">
          <cell r="A235" t="str">
            <v>ETLCUST-00557</v>
          </cell>
          <cell r="B235" t="str">
            <v>BIT TO BYTE - DOHS MAHAKHALI</v>
          </cell>
          <cell r="C235" t="str">
            <v>Sabuj Das</v>
          </cell>
          <cell r="D235" t="str">
            <v>HO-SI</v>
          </cell>
          <cell r="E235" t="str">
            <v>HO-SI</v>
          </cell>
          <cell r="U235">
            <v>93500</v>
          </cell>
          <cell r="AF235">
            <v>-19500</v>
          </cell>
          <cell r="AR235">
            <v>120150</v>
          </cell>
        </row>
        <row r="236">
          <cell r="A236" t="str">
            <v>ETLCUST-01254</v>
          </cell>
          <cell r="B236" t="str">
            <v>BITHY ENTERPRISE - MYMENSINGH</v>
          </cell>
          <cell r="C236" t="str">
            <v>Rafiqul Islam Sumon</v>
          </cell>
          <cell r="D236" t="str">
            <v>Mymensingh</v>
          </cell>
          <cell r="E236" t="str">
            <v>Mymensingh</v>
          </cell>
          <cell r="R236">
            <v>45100</v>
          </cell>
        </row>
        <row r="237">
          <cell r="A237" t="str">
            <v>ETLCUST-03745</v>
          </cell>
          <cell r="B237" t="str">
            <v>BK WORLD BD - PHULPUR</v>
          </cell>
          <cell r="C237" t="str">
            <v>Rafiqul Islam Sumon</v>
          </cell>
          <cell r="D237" t="str">
            <v>Mymensingh</v>
          </cell>
          <cell r="E237" t="str">
            <v>Mymensingh</v>
          </cell>
          <cell r="G237">
            <v>401500</v>
          </cell>
          <cell r="R237">
            <v>34640</v>
          </cell>
          <cell r="S237">
            <v>0</v>
          </cell>
          <cell r="AL237">
            <v>156460</v>
          </cell>
          <cell r="AM237">
            <v>716480</v>
          </cell>
          <cell r="AT237">
            <v>12150</v>
          </cell>
          <cell r="BA237">
            <v>645665</v>
          </cell>
        </row>
        <row r="238">
          <cell r="A238" t="str">
            <v>ETLCUST-02453</v>
          </cell>
          <cell r="B238" t="str">
            <v>BLUE PILL LIMITED</v>
          </cell>
          <cell r="C238" t="str">
            <v>Sabbir Ahmed</v>
          </cell>
          <cell r="D238" t="str">
            <v>Corporate</v>
          </cell>
          <cell r="E238" t="str">
            <v>Corporate</v>
          </cell>
          <cell r="U238">
            <v>240000</v>
          </cell>
        </row>
        <row r="239">
          <cell r="A239" t="str">
            <v>ETLCUST-01109</v>
          </cell>
          <cell r="B239" t="str">
            <v>BLUE STAR COMMUNICATIONS - MIRPUR</v>
          </cell>
          <cell r="C239" t="str">
            <v>Amit Sarker</v>
          </cell>
          <cell r="D239" t="str">
            <v>IDB</v>
          </cell>
          <cell r="E239" t="str">
            <v>IDB</v>
          </cell>
          <cell r="U239">
            <v>3750</v>
          </cell>
        </row>
        <row r="240">
          <cell r="A240" t="str">
            <v>ETLCUST-03482</v>
          </cell>
          <cell r="B240" t="str">
            <v>BLUE STAR TRADE - GULISTAN</v>
          </cell>
          <cell r="C240" t="str">
            <v>Shamim Hossain</v>
          </cell>
          <cell r="D240" t="str">
            <v>Gulistan</v>
          </cell>
          <cell r="E240" t="str">
            <v>Gulistan</v>
          </cell>
          <cell r="AZ240">
            <v>1428200</v>
          </cell>
        </row>
        <row r="241">
          <cell r="A241" t="str">
            <v>ETLCUST-05352</v>
          </cell>
          <cell r="B241" t="str">
            <v xml:space="preserve">BLUE TECH SOLUTIONS - SHAHBAGH </v>
          </cell>
          <cell r="C241" t="str">
            <v>Sabuj Das</v>
          </cell>
          <cell r="D241" t="str">
            <v>HO-SI</v>
          </cell>
          <cell r="E241" t="str">
            <v>HO-SI</v>
          </cell>
          <cell r="AA241">
            <v>74700</v>
          </cell>
        </row>
        <row r="242">
          <cell r="A242" t="str">
            <v>ETLCUST-00801</v>
          </cell>
          <cell r="B242" t="str">
            <v>BLUERIDGE TECHNOLOGIES - NATORE</v>
          </cell>
          <cell r="C242" t="str">
            <v>Md. Abu Basar</v>
          </cell>
          <cell r="D242" t="str">
            <v>Rajshahi</v>
          </cell>
          <cell r="E242" t="str">
            <v>Rajshahi</v>
          </cell>
          <cell r="P242">
            <v>70600</v>
          </cell>
          <cell r="R242">
            <v>129450</v>
          </cell>
          <cell r="S242">
            <v>0</v>
          </cell>
          <cell r="T242">
            <v>24300</v>
          </cell>
          <cell r="U242">
            <v>11400</v>
          </cell>
          <cell r="X242">
            <v>40600</v>
          </cell>
          <cell r="AJ242">
            <v>36000</v>
          </cell>
          <cell r="AM242">
            <v>14225</v>
          </cell>
          <cell r="AO242">
            <v>19100</v>
          </cell>
          <cell r="AR242">
            <v>10500</v>
          </cell>
          <cell r="AV242">
            <v>76400</v>
          </cell>
          <cell r="BA242">
            <v>423255</v>
          </cell>
        </row>
        <row r="243">
          <cell r="A243" t="str">
            <v>ETLCUST-03700</v>
          </cell>
          <cell r="B243" t="str">
            <v>BOALMARI NETWORK - BOALMARI</v>
          </cell>
          <cell r="C243" t="str">
            <v>Hanif shek</v>
          </cell>
          <cell r="D243" t="str">
            <v>South Bengal</v>
          </cell>
          <cell r="E243" t="str">
            <v>South Bengal</v>
          </cell>
          <cell r="G243">
            <v>928000</v>
          </cell>
          <cell r="L243">
            <v>17500</v>
          </cell>
          <cell r="P243">
            <v>25600</v>
          </cell>
          <cell r="R243">
            <v>23260</v>
          </cell>
          <cell r="S243">
            <v>0</v>
          </cell>
          <cell r="T243">
            <v>200900</v>
          </cell>
          <cell r="X243">
            <v>494400</v>
          </cell>
          <cell r="AF243">
            <v>22300</v>
          </cell>
          <cell r="AJ243">
            <v>3800</v>
          </cell>
          <cell r="AK243">
            <v>13600</v>
          </cell>
          <cell r="AL243">
            <v>452125</v>
          </cell>
          <cell r="AM243">
            <v>2761120</v>
          </cell>
          <cell r="AO243">
            <v>4625</v>
          </cell>
          <cell r="AP243">
            <v>8200</v>
          </cell>
          <cell r="AQ243">
            <v>0</v>
          </cell>
          <cell r="AV243">
            <v>1700</v>
          </cell>
          <cell r="AZ243">
            <v>7800</v>
          </cell>
          <cell r="BA243">
            <v>3549850</v>
          </cell>
        </row>
        <row r="244">
          <cell r="A244" t="str">
            <v>ETLCUST-00168</v>
          </cell>
          <cell r="B244" t="str">
            <v>BOOKS AND TECHVIEW - IDB</v>
          </cell>
          <cell r="C244" t="str">
            <v>Gaji Parvin Nesa</v>
          </cell>
          <cell r="D244" t="str">
            <v>IDB</v>
          </cell>
          <cell r="E244" t="str">
            <v>IDB</v>
          </cell>
          <cell r="G244">
            <v>112000</v>
          </cell>
          <cell r="X244">
            <v>499650</v>
          </cell>
          <cell r="AM244">
            <v>850</v>
          </cell>
          <cell r="BA244">
            <v>582275</v>
          </cell>
        </row>
        <row r="245">
          <cell r="A245" t="str">
            <v>ETLCUST-05380</v>
          </cell>
          <cell r="B245" t="str">
            <v>BORHAN CCTV SOLUTION - COMILLA</v>
          </cell>
          <cell r="C245" t="str">
            <v>Nazmul Amin Sajib</v>
          </cell>
          <cell r="D245" t="str">
            <v>CTG</v>
          </cell>
          <cell r="E245" t="str">
            <v>CTG</v>
          </cell>
          <cell r="T245">
            <v>147800</v>
          </cell>
        </row>
        <row r="246">
          <cell r="A246" t="str">
            <v>ETLCUST-04186</v>
          </cell>
          <cell r="B246" t="str">
            <v>BORHAN ELECTRIC AND ELECTRIC - MAIJDEE</v>
          </cell>
          <cell r="C246" t="str">
            <v>Reazuddin</v>
          </cell>
          <cell r="D246" t="str">
            <v>CTG</v>
          </cell>
          <cell r="E246" t="str">
            <v>CTG</v>
          </cell>
          <cell r="S246">
            <v>0</v>
          </cell>
          <cell r="AM246">
            <v>1140</v>
          </cell>
          <cell r="BA246">
            <v>447980</v>
          </cell>
        </row>
        <row r="247">
          <cell r="A247" t="str">
            <v>ETLCUST-02044</v>
          </cell>
          <cell r="B247" t="str">
            <v>BRAC</v>
          </cell>
          <cell r="C247" t="str">
            <v>Mohammad Maruf Hasan</v>
          </cell>
          <cell r="D247" t="str">
            <v>Corporate</v>
          </cell>
          <cell r="E247" t="str">
            <v>Corporate</v>
          </cell>
          <cell r="R247">
            <v>4973764.4499999993</v>
          </cell>
          <cell r="AJ247">
            <v>344578.94</v>
          </cell>
          <cell r="AP247">
            <v>859090.8</v>
          </cell>
        </row>
        <row r="248">
          <cell r="A248" t="str">
            <v>ETLCUST-02045</v>
          </cell>
          <cell r="B248" t="str">
            <v>BRAC AARONG</v>
          </cell>
          <cell r="C248" t="str">
            <v>Ashraful Islam</v>
          </cell>
          <cell r="D248" t="str">
            <v>Corporate</v>
          </cell>
          <cell r="E248" t="str">
            <v>Corporate</v>
          </cell>
          <cell r="I248">
            <v>428788.84999999992</v>
          </cell>
          <cell r="R248">
            <v>163000</v>
          </cell>
          <cell r="S248">
            <v>3917818.7699999996</v>
          </cell>
          <cell r="U248">
            <v>745900</v>
          </cell>
          <cell r="X248">
            <v>530400.09</v>
          </cell>
          <cell r="AB248">
            <v>444357.85</v>
          </cell>
          <cell r="AJ248">
            <v>7372.1</v>
          </cell>
          <cell r="AV248">
            <v>205156.22</v>
          </cell>
          <cell r="AY248">
            <v>90385.209999999992</v>
          </cell>
        </row>
        <row r="249">
          <cell r="A249" t="str">
            <v>ETLCUST-01768</v>
          </cell>
          <cell r="B249" t="str">
            <v>BRAC BANK PLC.</v>
          </cell>
          <cell r="C249" t="str">
            <v>Rafsan Jani</v>
          </cell>
          <cell r="D249" t="str">
            <v>Corporate</v>
          </cell>
          <cell r="E249" t="str">
            <v>Corporate</v>
          </cell>
          <cell r="AF249">
            <v>879754.46000000054</v>
          </cell>
        </row>
        <row r="250">
          <cell r="A250" t="str">
            <v>ETLCUST-02046</v>
          </cell>
          <cell r="B250" t="str">
            <v>BRAC IT SERVICES LIMITED</v>
          </cell>
          <cell r="C250" t="str">
            <v>Mohammad Maruf Hasan</v>
          </cell>
          <cell r="D250" t="str">
            <v>Corporate</v>
          </cell>
          <cell r="E250" t="str">
            <v>Corporate</v>
          </cell>
          <cell r="U250">
            <v>11500</v>
          </cell>
        </row>
        <row r="251">
          <cell r="A251" t="str">
            <v>ETLCUST-00580</v>
          </cell>
          <cell r="B251" t="str">
            <v>BRAC NET LTD - M.PUR</v>
          </cell>
          <cell r="C251" t="str">
            <v>Md Tanjilur Rakib</v>
          </cell>
          <cell r="D251" t="str">
            <v>HO-SI</v>
          </cell>
          <cell r="E251" t="str">
            <v>HO-SI</v>
          </cell>
          <cell r="I251">
            <v>613570</v>
          </cell>
          <cell r="U251">
            <v>1308690.05</v>
          </cell>
          <cell r="X251">
            <v>182952.75</v>
          </cell>
          <cell r="AA251">
            <v>1818172</v>
          </cell>
          <cell r="AR251">
            <v>1697677.25</v>
          </cell>
          <cell r="AV251">
            <v>118265.64</v>
          </cell>
          <cell r="BA251">
            <v>73250</v>
          </cell>
        </row>
        <row r="252">
          <cell r="A252" t="str">
            <v>ETLCUST-04494</v>
          </cell>
          <cell r="B252" t="str">
            <v>BRAHMANBARIA TECHNOLOGY - B.BARIA</v>
          </cell>
          <cell r="C252" t="str">
            <v>Md. Imran Miah Khandakar</v>
          </cell>
          <cell r="D252" t="str">
            <v>Sylhet</v>
          </cell>
          <cell r="E252" t="str">
            <v>Sylhet</v>
          </cell>
          <cell r="G252">
            <v>348500</v>
          </cell>
          <cell r="S252">
            <v>0</v>
          </cell>
          <cell r="T252">
            <v>280750</v>
          </cell>
          <cell r="U252">
            <v>12700</v>
          </cell>
          <cell r="X252">
            <v>6446800</v>
          </cell>
          <cell r="AJ252">
            <v>24225</v>
          </cell>
          <cell r="AL252">
            <v>732945</v>
          </cell>
          <cell r="AM252">
            <v>264675</v>
          </cell>
          <cell r="AQ252">
            <v>0</v>
          </cell>
          <cell r="AT252">
            <v>59000</v>
          </cell>
          <cell r="AV252">
            <v>16200</v>
          </cell>
          <cell r="BA252">
            <v>3036805</v>
          </cell>
        </row>
        <row r="253">
          <cell r="A253" t="str">
            <v>ETLCUST-04085</v>
          </cell>
          <cell r="B253" t="str">
            <v>BRAND TECHNOLOGY - KERANIGONJ</v>
          </cell>
          <cell r="C253" t="str">
            <v>Noor Hossain</v>
          </cell>
          <cell r="D253" t="str">
            <v>Gulistan</v>
          </cell>
          <cell r="E253" t="str">
            <v>Gulistan</v>
          </cell>
          <cell r="X253">
            <v>1195775</v>
          </cell>
          <cell r="AL253">
            <v>63600</v>
          </cell>
          <cell r="AM253">
            <v>74615</v>
          </cell>
          <cell r="BA253">
            <v>1617905</v>
          </cell>
        </row>
        <row r="254">
          <cell r="A254" t="str">
            <v>ETLCUST-03625</v>
          </cell>
          <cell r="B254" t="str">
            <v>BRIDGE SYSTEMS SOLUTIONS - SUVASTU ARCADE</v>
          </cell>
          <cell r="C254" t="str">
            <v>Mohotasim Rana</v>
          </cell>
          <cell r="D254" t="str">
            <v>DHB</v>
          </cell>
          <cell r="E254" t="str">
            <v>DHB</v>
          </cell>
          <cell r="H254">
            <v>86000</v>
          </cell>
          <cell r="U254">
            <v>349500</v>
          </cell>
        </row>
        <row r="255">
          <cell r="A255" t="str">
            <v>ETLCUST-05055</v>
          </cell>
          <cell r="B255" t="str">
            <v>BRIDGE TECH SOLUTIONS - BARISHAL</v>
          </cell>
          <cell r="C255" t="str">
            <v>Md. Aminul Islam</v>
          </cell>
          <cell r="D255" t="str">
            <v>South Bengal</v>
          </cell>
          <cell r="E255" t="str">
            <v>South Bengal</v>
          </cell>
          <cell r="G255">
            <v>108000</v>
          </cell>
        </row>
        <row r="256">
          <cell r="A256" t="str">
            <v>ETLCUST-03092</v>
          </cell>
          <cell r="B256" t="str">
            <v>BRIGHT SOLUTIONS - NEW ESKATON ROAD</v>
          </cell>
          <cell r="C256" t="str">
            <v>Sadekur Rahman</v>
          </cell>
          <cell r="D256" t="str">
            <v>HO-SI</v>
          </cell>
          <cell r="E256" t="str">
            <v>HO-SI</v>
          </cell>
          <cell r="X256">
            <v>2046000</v>
          </cell>
        </row>
        <row r="257">
          <cell r="A257" t="str">
            <v>ETLCUST-01601</v>
          </cell>
          <cell r="B257" t="str">
            <v>BRIGHT-I SYSTEMS LTD - KALLYANPUR</v>
          </cell>
          <cell r="C257" t="str">
            <v>Md Tanjilur Rakib</v>
          </cell>
          <cell r="D257" t="str">
            <v>HO-SI</v>
          </cell>
          <cell r="E257" t="str">
            <v>HO-SI</v>
          </cell>
          <cell r="I257">
            <v>155960</v>
          </cell>
          <cell r="Y257">
            <v>1875000</v>
          </cell>
        </row>
        <row r="258">
          <cell r="A258" t="str">
            <v>ETLCUST-03943</v>
          </cell>
          <cell r="B258" t="str">
            <v>BRILLIANT COMPUTER TECHCHNOLOGY - BARGUNA</v>
          </cell>
          <cell r="C258" t="str">
            <v>Shah Imran</v>
          </cell>
          <cell r="D258" t="str">
            <v>South Bengal</v>
          </cell>
          <cell r="E258" t="str">
            <v>South Bengal</v>
          </cell>
          <cell r="S258">
            <v>0</v>
          </cell>
          <cell r="T258">
            <v>11000</v>
          </cell>
          <cell r="X258">
            <v>12000</v>
          </cell>
          <cell r="AM258">
            <v>68740</v>
          </cell>
          <cell r="AO258">
            <v>4625</v>
          </cell>
          <cell r="BA258">
            <v>42775</v>
          </cell>
        </row>
        <row r="259">
          <cell r="A259" t="str">
            <v>ETLCUST-04467</v>
          </cell>
          <cell r="B259" t="str">
            <v>BROAD BAND TELECOM SERVICES LIMITED</v>
          </cell>
          <cell r="C259" t="str">
            <v>Akter Hossen Nishan</v>
          </cell>
          <cell r="D259" t="str">
            <v>Corporate</v>
          </cell>
          <cell r="E259" t="str">
            <v>Corporate</v>
          </cell>
          <cell r="AA259">
            <v>120000</v>
          </cell>
        </row>
        <row r="260">
          <cell r="A260" t="str">
            <v>ETLCUST-03069</v>
          </cell>
          <cell r="B260" t="str">
            <v>BROTHERS COMPUTER - GULISTAN</v>
          </cell>
          <cell r="C260" t="str">
            <v>Noor Hossain</v>
          </cell>
          <cell r="D260" t="str">
            <v>Gulistan</v>
          </cell>
          <cell r="E260" t="str">
            <v>Gulistan</v>
          </cell>
          <cell r="T260">
            <v>575450</v>
          </cell>
          <cell r="X260">
            <v>6097600</v>
          </cell>
        </row>
        <row r="261">
          <cell r="A261" t="str">
            <v>ETLCUST-01479</v>
          </cell>
          <cell r="B261" t="str">
            <v>BROTHERS COMPUTER SYSTEM - BARISHAL</v>
          </cell>
          <cell r="C261" t="str">
            <v>Shah Imran</v>
          </cell>
          <cell r="D261" t="str">
            <v>South Bengal</v>
          </cell>
          <cell r="E261" t="str">
            <v>South Bengal</v>
          </cell>
          <cell r="L261">
            <v>29997</v>
          </cell>
          <cell r="R261">
            <v>71400</v>
          </cell>
          <cell r="S261">
            <v>0</v>
          </cell>
          <cell r="W261">
            <v>-2700</v>
          </cell>
          <cell r="X261">
            <v>645980</v>
          </cell>
          <cell r="AK261">
            <v>34000</v>
          </cell>
          <cell r="AL261">
            <v>59125</v>
          </cell>
          <cell r="AM261">
            <v>23540</v>
          </cell>
          <cell r="AO261">
            <v>55625</v>
          </cell>
          <cell r="AP261">
            <v>13500</v>
          </cell>
          <cell r="AT261">
            <v>5000</v>
          </cell>
          <cell r="BA261">
            <v>1687200</v>
          </cell>
        </row>
        <row r="262">
          <cell r="A262" t="str">
            <v>ETLCUST-00373</v>
          </cell>
          <cell r="B262" t="str">
            <v>BROTHERS ENTERPRISE - GULSHAN</v>
          </cell>
          <cell r="C262" t="str">
            <v>Jiku Saha</v>
          </cell>
          <cell r="D262" t="str">
            <v>Uttara</v>
          </cell>
          <cell r="E262" t="str">
            <v>Uttara</v>
          </cell>
          <cell r="I262">
            <v>396000</v>
          </cell>
          <cell r="P262">
            <v>102400</v>
          </cell>
          <cell r="R262">
            <v>26720</v>
          </cell>
          <cell r="S262">
            <v>0</v>
          </cell>
          <cell r="U262">
            <v>12400</v>
          </cell>
          <cell r="X262">
            <v>96200</v>
          </cell>
          <cell r="AF262">
            <v>15600</v>
          </cell>
          <cell r="AJ262">
            <v>937245</v>
          </cell>
          <cell r="AL262">
            <v>14575</v>
          </cell>
          <cell r="AO262">
            <v>450050</v>
          </cell>
          <cell r="AP262">
            <v>8300</v>
          </cell>
          <cell r="AR262">
            <v>83000</v>
          </cell>
          <cell r="AV262">
            <v>113500</v>
          </cell>
          <cell r="BA262">
            <v>5949295</v>
          </cell>
        </row>
        <row r="263">
          <cell r="A263" t="str">
            <v>ETLCUST-05372</v>
          </cell>
          <cell r="B263" t="str">
            <v>BROTHERS TECHNOLOGY SYSTEM - UTTARA</v>
          </cell>
          <cell r="C263" t="str">
            <v>Dulal Sarker</v>
          </cell>
          <cell r="D263" t="str">
            <v>Uttara</v>
          </cell>
          <cell r="E263" t="str">
            <v>Uttara</v>
          </cell>
          <cell r="X263">
            <v>192000</v>
          </cell>
        </row>
        <row r="264">
          <cell r="A264" t="str">
            <v>ETLCUST-03713</v>
          </cell>
          <cell r="B264" t="str">
            <v>BROTHERS TELECOM AND COMPUTER WORLD - MOULVIBAZAR</v>
          </cell>
          <cell r="C264" t="str">
            <v>Amit Das</v>
          </cell>
          <cell r="D264" t="str">
            <v>Sylhet</v>
          </cell>
          <cell r="E264" t="str">
            <v>Sylhet</v>
          </cell>
          <cell r="L264">
            <v>18499</v>
          </cell>
          <cell r="O264">
            <v>2750</v>
          </cell>
          <cell r="BA264">
            <v>129800</v>
          </cell>
        </row>
        <row r="265">
          <cell r="A265" t="str">
            <v>ETLCUST-02516</v>
          </cell>
          <cell r="B265" t="str">
            <v>BSRM STEELS LIMITED</v>
          </cell>
          <cell r="C265" t="str">
            <v>Sayed Golam Murtuza</v>
          </cell>
          <cell r="D265" t="str">
            <v>Corporate</v>
          </cell>
          <cell r="E265" t="str">
            <v>Corporate</v>
          </cell>
          <cell r="BA265">
            <v>13416</v>
          </cell>
        </row>
        <row r="266">
          <cell r="A266" t="str">
            <v>ETLCUST-03890</v>
          </cell>
          <cell r="B266" t="str">
            <v>BTC COMPUTER - FARIDPUR</v>
          </cell>
          <cell r="C266" t="str">
            <v>Hanif shek</v>
          </cell>
          <cell r="D266" t="str">
            <v>South Bengal</v>
          </cell>
          <cell r="E266" t="str">
            <v>South Bengal</v>
          </cell>
          <cell r="G266">
            <v>20000</v>
          </cell>
          <cell r="P266">
            <v>25600</v>
          </cell>
          <cell r="X266">
            <v>36200</v>
          </cell>
          <cell r="AQ266">
            <v>0</v>
          </cell>
          <cell r="BA266">
            <v>194600</v>
          </cell>
        </row>
        <row r="267">
          <cell r="A267" t="str">
            <v>ETLCUST-04626</v>
          </cell>
          <cell r="B267" t="str">
            <v>B-TRAC TECHNOLOGIES LTD. - BANANI</v>
          </cell>
          <cell r="C267" t="str">
            <v>Md. Abdus Satter</v>
          </cell>
          <cell r="D267" t="str">
            <v>HO-SI</v>
          </cell>
          <cell r="E267" t="str">
            <v>HO-SI</v>
          </cell>
          <cell r="P267">
            <v>144000</v>
          </cell>
          <cell r="R267">
            <v>560000</v>
          </cell>
          <cell r="AR267">
            <v>168000</v>
          </cell>
        </row>
        <row r="268">
          <cell r="A268" t="str">
            <v>ETLCUST-02622</v>
          </cell>
          <cell r="B268" t="str">
            <v>BTS COMMUNICATIONS (BD) LIMITED</v>
          </cell>
          <cell r="C268" t="str">
            <v>Abu Zahid Sobuj</v>
          </cell>
          <cell r="D268" t="str">
            <v>Corporate</v>
          </cell>
          <cell r="E268" t="str">
            <v>Corporate</v>
          </cell>
          <cell r="U268">
            <v>714000</v>
          </cell>
        </row>
        <row r="269">
          <cell r="A269" t="str">
            <v>ETLCUST-02052</v>
          </cell>
          <cell r="B269" t="str">
            <v>BURO BANGLADESH</v>
          </cell>
          <cell r="C269" t="str">
            <v>Samiran Chandra Biswas</v>
          </cell>
          <cell r="D269" t="str">
            <v>Corporate</v>
          </cell>
          <cell r="E269" t="str">
            <v>Corporate</v>
          </cell>
          <cell r="AV269">
            <v>336300</v>
          </cell>
        </row>
        <row r="270">
          <cell r="A270" t="str">
            <v>ETLCUST-05006</v>
          </cell>
          <cell r="B270" t="str">
            <v>C.P. BANGLADESH CO. LIMITED</v>
          </cell>
          <cell r="C270" t="str">
            <v>Md. Anisur Rahman</v>
          </cell>
          <cell r="D270" t="str">
            <v>Corporate</v>
          </cell>
          <cell r="E270" t="str">
            <v>Corporate</v>
          </cell>
          <cell r="R270">
            <v>181052</v>
          </cell>
          <cell r="S270">
            <v>0</v>
          </cell>
          <cell r="AT270">
            <v>85788.18</v>
          </cell>
        </row>
        <row r="271">
          <cell r="A271" t="str">
            <v>ETLCUST-03614</v>
          </cell>
          <cell r="B271" t="str">
            <v>CAMERA IT MUSEUM - FAKIRHAT</v>
          </cell>
          <cell r="C271" t="str">
            <v>Imrul Rayhan</v>
          </cell>
          <cell r="D271" t="str">
            <v>Khulna</v>
          </cell>
          <cell r="E271" t="str">
            <v>Khulna</v>
          </cell>
          <cell r="AZ271">
            <v>28500</v>
          </cell>
        </row>
        <row r="272">
          <cell r="A272" t="str">
            <v>ETLCUST-05275</v>
          </cell>
          <cell r="B272" t="str">
            <v>CAMERA SOLUTION - LALMONIRHAT</v>
          </cell>
          <cell r="C272" t="str">
            <v>Md. Arif Arman</v>
          </cell>
          <cell r="D272" t="str">
            <v>North Bengal</v>
          </cell>
          <cell r="E272" t="str">
            <v>North Bengal</v>
          </cell>
          <cell r="T272">
            <v>22700</v>
          </cell>
          <cell r="X272">
            <v>576400</v>
          </cell>
          <cell r="BA272">
            <v>24675</v>
          </cell>
        </row>
        <row r="273">
          <cell r="A273" t="str">
            <v>ETLCUST-05355</v>
          </cell>
          <cell r="B273" t="str">
            <v>CANTONMENT PUBLIC SCHOOL AND COLLEGE MOMENSHAHI (CPSCM)</v>
          </cell>
          <cell r="C273" t="str">
            <v>Sabbir Ahmed</v>
          </cell>
          <cell r="D273" t="str">
            <v>Corporate</v>
          </cell>
          <cell r="E273" t="str">
            <v>Corporate</v>
          </cell>
          <cell r="S273">
            <v>0</v>
          </cell>
          <cell r="AK273">
            <v>22500</v>
          </cell>
          <cell r="AS273">
            <v>360000</v>
          </cell>
        </row>
        <row r="274">
          <cell r="A274" t="str">
            <v>ETLCUST-03029</v>
          </cell>
          <cell r="B274" t="str">
            <v>CANVAS COMPUTER - SHARIATPUR</v>
          </cell>
          <cell r="C274" t="str">
            <v>Hanif shek</v>
          </cell>
          <cell r="D274" t="str">
            <v>South Bengal</v>
          </cell>
          <cell r="E274" t="str">
            <v>South Bengal</v>
          </cell>
          <cell r="G274">
            <v>212000</v>
          </cell>
          <cell r="O274">
            <v>37400</v>
          </cell>
          <cell r="P274">
            <v>33500</v>
          </cell>
          <cell r="R274">
            <v>41000</v>
          </cell>
          <cell r="AK274">
            <v>40800</v>
          </cell>
        </row>
        <row r="275">
          <cell r="A275" t="str">
            <v>ETLCUST-04991</v>
          </cell>
          <cell r="B275" t="str">
            <v>CANVAS IT - E. ROAD</v>
          </cell>
          <cell r="C275" t="str">
            <v>Mohammad Mostofa</v>
          </cell>
          <cell r="D275" t="str">
            <v>Multiplan</v>
          </cell>
          <cell r="E275" t="str">
            <v>Multiplan</v>
          </cell>
          <cell r="U275">
            <v>11300</v>
          </cell>
          <cell r="Y275">
            <v>265000</v>
          </cell>
        </row>
        <row r="276">
          <cell r="A276" t="str">
            <v>ETLCUST-03006</v>
          </cell>
          <cell r="B276" t="str">
            <v>CARE IT - RANGPUR</v>
          </cell>
          <cell r="C276" t="str">
            <v>Md Abdullah Al Mamun</v>
          </cell>
          <cell r="D276" t="str">
            <v>North Bengal</v>
          </cell>
          <cell r="E276" t="str">
            <v>North Bengal</v>
          </cell>
          <cell r="X276">
            <v>12200</v>
          </cell>
          <cell r="AL276">
            <v>46120</v>
          </cell>
          <cell r="AZ276">
            <v>135000</v>
          </cell>
        </row>
        <row r="277">
          <cell r="A277" t="str">
            <v>ETLCUST-05011</v>
          </cell>
          <cell r="B277" t="str">
            <v>CARE POINT - CTG</v>
          </cell>
          <cell r="C277" t="str">
            <v>Shahidul Alam Chowdhury</v>
          </cell>
          <cell r="D277" t="str">
            <v>CTG</v>
          </cell>
          <cell r="E277" t="str">
            <v>CTG</v>
          </cell>
          <cell r="X277">
            <v>37500</v>
          </cell>
        </row>
        <row r="278">
          <cell r="A278" t="str">
            <v>ETLCUST-05028</v>
          </cell>
          <cell r="B278" t="str">
            <v>CARTUP LIMITED</v>
          </cell>
          <cell r="C278" t="str">
            <v>Md. Ismail Hossen</v>
          </cell>
          <cell r="D278" t="str">
            <v>Ecommerce</v>
          </cell>
          <cell r="E278" t="str">
            <v>Ecommerce</v>
          </cell>
          <cell r="T278">
            <v>156330</v>
          </cell>
          <cell r="V278">
            <v>13250</v>
          </cell>
          <cell r="X278">
            <v>56500</v>
          </cell>
          <cell r="AL278">
            <v>33810</v>
          </cell>
          <cell r="AM278">
            <v>2592910</v>
          </cell>
          <cell r="AO278">
            <v>14065</v>
          </cell>
          <cell r="BA278">
            <v>4272490</v>
          </cell>
        </row>
        <row r="279">
          <cell r="A279" t="str">
            <v>ETLCUST-04250</v>
          </cell>
          <cell r="B279" t="str">
            <v>CASH CUSHTOMER - MONIRUZZAMAN (MASHUM)</v>
          </cell>
          <cell r="C279" t="str">
            <v>Md Moniruzzaman Masum</v>
          </cell>
          <cell r="D279" t="str">
            <v>Rajshahi</v>
          </cell>
          <cell r="E279" t="str">
            <v>Rajshahi</v>
          </cell>
          <cell r="L279">
            <v>13000</v>
          </cell>
          <cell r="P279">
            <v>6500</v>
          </cell>
          <cell r="R279">
            <v>38560</v>
          </cell>
          <cell r="T279">
            <v>8850</v>
          </cell>
          <cell r="U279">
            <v>7700</v>
          </cell>
          <cell r="Z279">
            <v>31000</v>
          </cell>
          <cell r="AJ279">
            <v>3700</v>
          </cell>
          <cell r="AK279">
            <v>25000</v>
          </cell>
          <cell r="AL279">
            <v>19500</v>
          </cell>
          <cell r="AM279">
            <v>2200</v>
          </cell>
          <cell r="AO279">
            <v>10875</v>
          </cell>
          <cell r="AZ279">
            <v>7820</v>
          </cell>
          <cell r="BA279">
            <v>39205</v>
          </cell>
        </row>
        <row r="280">
          <cell r="A280" t="str">
            <v>ETLCUST-04218</v>
          </cell>
          <cell r="B280" t="str">
            <v>CASH CUSTOMER - AKRAM RASHID</v>
          </cell>
          <cell r="C280" t="str">
            <v>Md. Akram Rashid</v>
          </cell>
          <cell r="D280" t="str">
            <v>Motijheel</v>
          </cell>
          <cell r="E280" t="str">
            <v>Motijheel</v>
          </cell>
          <cell r="V280">
            <v>15000</v>
          </cell>
          <cell r="AD280">
            <v>22000</v>
          </cell>
        </row>
        <row r="281">
          <cell r="A281" t="str">
            <v>ETLCUST-04694</v>
          </cell>
          <cell r="B281" t="str">
            <v>CASH CUSTOMER - AMIT SARKER</v>
          </cell>
          <cell r="C281" t="str">
            <v>Amit Sarker</v>
          </cell>
          <cell r="D281" t="str">
            <v>IDB</v>
          </cell>
          <cell r="E281" t="str">
            <v>IDB</v>
          </cell>
          <cell r="U281">
            <v>34120</v>
          </cell>
          <cell r="X281">
            <v>850</v>
          </cell>
          <cell r="AD281">
            <v>21000</v>
          </cell>
          <cell r="AF281">
            <v>65000</v>
          </cell>
          <cell r="AK281">
            <v>36000</v>
          </cell>
          <cell r="AM281">
            <v>8000</v>
          </cell>
          <cell r="AO281">
            <v>3168</v>
          </cell>
          <cell r="AP281">
            <v>27500</v>
          </cell>
          <cell r="AR281">
            <v>71250</v>
          </cell>
          <cell r="AV281">
            <v>15000</v>
          </cell>
          <cell r="BA281">
            <v>61070</v>
          </cell>
        </row>
        <row r="282">
          <cell r="A282" t="str">
            <v>ETLCUST-02607</v>
          </cell>
          <cell r="B282" t="str">
            <v>CASH CUSTOMER - ANISUZZAMAN KHAN</v>
          </cell>
          <cell r="C282" t="str">
            <v>Juel Mia</v>
          </cell>
          <cell r="D282" t="str">
            <v>Management</v>
          </cell>
          <cell r="E282" t="str">
            <v>Management</v>
          </cell>
          <cell r="T282">
            <v>4300</v>
          </cell>
          <cell r="Y282">
            <v>935000</v>
          </cell>
          <cell r="AK282">
            <v>45000</v>
          </cell>
        </row>
        <row r="283">
          <cell r="A283" t="str">
            <v>ETLCUST-02054</v>
          </cell>
          <cell r="B283" t="str">
            <v>CASH CUSTOMER - CORP</v>
          </cell>
          <cell r="C283" t="str">
            <v>Ranjan Kumer Roy</v>
          </cell>
          <cell r="D283" t="str">
            <v>Corporate</v>
          </cell>
          <cell r="E283" t="str">
            <v>Corporate</v>
          </cell>
          <cell r="F283">
            <v>212000</v>
          </cell>
          <cell r="G283">
            <v>97500</v>
          </cell>
          <cell r="H283">
            <v>193400</v>
          </cell>
          <cell r="I283">
            <v>44000</v>
          </cell>
          <cell r="J283">
            <v>1000</v>
          </cell>
          <cell r="M283">
            <v>56000</v>
          </cell>
          <cell r="P283">
            <v>309200</v>
          </cell>
          <cell r="R283">
            <v>233210</v>
          </cell>
          <cell r="S283">
            <v>90000</v>
          </cell>
          <cell r="T283">
            <v>22400</v>
          </cell>
          <cell r="U283">
            <v>5923680</v>
          </cell>
          <cell r="V283">
            <v>14150</v>
          </cell>
          <cell r="X283">
            <v>809700</v>
          </cell>
          <cell r="Y283">
            <v>3381000</v>
          </cell>
          <cell r="AA283">
            <v>196500</v>
          </cell>
          <cell r="AD283">
            <v>1136700</v>
          </cell>
          <cell r="AF283">
            <v>247000</v>
          </cell>
          <cell r="AJ283">
            <v>675300</v>
          </cell>
          <cell r="AK283">
            <v>0</v>
          </cell>
          <cell r="AL283">
            <v>341990</v>
          </cell>
          <cell r="AM283">
            <v>38250</v>
          </cell>
          <cell r="AO283">
            <v>19600</v>
          </cell>
          <cell r="AP283">
            <v>24100</v>
          </cell>
          <cell r="AR283">
            <v>632800</v>
          </cell>
          <cell r="AT283">
            <v>31750</v>
          </cell>
          <cell r="AV283">
            <v>850200</v>
          </cell>
          <cell r="AY283">
            <v>46100</v>
          </cell>
          <cell r="AZ283">
            <v>6700</v>
          </cell>
          <cell r="BA283">
            <v>160045</v>
          </cell>
        </row>
        <row r="284">
          <cell r="A284" t="str">
            <v>ETLCUST-01519</v>
          </cell>
          <cell r="B284" t="str">
            <v>CASH CUSTOMER - CTG</v>
          </cell>
          <cell r="C284" t="str">
            <v>Shahidul Alam Chowdhury</v>
          </cell>
          <cell r="D284" t="str">
            <v>CTG</v>
          </cell>
          <cell r="E284" t="str">
            <v>CTG</v>
          </cell>
          <cell r="J284">
            <v>660</v>
          </cell>
        </row>
        <row r="285">
          <cell r="A285" t="str">
            <v>ETLCUST-04695</v>
          </cell>
          <cell r="B285" t="str">
            <v>CASH CUSTOMER - FAJLE RABBI</v>
          </cell>
          <cell r="C285" t="str">
            <v>Fajle Rabbi</v>
          </cell>
          <cell r="D285" t="str">
            <v>IDB</v>
          </cell>
          <cell r="E285" t="str">
            <v>IDB</v>
          </cell>
          <cell r="G285">
            <v>1100</v>
          </cell>
          <cell r="R285">
            <v>217500</v>
          </cell>
          <cell r="S285">
            <v>0</v>
          </cell>
          <cell r="T285">
            <v>5200</v>
          </cell>
          <cell r="U285">
            <v>146220</v>
          </cell>
          <cell r="Y285">
            <v>755000</v>
          </cell>
          <cell r="AD285">
            <v>65000</v>
          </cell>
          <cell r="AF285">
            <v>84500</v>
          </cell>
          <cell r="AJ285">
            <v>112300</v>
          </cell>
          <cell r="AK285">
            <v>73500</v>
          </cell>
          <cell r="AL285">
            <v>1325</v>
          </cell>
          <cell r="AM285">
            <v>4425</v>
          </cell>
          <cell r="AO285">
            <v>600</v>
          </cell>
          <cell r="AR285">
            <v>690900</v>
          </cell>
          <cell r="AV285">
            <v>63100</v>
          </cell>
          <cell r="AZ285">
            <v>1600</v>
          </cell>
          <cell r="BA285">
            <v>43325</v>
          </cell>
        </row>
        <row r="286">
          <cell r="A286" t="str">
            <v>ETLCUST-02653</v>
          </cell>
          <cell r="B286" t="str">
            <v>CASH CUSTOMER - GAJI PARVIN NESA</v>
          </cell>
          <cell r="C286" t="str">
            <v>Gaji Parvin Nesa</v>
          </cell>
          <cell r="D286" t="str">
            <v>IDB</v>
          </cell>
          <cell r="E286" t="str">
            <v>IDB</v>
          </cell>
          <cell r="F286">
            <v>120000</v>
          </cell>
          <cell r="I286">
            <v>204000</v>
          </cell>
          <cell r="M286">
            <v>19100</v>
          </cell>
          <cell r="P286">
            <v>144000</v>
          </cell>
          <cell r="R286">
            <v>170080</v>
          </cell>
          <cell r="S286">
            <v>0</v>
          </cell>
          <cell r="T286">
            <v>14200</v>
          </cell>
          <cell r="U286">
            <v>230020</v>
          </cell>
          <cell r="V286">
            <v>10000</v>
          </cell>
          <cell r="X286">
            <v>36500</v>
          </cell>
          <cell r="AD286">
            <v>141500</v>
          </cell>
          <cell r="AF286">
            <v>18000</v>
          </cell>
          <cell r="AJ286">
            <v>78070</v>
          </cell>
          <cell r="AK286">
            <v>41990</v>
          </cell>
          <cell r="AL286">
            <v>1325</v>
          </cell>
          <cell r="AM286">
            <v>26250</v>
          </cell>
          <cell r="AN286">
            <v>30000</v>
          </cell>
          <cell r="AO286">
            <v>3800</v>
          </cell>
          <cell r="AP286">
            <v>175500</v>
          </cell>
          <cell r="AR286">
            <v>170000</v>
          </cell>
          <cell r="AT286">
            <v>30150</v>
          </cell>
          <cell r="AV286">
            <v>126800</v>
          </cell>
          <cell r="AZ286">
            <v>4950</v>
          </cell>
          <cell r="BA286">
            <v>103910</v>
          </cell>
        </row>
        <row r="287">
          <cell r="A287" t="str">
            <v>ETLCUST-02889</v>
          </cell>
          <cell r="B287" t="str">
            <v>CASH CUSTOMER - JANE ALAM BHUIYAN</v>
          </cell>
          <cell r="C287" t="str">
            <v>Jane Alam Bhuiyan</v>
          </cell>
          <cell r="D287" t="str">
            <v>Sylhet</v>
          </cell>
          <cell r="E287" t="str">
            <v>Sylhet</v>
          </cell>
          <cell r="R287">
            <v>1100</v>
          </cell>
          <cell r="S287">
            <v>0</v>
          </cell>
          <cell r="U287">
            <v>3750</v>
          </cell>
          <cell r="AL287">
            <v>1990</v>
          </cell>
          <cell r="AQ287">
            <v>0</v>
          </cell>
          <cell r="AT287">
            <v>0</v>
          </cell>
          <cell r="BA287">
            <v>3940</v>
          </cell>
        </row>
        <row r="288">
          <cell r="A288" t="str">
            <v>ETLCUST-02814</v>
          </cell>
          <cell r="B288" t="str">
            <v>CASH CUSTOMER - JUEL MIA</v>
          </cell>
          <cell r="C288" t="str">
            <v>Juel Mia</v>
          </cell>
          <cell r="D288" t="str">
            <v>Management</v>
          </cell>
          <cell r="E288" t="str">
            <v>Management</v>
          </cell>
          <cell r="R288">
            <v>23000</v>
          </cell>
          <cell r="AJ288">
            <v>0</v>
          </cell>
          <cell r="AL288">
            <v>1590</v>
          </cell>
          <cell r="AO288">
            <v>600</v>
          </cell>
          <cell r="AS288">
            <v>0</v>
          </cell>
          <cell r="AT288">
            <v>43200</v>
          </cell>
        </row>
        <row r="289">
          <cell r="A289" t="str">
            <v>ETLCUST-02846</v>
          </cell>
          <cell r="B289" t="str">
            <v>CASH CUSTOMER - MD ABDULLAH AL MAMUN</v>
          </cell>
          <cell r="C289" t="str">
            <v>Md Abdullah Al Mamun</v>
          </cell>
          <cell r="D289" t="str">
            <v>North Bengal</v>
          </cell>
          <cell r="E289" t="str">
            <v>North Bengal</v>
          </cell>
          <cell r="X289">
            <v>3800</v>
          </cell>
          <cell r="AK289">
            <v>34500</v>
          </cell>
          <cell r="AZ289">
            <v>1600</v>
          </cell>
        </row>
        <row r="290">
          <cell r="A290" t="str">
            <v>ETLCUST-04299</v>
          </cell>
          <cell r="B290" t="str">
            <v>CASH CUSTOMER - MD NUR KARIM CHOWDHURY</v>
          </cell>
          <cell r="C290" t="str">
            <v>Md Nur Karim Chowdhury</v>
          </cell>
          <cell r="D290" t="str">
            <v>Multiplan</v>
          </cell>
          <cell r="E290" t="str">
            <v>Multiplan</v>
          </cell>
          <cell r="H290">
            <v>342000</v>
          </cell>
          <cell r="I290">
            <v>17100</v>
          </cell>
          <cell r="P290">
            <v>3200</v>
          </cell>
          <cell r="R290">
            <v>37520</v>
          </cell>
          <cell r="U290">
            <v>439680</v>
          </cell>
          <cell r="Y290">
            <v>15000</v>
          </cell>
          <cell r="AK290">
            <v>17500</v>
          </cell>
          <cell r="AP290">
            <v>42700</v>
          </cell>
          <cell r="AT290">
            <v>4800</v>
          </cell>
          <cell r="AV290">
            <v>187400</v>
          </cell>
          <cell r="BA290">
            <v>3300</v>
          </cell>
        </row>
        <row r="291">
          <cell r="A291" t="str">
            <v>ETLCUST-02688</v>
          </cell>
          <cell r="B291" t="str">
            <v>CASH CUSTOMER - MD RABIUL ISLAM</v>
          </cell>
          <cell r="C291" t="str">
            <v>Md Rabiul Islam</v>
          </cell>
          <cell r="D291" t="str">
            <v>Multiplan</v>
          </cell>
          <cell r="E291" t="str">
            <v>Multiplan</v>
          </cell>
        </row>
        <row r="292">
          <cell r="A292" t="str">
            <v>ETLCUST-02932</v>
          </cell>
          <cell r="B292" t="str">
            <v>CASH CUSTOMER - MD SHAHIDUL ISLAM</v>
          </cell>
          <cell r="C292" t="str">
            <v>Md Shahidul Islam</v>
          </cell>
          <cell r="D292" t="str">
            <v>North Bengal</v>
          </cell>
          <cell r="E292" t="str">
            <v>North Bengal</v>
          </cell>
          <cell r="AD292">
            <v>135000</v>
          </cell>
          <cell r="AK292">
            <v>30400</v>
          </cell>
          <cell r="AR292">
            <v>23500</v>
          </cell>
          <cell r="AS292">
            <v>74000</v>
          </cell>
        </row>
        <row r="293">
          <cell r="A293" t="str">
            <v>ETLCUST-04298</v>
          </cell>
          <cell r="B293" t="str">
            <v>CASH CUSTOMER - MD. ANAMUL HOQUE</v>
          </cell>
          <cell r="C293" t="str">
            <v>Md. Anamul Hoque</v>
          </cell>
          <cell r="D293" t="str">
            <v>Multiplan</v>
          </cell>
          <cell r="E293" t="str">
            <v>Multiplan</v>
          </cell>
          <cell r="O293">
            <v>900</v>
          </cell>
          <cell r="P293">
            <v>33000</v>
          </cell>
          <cell r="R293">
            <v>95220</v>
          </cell>
          <cell r="T293">
            <v>11420</v>
          </cell>
          <cell r="U293">
            <v>51700</v>
          </cell>
          <cell r="AJ293">
            <v>1120</v>
          </cell>
          <cell r="AK293">
            <v>19400</v>
          </cell>
          <cell r="AL293">
            <v>2950</v>
          </cell>
          <cell r="AO293">
            <v>6475</v>
          </cell>
          <cell r="AT293">
            <v>24300</v>
          </cell>
          <cell r="AV293">
            <v>34600</v>
          </cell>
          <cell r="AZ293">
            <v>40650</v>
          </cell>
        </row>
        <row r="294">
          <cell r="A294" t="str">
            <v>ETLCUST-03732</v>
          </cell>
          <cell r="B294" t="str">
            <v>CASH CUSTOMER - MD. RONY AHMED</v>
          </cell>
          <cell r="C294" t="str">
            <v>Md. Rony Ahmed</v>
          </cell>
          <cell r="D294" t="str">
            <v>DHB</v>
          </cell>
          <cell r="E294" t="str">
            <v>DHB</v>
          </cell>
          <cell r="S294">
            <v>0</v>
          </cell>
          <cell r="X294">
            <v>26000</v>
          </cell>
          <cell r="AK294">
            <v>33600</v>
          </cell>
          <cell r="AO294">
            <v>3800</v>
          </cell>
        </row>
        <row r="295">
          <cell r="A295" t="str">
            <v>ETLCUST-03607</v>
          </cell>
          <cell r="B295" t="str">
            <v>CASH CUSTOMER - MD. WAHIDUL ISLAM</v>
          </cell>
          <cell r="C295" t="str">
            <v>Juel Mia</v>
          </cell>
          <cell r="D295" t="str">
            <v>Management</v>
          </cell>
          <cell r="E295" t="str">
            <v>Management</v>
          </cell>
          <cell r="T295">
            <v>2900</v>
          </cell>
          <cell r="AK295">
            <v>13000</v>
          </cell>
          <cell r="BA295">
            <v>44200</v>
          </cell>
        </row>
        <row r="296">
          <cell r="A296" t="str">
            <v>ETLCUST-03668</v>
          </cell>
          <cell r="B296" t="str">
            <v>CASH CUSTOMER - MOHAMMAD MOSTOFA</v>
          </cell>
          <cell r="C296" t="str">
            <v>Mohammad Mostofa</v>
          </cell>
          <cell r="D296" t="str">
            <v>Multiplan</v>
          </cell>
          <cell r="E296" t="str">
            <v>Multiplan</v>
          </cell>
          <cell r="R296">
            <v>46640</v>
          </cell>
          <cell r="U296">
            <v>600690</v>
          </cell>
          <cell r="X296">
            <v>12200</v>
          </cell>
          <cell r="AA296">
            <v>16500</v>
          </cell>
          <cell r="AF296">
            <v>17000</v>
          </cell>
          <cell r="AK296">
            <v>26000</v>
          </cell>
          <cell r="AL296">
            <v>3100</v>
          </cell>
          <cell r="AT296">
            <v>98750</v>
          </cell>
          <cell r="AZ296">
            <v>8500</v>
          </cell>
          <cell r="BA296">
            <v>8000</v>
          </cell>
        </row>
        <row r="297">
          <cell r="A297" t="str">
            <v>ETLCUST-03733</v>
          </cell>
          <cell r="B297" t="str">
            <v>CASH CUSTOMER - MOHOTASIM RANA</v>
          </cell>
          <cell r="C297" t="str">
            <v>Mohotasim Rana</v>
          </cell>
          <cell r="D297" t="str">
            <v>DHB</v>
          </cell>
          <cell r="E297" t="str">
            <v>DHB</v>
          </cell>
          <cell r="AK297">
            <v>12500</v>
          </cell>
        </row>
        <row r="298">
          <cell r="A298" t="str">
            <v>ETLCUST-02624</v>
          </cell>
          <cell r="B298" t="str">
            <v>CASH CUSTOMER - MOKSHED ALI</v>
          </cell>
          <cell r="C298" t="str">
            <v>Md Mokshed Ali</v>
          </cell>
          <cell r="D298" t="str">
            <v>Multiplan</v>
          </cell>
          <cell r="E298" t="str">
            <v>Multiplan</v>
          </cell>
          <cell r="H298">
            <v>109000</v>
          </cell>
          <cell r="I298">
            <v>67800</v>
          </cell>
          <cell r="R298">
            <v>246540</v>
          </cell>
          <cell r="T298">
            <v>380</v>
          </cell>
          <cell r="U298">
            <v>546250</v>
          </cell>
          <cell r="AA298">
            <v>111500</v>
          </cell>
          <cell r="AD298">
            <v>656900</v>
          </cell>
          <cell r="AF298">
            <v>37800</v>
          </cell>
          <cell r="AO298">
            <v>6700</v>
          </cell>
          <cell r="AT298">
            <v>19000</v>
          </cell>
          <cell r="AV298">
            <v>167000</v>
          </cell>
          <cell r="BA298">
            <v>32700</v>
          </cell>
        </row>
        <row r="299">
          <cell r="A299" t="str">
            <v>ETLCUST-04808</v>
          </cell>
          <cell r="B299" t="str">
            <v>CASH CUSTOMER - NILOY GHOSH</v>
          </cell>
          <cell r="C299" t="str">
            <v>Niloy Ghosh</v>
          </cell>
          <cell r="D299" t="str">
            <v>DHK-EXT</v>
          </cell>
          <cell r="E299" t="str">
            <v>DHK-EXT</v>
          </cell>
          <cell r="U299">
            <v>53000</v>
          </cell>
          <cell r="Y299">
            <v>247000</v>
          </cell>
        </row>
        <row r="300">
          <cell r="A300" t="str">
            <v>ETLCUST-04715</v>
          </cell>
          <cell r="B300" t="str">
            <v>Cash Customer - Pran Krishna Gosh</v>
          </cell>
          <cell r="C300" t="str">
            <v>Pran Krishna Gosh</v>
          </cell>
          <cell r="D300" t="str">
            <v>Multiplan</v>
          </cell>
          <cell r="E300" t="str">
            <v>Multiplan</v>
          </cell>
          <cell r="H300">
            <v>24000</v>
          </cell>
          <cell r="U300">
            <v>15000</v>
          </cell>
        </row>
        <row r="301">
          <cell r="A301" t="str">
            <v>ETLCUST-02690</v>
          </cell>
          <cell r="B301" t="str">
            <v>CASH CUSTOMER - SHAHIDUL ALAM CHOWDHURY</v>
          </cell>
          <cell r="C301" t="str">
            <v>Shahidul Alam Chowdhury</v>
          </cell>
          <cell r="D301" t="str">
            <v>CTG</v>
          </cell>
          <cell r="E301" t="str">
            <v>CTG</v>
          </cell>
          <cell r="H301">
            <v>32000</v>
          </cell>
          <cell r="P301">
            <v>6400</v>
          </cell>
          <cell r="R301">
            <v>298100</v>
          </cell>
          <cell r="T301">
            <v>25000</v>
          </cell>
          <cell r="U301">
            <v>99950</v>
          </cell>
          <cell r="V301">
            <v>10700</v>
          </cell>
          <cell r="X301">
            <v>36500</v>
          </cell>
          <cell r="AJ301">
            <v>9490</v>
          </cell>
          <cell r="AK301">
            <v>25500</v>
          </cell>
          <cell r="AM301">
            <v>10000</v>
          </cell>
          <cell r="AO301">
            <v>1425</v>
          </cell>
          <cell r="AQ301">
            <v>0</v>
          </cell>
          <cell r="AR301">
            <v>34250</v>
          </cell>
          <cell r="AV301">
            <v>66800</v>
          </cell>
          <cell r="AZ301">
            <v>9900</v>
          </cell>
          <cell r="BA301">
            <v>208505</v>
          </cell>
        </row>
        <row r="302">
          <cell r="A302" t="str">
            <v>ETLCUST-03677</v>
          </cell>
          <cell r="B302" t="str">
            <v xml:space="preserve">CASH CUSTOMER - SHAMIM MIAH </v>
          </cell>
          <cell r="C302" t="str">
            <v>Md Shamim Miah</v>
          </cell>
          <cell r="D302" t="str">
            <v>DHB</v>
          </cell>
          <cell r="E302" t="str">
            <v>DHB</v>
          </cell>
          <cell r="R302">
            <v>9000</v>
          </cell>
          <cell r="AK302">
            <v>70000</v>
          </cell>
          <cell r="AP302">
            <v>32000</v>
          </cell>
          <cell r="AV302">
            <v>16200</v>
          </cell>
        </row>
        <row r="303">
          <cell r="A303" t="str">
            <v>ETLCUST-00105</v>
          </cell>
          <cell r="B303" t="str">
            <v>CASH CUSTOMER - UTTARA</v>
          </cell>
          <cell r="C303" t="str">
            <v>Dulal Sarker</v>
          </cell>
          <cell r="D303" t="str">
            <v>Uttara</v>
          </cell>
          <cell r="E303" t="str">
            <v>Uttara</v>
          </cell>
          <cell r="G303">
            <v>9000</v>
          </cell>
          <cell r="P303">
            <v>38700</v>
          </cell>
          <cell r="R303">
            <v>57500</v>
          </cell>
          <cell r="S303">
            <v>0</v>
          </cell>
          <cell r="T303">
            <v>4700</v>
          </cell>
          <cell r="U303">
            <v>443270</v>
          </cell>
          <cell r="X303">
            <v>124100</v>
          </cell>
          <cell r="AK303">
            <v>16000</v>
          </cell>
          <cell r="AL303">
            <v>3090</v>
          </cell>
          <cell r="AM303">
            <v>2000</v>
          </cell>
          <cell r="AP303">
            <v>11500</v>
          </cell>
          <cell r="AR303">
            <v>32500</v>
          </cell>
          <cell r="AT303">
            <v>72000</v>
          </cell>
          <cell r="AV303">
            <v>410100</v>
          </cell>
          <cell r="BA303">
            <v>50215</v>
          </cell>
        </row>
        <row r="304">
          <cell r="A304" t="str">
            <v>ETLCUST-04460</v>
          </cell>
          <cell r="B304" t="str">
            <v>CASH CUSTOMER - ZAKIR HOSSAIN</v>
          </cell>
          <cell r="C304" t="str">
            <v>Zakir Hossain</v>
          </cell>
          <cell r="D304" t="str">
            <v>Motijheel</v>
          </cell>
          <cell r="E304" t="str">
            <v>Motijheel</v>
          </cell>
          <cell r="G304">
            <v>10600</v>
          </cell>
          <cell r="H304">
            <v>65000</v>
          </cell>
          <cell r="I304">
            <v>559900</v>
          </cell>
          <cell r="Q304">
            <v>750000</v>
          </cell>
          <cell r="R304">
            <v>76000</v>
          </cell>
          <cell r="U304">
            <v>160620</v>
          </cell>
          <cell r="Y304">
            <v>180000</v>
          </cell>
          <cell r="AA304">
            <v>25200</v>
          </cell>
          <cell r="AD304">
            <v>57800</v>
          </cell>
          <cell r="AJ304">
            <v>0</v>
          </cell>
          <cell r="AK304">
            <v>95000</v>
          </cell>
          <cell r="AR304">
            <v>3300</v>
          </cell>
          <cell r="AT304">
            <v>42700</v>
          </cell>
          <cell r="AV304">
            <v>527550</v>
          </cell>
          <cell r="AY304">
            <v>4500</v>
          </cell>
        </row>
        <row r="305">
          <cell r="A305" t="str">
            <v>ETLCUST-05259</v>
          </cell>
          <cell r="B305" t="str">
            <v>CC CAMERA BAZAR - MAGURA</v>
          </cell>
          <cell r="C305" t="str">
            <v>Md Rakibul Islam</v>
          </cell>
          <cell r="D305" t="str">
            <v>South Bengal</v>
          </cell>
          <cell r="E305" t="str">
            <v>South Bengal</v>
          </cell>
          <cell r="X305">
            <v>318975</v>
          </cell>
        </row>
        <row r="306">
          <cell r="A306" t="str">
            <v>ETLCUST-00165</v>
          </cell>
          <cell r="B306" t="str">
            <v>CDS IT LTD - IDB</v>
          </cell>
          <cell r="C306" t="str">
            <v>Gaji Parvin Nesa</v>
          </cell>
          <cell r="D306" t="str">
            <v>IDB</v>
          </cell>
          <cell r="E306" t="str">
            <v>IDB</v>
          </cell>
          <cell r="S306">
            <v>0</v>
          </cell>
          <cell r="U306">
            <v>7500</v>
          </cell>
          <cell r="AR306">
            <v>4700</v>
          </cell>
          <cell r="AS306">
            <v>270000</v>
          </cell>
        </row>
        <row r="307">
          <cell r="A307" t="str">
            <v>ETLCUST-00794</v>
          </cell>
          <cell r="B307" t="str">
            <v>CELL COMPUTERS - RAJSHAHI</v>
          </cell>
          <cell r="C307" t="str">
            <v>Ahmed Bulbul</v>
          </cell>
          <cell r="D307" t="str">
            <v>Rajshahi</v>
          </cell>
          <cell r="E307" t="str">
            <v>Rajshahi</v>
          </cell>
          <cell r="G307">
            <v>102000</v>
          </cell>
          <cell r="R307">
            <v>948200</v>
          </cell>
          <cell r="T307">
            <v>6600</v>
          </cell>
          <cell r="V307">
            <v>9500</v>
          </cell>
          <cell r="Y307">
            <v>250500</v>
          </cell>
          <cell r="AJ307">
            <v>143100</v>
          </cell>
          <cell r="AL307">
            <v>11930</v>
          </cell>
          <cell r="AM307">
            <v>89215</v>
          </cell>
          <cell r="AQ307">
            <v>0</v>
          </cell>
          <cell r="AR307">
            <v>66900</v>
          </cell>
          <cell r="AV307">
            <v>15000</v>
          </cell>
          <cell r="BA307">
            <v>533000</v>
          </cell>
        </row>
        <row r="308">
          <cell r="A308" t="str">
            <v>ETLCUST-00860</v>
          </cell>
          <cell r="B308" t="str">
            <v>CENTURY COMPUTERS - MULTIPLAN</v>
          </cell>
          <cell r="C308" t="str">
            <v>Mohammad Mostofa</v>
          </cell>
          <cell r="D308" t="str">
            <v>Multiplan</v>
          </cell>
          <cell r="E308" t="str">
            <v>Multiplan</v>
          </cell>
          <cell r="U308">
            <v>144600</v>
          </cell>
          <cell r="AA308">
            <v>102000</v>
          </cell>
          <cell r="AL308">
            <v>22000</v>
          </cell>
          <cell r="AO308">
            <v>360125</v>
          </cell>
        </row>
        <row r="309">
          <cell r="A309" t="str">
            <v>ETLCUST-00696</v>
          </cell>
          <cell r="B309" t="str">
            <v>CHAINA PHOTOGRAPY - KHULNA</v>
          </cell>
          <cell r="C309" t="str">
            <v>Saidur Rahman Khokan</v>
          </cell>
          <cell r="D309" t="str">
            <v>Khulna</v>
          </cell>
          <cell r="E309" t="str">
            <v>Khulna</v>
          </cell>
          <cell r="R309">
            <v>35000</v>
          </cell>
        </row>
        <row r="310">
          <cell r="A310" t="str">
            <v>ETLCUST-04879</v>
          </cell>
          <cell r="B310" t="str">
            <v>CHATTAGRAM MAA-SHISHU O GENERAL HOSPITAL</v>
          </cell>
          <cell r="C310" t="str">
            <v>Akter Hossen Nishan</v>
          </cell>
          <cell r="D310" t="str">
            <v>Corporate</v>
          </cell>
          <cell r="E310" t="str">
            <v>Corporate</v>
          </cell>
          <cell r="R310">
            <v>771580.28000000026</v>
          </cell>
        </row>
        <row r="311">
          <cell r="A311" t="str">
            <v>ETLCUST-00265</v>
          </cell>
          <cell r="B311" t="str">
            <v>CHIEF TECHNOLOGY - SYLHET</v>
          </cell>
          <cell r="C311" t="str">
            <v>Kunjaraj Singha</v>
          </cell>
          <cell r="D311" t="str">
            <v>Sylhet</v>
          </cell>
          <cell r="E311" t="str">
            <v>Sylhet</v>
          </cell>
          <cell r="R311">
            <v>22500</v>
          </cell>
          <cell r="AL311">
            <v>98750</v>
          </cell>
          <cell r="BA311">
            <v>175200</v>
          </cell>
        </row>
        <row r="312">
          <cell r="A312" t="str">
            <v>ETLCUST-05052</v>
          </cell>
          <cell r="B312" t="str">
            <v xml:space="preserve">CHINA BAZAR - FENI </v>
          </cell>
          <cell r="C312" t="str">
            <v>Reazuddin</v>
          </cell>
          <cell r="D312" t="str">
            <v>CTG</v>
          </cell>
          <cell r="E312" t="str">
            <v>CTG</v>
          </cell>
          <cell r="S312">
            <v>0</v>
          </cell>
          <cell r="AL312">
            <v>565585</v>
          </cell>
          <cell r="AM312">
            <v>282490</v>
          </cell>
          <cell r="AQ312">
            <v>0</v>
          </cell>
          <cell r="AZ312">
            <v>69100</v>
          </cell>
          <cell r="BA312">
            <v>945050</v>
          </cell>
        </row>
        <row r="313">
          <cell r="A313" t="str">
            <v>ETLCUST-05356</v>
          </cell>
          <cell r="B313" t="str">
            <v>CHINA MACHINERY ENGINEERING CORPORATION</v>
          </cell>
          <cell r="C313" t="str">
            <v>Rafsan Jani</v>
          </cell>
          <cell r="D313" t="str">
            <v>Corporate</v>
          </cell>
          <cell r="E313" t="str">
            <v>Corporate</v>
          </cell>
          <cell r="Y313">
            <v>406315.46</v>
          </cell>
          <cell r="AN313">
            <v>15790</v>
          </cell>
        </row>
        <row r="314">
          <cell r="A314" t="str">
            <v>ETLCUST-00709</v>
          </cell>
          <cell r="B314" t="str">
            <v>CHIPS AND BYTES - KHULNA</v>
          </cell>
          <cell r="C314" t="str">
            <v>Saidur Rahman Khokan</v>
          </cell>
          <cell r="D314" t="str">
            <v>Khulna</v>
          </cell>
          <cell r="E314" t="str">
            <v>Khulna</v>
          </cell>
          <cell r="G314">
            <v>112000</v>
          </cell>
          <cell r="Q314">
            <v>890</v>
          </cell>
          <cell r="AM314">
            <v>56785</v>
          </cell>
          <cell r="AQ314">
            <v>0</v>
          </cell>
          <cell r="BA314">
            <v>3813630</v>
          </cell>
        </row>
        <row r="315">
          <cell r="A315" t="str">
            <v>ETLCUST-01545</v>
          </cell>
          <cell r="B315" t="str">
            <v>CHITTAGONG COMPUTER - CTG</v>
          </cell>
          <cell r="C315" t="str">
            <v>Manjurul Huda Parvez</v>
          </cell>
          <cell r="D315" t="str">
            <v>CTG</v>
          </cell>
          <cell r="E315" t="str">
            <v>CTG</v>
          </cell>
          <cell r="AO315">
            <v>2625</v>
          </cell>
        </row>
        <row r="316">
          <cell r="A316" t="str">
            <v>ETLCUST-01493</v>
          </cell>
          <cell r="B316" t="str">
            <v>CHITTAGONG COMPUTER CENTER - CTG</v>
          </cell>
          <cell r="C316" t="str">
            <v>Shahidul Alam Chowdhury</v>
          </cell>
          <cell r="D316" t="str">
            <v>CTG</v>
          </cell>
          <cell r="E316" t="str">
            <v>CTG</v>
          </cell>
          <cell r="G316">
            <v>2240</v>
          </cell>
        </row>
        <row r="317">
          <cell r="A317" t="str">
            <v>ETLCUST-00842</v>
          </cell>
          <cell r="B317" t="str">
            <v>CHITTAGONG COMPUTER CORNER - MULTIPLAN</v>
          </cell>
          <cell r="C317" t="str">
            <v>Mohammad Mostofa</v>
          </cell>
          <cell r="D317" t="str">
            <v>Multiplan</v>
          </cell>
          <cell r="E317" t="str">
            <v>Multiplan</v>
          </cell>
          <cell r="U317">
            <v>12800</v>
          </cell>
        </row>
        <row r="318">
          <cell r="A318" t="str">
            <v>ETLCUST-05363</v>
          </cell>
          <cell r="B318" t="str">
            <v>CHITTAGONG EYE INFIRMARY AND TRAINING COMPLEX TRUST</v>
          </cell>
          <cell r="C318" t="str">
            <v>Sayed Golam Murtuza</v>
          </cell>
          <cell r="D318" t="str">
            <v>Corporate</v>
          </cell>
          <cell r="E318" t="str">
            <v>Corporate</v>
          </cell>
          <cell r="P318">
            <v>20196</v>
          </cell>
          <cell r="AV318">
            <v>18950</v>
          </cell>
          <cell r="BA318">
            <v>10109</v>
          </cell>
        </row>
        <row r="319">
          <cell r="A319" t="str">
            <v>ETLCUST-01520</v>
          </cell>
          <cell r="B319" t="str">
            <v>CHITTAGONG ONLINE LIMITED</v>
          </cell>
          <cell r="C319" t="str">
            <v>Akter Hossen Nishan</v>
          </cell>
          <cell r="D319" t="str">
            <v>Corporate</v>
          </cell>
          <cell r="E319" t="str">
            <v>Corporate</v>
          </cell>
          <cell r="G319">
            <v>492672</v>
          </cell>
        </row>
        <row r="320">
          <cell r="A320" t="str">
            <v>ETLCUST-03011</v>
          </cell>
          <cell r="B320" t="str">
            <v>CHITTAGONG TELECOM SERVICES LIMITED - CTG</v>
          </cell>
          <cell r="C320" t="str">
            <v>Titul Dutta</v>
          </cell>
          <cell r="D320" t="str">
            <v>CTG</v>
          </cell>
          <cell r="E320" t="str">
            <v>CTG</v>
          </cell>
          <cell r="BA320">
            <v>1950</v>
          </cell>
        </row>
        <row r="321">
          <cell r="A321" t="str">
            <v>ETLCUST-04850</v>
          </cell>
          <cell r="B321" t="str">
            <v>CHITTAGONG TRADERS - CHITTAGONG</v>
          </cell>
          <cell r="C321" t="str">
            <v>Titul Dutta</v>
          </cell>
          <cell r="D321" t="str">
            <v>CTG</v>
          </cell>
          <cell r="E321" t="str">
            <v>CTG</v>
          </cell>
          <cell r="S321">
            <v>0</v>
          </cell>
          <cell r="AL321">
            <v>985105</v>
          </cell>
          <cell r="AM321">
            <v>307755</v>
          </cell>
          <cell r="AO321">
            <v>168400</v>
          </cell>
          <cell r="BA321">
            <v>5671755</v>
          </cell>
        </row>
        <row r="322">
          <cell r="A322" t="str">
            <v>ETLCUST-04523</v>
          </cell>
          <cell r="B322" t="str">
            <v>CHITTAGONG UNIVERSITY OF ENGINEERING AND TECHNOLOGY (CUET)</v>
          </cell>
          <cell r="C322" t="str">
            <v>Adib Ebna Jamal</v>
          </cell>
          <cell r="D322" t="str">
            <v>Tender</v>
          </cell>
          <cell r="E322" t="str">
            <v>Tender</v>
          </cell>
          <cell r="S322">
            <v>1665709.8800000001</v>
          </cell>
          <cell r="AS322">
            <v>5202156.4400000004</v>
          </cell>
          <cell r="BA322">
            <v>9655.81</v>
          </cell>
        </row>
        <row r="323">
          <cell r="A323" t="str">
            <v>ETLCUST-04356</v>
          </cell>
          <cell r="B323" t="str">
            <v>CHL COMPUTER HARDWARE LAB - MULTIPLAN</v>
          </cell>
          <cell r="C323" t="str">
            <v>Md Nur Karim Chowdhury</v>
          </cell>
          <cell r="D323" t="str">
            <v>Multiplan</v>
          </cell>
          <cell r="E323" t="str">
            <v>Multiplan</v>
          </cell>
        </row>
        <row r="324">
          <cell r="A324" t="str">
            <v>ETLCUST-00423</v>
          </cell>
          <cell r="B324" t="str">
            <v>CHOICE COMPUTERS - BHAIROB</v>
          </cell>
          <cell r="C324" t="str">
            <v>Md. Imran Miah Khandakar</v>
          </cell>
          <cell r="D324" t="str">
            <v>Sylhet</v>
          </cell>
          <cell r="E324" t="str">
            <v>Sylhet</v>
          </cell>
          <cell r="P324">
            <v>64000</v>
          </cell>
        </row>
        <row r="325">
          <cell r="A325" t="str">
            <v>ETLCUST-03987</v>
          </cell>
          <cell r="B325" t="str">
            <v>CHOWDHURY COMPUTER - JESSORE</v>
          </cell>
          <cell r="C325" t="str">
            <v>Md Husaun</v>
          </cell>
          <cell r="D325" t="str">
            <v>Khulna</v>
          </cell>
          <cell r="E325" t="str">
            <v>Khulna</v>
          </cell>
          <cell r="G325">
            <v>112000</v>
          </cell>
          <cell r="V325">
            <v>27000</v>
          </cell>
          <cell r="BA325">
            <v>366025</v>
          </cell>
        </row>
        <row r="326">
          <cell r="A326" t="str">
            <v>ETLCUST-01210</v>
          </cell>
          <cell r="B326" t="str">
            <v>CHOWDHURY COMPUTER- MOTIJHEEL</v>
          </cell>
          <cell r="C326" t="str">
            <v>Hridoy Chandra Das</v>
          </cell>
          <cell r="D326" t="str">
            <v>Motijheel</v>
          </cell>
          <cell r="E326" t="str">
            <v>Motijheel</v>
          </cell>
          <cell r="P326">
            <v>25600</v>
          </cell>
          <cell r="AJ326">
            <v>30000</v>
          </cell>
        </row>
        <row r="327">
          <cell r="A327" t="str">
            <v>ETLCUST-05302</v>
          </cell>
          <cell r="B327" t="str">
            <v>CHUADANGA IT SOLUTION - CHUADANGA</v>
          </cell>
          <cell r="C327" t="str">
            <v>Md. Hasanuzzaman</v>
          </cell>
          <cell r="D327" t="str">
            <v>South Bengal</v>
          </cell>
          <cell r="E327" t="str">
            <v>South Bengal</v>
          </cell>
          <cell r="O327">
            <v>2750</v>
          </cell>
          <cell r="P327">
            <v>12800</v>
          </cell>
          <cell r="R327">
            <v>4640</v>
          </cell>
          <cell r="T327">
            <v>55400</v>
          </cell>
          <cell r="X327">
            <v>112100</v>
          </cell>
          <cell r="AM327">
            <v>7100</v>
          </cell>
          <cell r="AZ327">
            <v>5000</v>
          </cell>
          <cell r="BA327">
            <v>71500</v>
          </cell>
        </row>
        <row r="328">
          <cell r="A328" t="str">
            <v>ETLCUST-00085</v>
          </cell>
          <cell r="B328" t="str">
            <v>CIRCLE NETWORK - SAVAR</v>
          </cell>
          <cell r="C328" t="str">
            <v>Biplop Kumar</v>
          </cell>
          <cell r="D328" t="str">
            <v>DHK-EXT</v>
          </cell>
          <cell r="E328" t="str">
            <v>DHK-EXT</v>
          </cell>
          <cell r="G328">
            <v>661200</v>
          </cell>
        </row>
        <row r="329">
          <cell r="A329" t="str">
            <v>ETLCUST-02833</v>
          </cell>
          <cell r="B329" t="str">
            <v>CITIZENS BANK PLC.</v>
          </cell>
          <cell r="C329" t="str">
            <v>Mohammad Maruf Hasan</v>
          </cell>
          <cell r="D329" t="str">
            <v>Corporate</v>
          </cell>
          <cell r="E329" t="str">
            <v>Corporate</v>
          </cell>
          <cell r="F329">
            <v>125454.55</v>
          </cell>
          <cell r="S329">
            <v>837582.85</v>
          </cell>
          <cell r="X329">
            <v>502269.24999999994</v>
          </cell>
          <cell r="AF329">
            <v>40800</v>
          </cell>
          <cell r="BA329">
            <v>72151.56</v>
          </cell>
        </row>
        <row r="330">
          <cell r="A330" t="str">
            <v>ETLCUST-04843</v>
          </cell>
          <cell r="B330" t="str">
            <v>CITY COMPUTER - SAVAR</v>
          </cell>
          <cell r="C330" t="str">
            <v>Biplop Kumar</v>
          </cell>
          <cell r="D330" t="str">
            <v>DHK-EXT</v>
          </cell>
          <cell r="E330" t="str">
            <v>DHK-EXT</v>
          </cell>
          <cell r="U330">
            <v>57950</v>
          </cell>
        </row>
        <row r="331">
          <cell r="A331" t="str">
            <v>ETLCUST-04714</v>
          </cell>
          <cell r="B331" t="str">
            <v>CITY COMPUTER AND ELECTRONICS - LALMOHON, BHOLA</v>
          </cell>
          <cell r="C331" t="str">
            <v>Md. Aminul Islam</v>
          </cell>
          <cell r="D331" t="str">
            <v>South Bengal</v>
          </cell>
          <cell r="E331" t="str">
            <v>South Bengal</v>
          </cell>
          <cell r="G331">
            <v>20400</v>
          </cell>
          <cell r="T331">
            <v>86250</v>
          </cell>
          <cell r="X331">
            <v>207810</v>
          </cell>
          <cell r="AL331">
            <v>96170</v>
          </cell>
          <cell r="AM331">
            <v>1520</v>
          </cell>
          <cell r="AZ331">
            <v>16600</v>
          </cell>
          <cell r="BA331">
            <v>493820</v>
          </cell>
        </row>
        <row r="332">
          <cell r="A332" t="str">
            <v>ETLCUST-00990</v>
          </cell>
          <cell r="B332" t="str">
            <v>CITY COMPUTER AND IT - SHAHJADPUR</v>
          </cell>
          <cell r="C332" t="str">
            <v>Md Shahidul Islam</v>
          </cell>
          <cell r="D332" t="str">
            <v>North Bengal</v>
          </cell>
          <cell r="E332" t="str">
            <v>North Bengal</v>
          </cell>
          <cell r="S332">
            <v>0</v>
          </cell>
          <cell r="V332">
            <v>26750</v>
          </cell>
          <cell r="X332">
            <v>146000</v>
          </cell>
          <cell r="Y332">
            <v>285000</v>
          </cell>
          <cell r="AM332">
            <v>1230</v>
          </cell>
          <cell r="AQ332">
            <v>0</v>
          </cell>
          <cell r="BA332">
            <v>1590380</v>
          </cell>
        </row>
        <row r="333">
          <cell r="A333" t="str">
            <v>ETLCUST-02792</v>
          </cell>
          <cell r="B333" t="str">
            <v>CITY COMPUTER AND TECHNOLOGY - MULTIPLAN</v>
          </cell>
          <cell r="C333" t="str">
            <v>Mohammad Mostofa</v>
          </cell>
          <cell r="D333" t="str">
            <v>Multiplan</v>
          </cell>
          <cell r="E333" t="str">
            <v>Multiplan</v>
          </cell>
          <cell r="L333">
            <v>21000</v>
          </cell>
          <cell r="R333">
            <v>105000</v>
          </cell>
          <cell r="X333">
            <v>67100</v>
          </cell>
          <cell r="AF333">
            <v>2540600</v>
          </cell>
          <cell r="AK333">
            <v>123000</v>
          </cell>
        </row>
        <row r="334">
          <cell r="A334" t="str">
            <v>ETLCUST-05282</v>
          </cell>
          <cell r="B334" t="str">
            <v>CITY ELECTRIC AND LIGHTING - SAVAR</v>
          </cell>
          <cell r="C334" t="str">
            <v>Biplop Kumar</v>
          </cell>
          <cell r="D334" t="str">
            <v>DHK-EXT</v>
          </cell>
          <cell r="E334" t="str">
            <v>DHK-EXT</v>
          </cell>
          <cell r="AK334">
            <v>90700</v>
          </cell>
        </row>
        <row r="335">
          <cell r="A335" t="str">
            <v>ETLCUST-03137</v>
          </cell>
          <cell r="B335" t="str">
            <v>CITY SOLUTION LIMITED - MULTIPLAN</v>
          </cell>
          <cell r="C335" t="str">
            <v>Md Mokshed Ali</v>
          </cell>
          <cell r="D335" t="str">
            <v>Multiplan</v>
          </cell>
          <cell r="E335" t="str">
            <v>Multiplan</v>
          </cell>
          <cell r="AD335">
            <v>160000</v>
          </cell>
        </row>
        <row r="336">
          <cell r="A336" t="str">
            <v>ETLCUST-00697</v>
          </cell>
          <cell r="B336" t="str">
            <v>CLASSIC COMPUTER - BAGERHAT</v>
          </cell>
          <cell r="C336" t="str">
            <v>Imrul Rayhan</v>
          </cell>
          <cell r="D336" t="str">
            <v>Khulna</v>
          </cell>
          <cell r="E336" t="str">
            <v>Khulna</v>
          </cell>
          <cell r="G336">
            <v>32000</v>
          </cell>
          <cell r="R336">
            <v>7500</v>
          </cell>
          <cell r="S336">
            <v>0</v>
          </cell>
          <cell r="BA336">
            <v>237905</v>
          </cell>
        </row>
        <row r="337">
          <cell r="A337" t="str">
            <v>ETLCUST-00015</v>
          </cell>
          <cell r="B337" t="str">
            <v>CLASSIC COMPUTER - DINAJPUR</v>
          </cell>
          <cell r="C337" t="str">
            <v>Akramul Haque</v>
          </cell>
          <cell r="D337" t="str">
            <v>North Bengal</v>
          </cell>
          <cell r="E337" t="str">
            <v>North Bengal</v>
          </cell>
          <cell r="R337">
            <v>27720</v>
          </cell>
          <cell r="X337">
            <v>12000</v>
          </cell>
          <cell r="AM337">
            <v>17065</v>
          </cell>
          <cell r="BA337">
            <v>245195</v>
          </cell>
        </row>
        <row r="338">
          <cell r="A338" t="str">
            <v>ETLCUST-03460</v>
          </cell>
          <cell r="B338" t="str">
            <v xml:space="preserve">CLIMAX COMPUTER - KUSHITA </v>
          </cell>
          <cell r="C338" t="str">
            <v>Md Rakibul Islam</v>
          </cell>
          <cell r="D338" t="str">
            <v>South Bengal</v>
          </cell>
          <cell r="E338" t="str">
            <v>South Bengal</v>
          </cell>
          <cell r="G338">
            <v>316000</v>
          </cell>
          <cell r="Q338">
            <v>890</v>
          </cell>
          <cell r="S338">
            <v>0</v>
          </cell>
          <cell r="T338">
            <v>11000</v>
          </cell>
          <cell r="X338">
            <v>392225</v>
          </cell>
          <cell r="AM338">
            <v>224955</v>
          </cell>
          <cell r="AQ338">
            <v>0</v>
          </cell>
          <cell r="AR338">
            <v>28900</v>
          </cell>
          <cell r="BA338">
            <v>2412840</v>
          </cell>
        </row>
        <row r="339">
          <cell r="A339" t="str">
            <v>ETLCUST-01062</v>
          </cell>
          <cell r="B339" t="str">
            <v>CLOUD COMPUTER AND NETWORK - CHITTAGONG</v>
          </cell>
          <cell r="C339" t="str">
            <v>Md. Mamunur Rashid</v>
          </cell>
          <cell r="D339" t="str">
            <v>CTG</v>
          </cell>
          <cell r="E339" t="str">
            <v>CTG</v>
          </cell>
          <cell r="S339">
            <v>0</v>
          </cell>
          <cell r="U339">
            <v>95000</v>
          </cell>
          <cell r="AM339">
            <v>313410</v>
          </cell>
          <cell r="AR339">
            <v>23500</v>
          </cell>
          <cell r="BA339">
            <v>4293155</v>
          </cell>
        </row>
        <row r="340">
          <cell r="A340" t="str">
            <v>ETLCUST-03326</v>
          </cell>
          <cell r="B340" t="str">
            <v>CLOUD INFOSYSTEM BD LTD. - FARMGATE</v>
          </cell>
          <cell r="C340" t="str">
            <v>Sabuj Das</v>
          </cell>
          <cell r="D340" t="str">
            <v>HO-SI</v>
          </cell>
          <cell r="E340" t="str">
            <v>HO-SI</v>
          </cell>
          <cell r="AS340">
            <v>76000</v>
          </cell>
        </row>
        <row r="341">
          <cell r="A341" t="str">
            <v>ETLCUST-03842</v>
          </cell>
          <cell r="B341" t="str">
            <v>CLOUD NET WORK SOLUTION - NOAKHALI</v>
          </cell>
          <cell r="C341" t="str">
            <v>Reazuddin</v>
          </cell>
          <cell r="D341" t="str">
            <v>CTG</v>
          </cell>
          <cell r="E341" t="str">
            <v>CTG</v>
          </cell>
          <cell r="G341">
            <v>168500</v>
          </cell>
          <cell r="Q341">
            <v>1350</v>
          </cell>
          <cell r="S341">
            <v>0</v>
          </cell>
          <cell r="T341">
            <v>202950</v>
          </cell>
          <cell r="X341">
            <v>441350</v>
          </cell>
          <cell r="AL341">
            <v>666050</v>
          </cell>
          <cell r="AM341">
            <v>142350</v>
          </cell>
          <cell r="AQ341">
            <v>0</v>
          </cell>
          <cell r="BA341">
            <v>1041055</v>
          </cell>
        </row>
        <row r="342">
          <cell r="A342" t="str">
            <v>ETLCUST-05223</v>
          </cell>
          <cell r="B342" t="str">
            <v>CNPC CHUANQING DRILLING ENGINEERING COMPANY LTD. (CCDC) BANGLADESH PROJECT OFFICE</v>
          </cell>
          <cell r="C342" t="str">
            <v>Rafsan Jani</v>
          </cell>
          <cell r="D342" t="str">
            <v>Corporate</v>
          </cell>
          <cell r="E342" t="str">
            <v>Corporate</v>
          </cell>
          <cell r="S342">
            <v>80522.73</v>
          </cell>
          <cell r="T342">
            <v>7500</v>
          </cell>
          <cell r="X342">
            <v>2198984.5500000003</v>
          </cell>
          <cell r="AY342">
            <v>28835.45</v>
          </cell>
        </row>
        <row r="343">
          <cell r="A343" t="str">
            <v>ETLCUST-01360</v>
          </cell>
          <cell r="B343" t="str">
            <v>CNS COMPUTER - FARIDPUR</v>
          </cell>
          <cell r="C343" t="str">
            <v>Hanif shek</v>
          </cell>
          <cell r="D343" t="str">
            <v>South Bengal</v>
          </cell>
          <cell r="E343" t="str">
            <v>South Bengal</v>
          </cell>
          <cell r="P343">
            <v>64000</v>
          </cell>
          <cell r="R343">
            <v>85000</v>
          </cell>
          <cell r="S343">
            <v>0</v>
          </cell>
          <cell r="T343">
            <v>21150</v>
          </cell>
          <cell r="X343">
            <v>49200</v>
          </cell>
          <cell r="BA343">
            <v>101815</v>
          </cell>
        </row>
        <row r="344">
          <cell r="A344" t="str">
            <v>ETLCUST-00997</v>
          </cell>
          <cell r="B344" t="str">
            <v>COBITE COMPUTERS - BOGRA</v>
          </cell>
          <cell r="C344" t="str">
            <v>Md Shahidul Islam</v>
          </cell>
          <cell r="D344" t="str">
            <v>North Bengal</v>
          </cell>
          <cell r="E344" t="str">
            <v>North Bengal</v>
          </cell>
          <cell r="R344">
            <v>2701000</v>
          </cell>
          <cell r="T344">
            <v>58000</v>
          </cell>
          <cell r="X344">
            <v>897100</v>
          </cell>
          <cell r="AM344">
            <v>2415</v>
          </cell>
          <cell r="AO344">
            <v>49950</v>
          </cell>
          <cell r="BA344">
            <v>2264905</v>
          </cell>
        </row>
        <row r="345">
          <cell r="A345" t="str">
            <v>ETLCUST-02065</v>
          </cell>
          <cell r="B345" t="str">
            <v>COLOCITY LTD.</v>
          </cell>
          <cell r="C345" t="str">
            <v>Abu Zahid Sobuj</v>
          </cell>
          <cell r="D345" t="str">
            <v>Corporate</v>
          </cell>
          <cell r="E345" t="str">
            <v>Corporate</v>
          </cell>
          <cell r="S345">
            <v>0</v>
          </cell>
          <cell r="U345">
            <v>3954.55</v>
          </cell>
          <cell r="AR345">
            <v>19454.54</v>
          </cell>
        </row>
        <row r="346">
          <cell r="A346" t="str">
            <v>ETLCUST-00823</v>
          </cell>
          <cell r="B346" t="str">
            <v>COMCULAS - IDB</v>
          </cell>
          <cell r="C346" t="str">
            <v>Gaji Parvin Nesa</v>
          </cell>
          <cell r="D346" t="str">
            <v>IDB</v>
          </cell>
          <cell r="E346" t="str">
            <v>IDB</v>
          </cell>
          <cell r="U346">
            <v>20400</v>
          </cell>
          <cell r="Y346">
            <v>190000</v>
          </cell>
          <cell r="AF346">
            <v>94000</v>
          </cell>
          <cell r="AK346">
            <v>112750</v>
          </cell>
          <cell r="AM346">
            <v>850</v>
          </cell>
          <cell r="AR346">
            <v>49500</v>
          </cell>
          <cell r="AV346">
            <v>31700</v>
          </cell>
        </row>
        <row r="347">
          <cell r="A347" t="str">
            <v>ETLCUST-00777</v>
          </cell>
          <cell r="B347" t="str">
            <v>COMDEX INFORMATION TECHNOLOGY - RAJSHAHI</v>
          </cell>
          <cell r="C347" t="str">
            <v>Ahmed Bulbul</v>
          </cell>
          <cell r="D347" t="str">
            <v>Rajshahi</v>
          </cell>
          <cell r="E347" t="str">
            <v>Rajshahi</v>
          </cell>
          <cell r="U347">
            <v>11250</v>
          </cell>
          <cell r="AM347">
            <v>2450</v>
          </cell>
          <cell r="BA347">
            <v>2400</v>
          </cell>
        </row>
        <row r="348">
          <cell r="A348" t="str">
            <v>ETLCUST-04971</v>
          </cell>
          <cell r="B348" t="str">
            <v>COMILLA PALLI BIDYUT SAMITY-3</v>
          </cell>
          <cell r="C348" t="str">
            <v>Md. Zakaria</v>
          </cell>
          <cell r="D348" t="str">
            <v>Tender</v>
          </cell>
          <cell r="E348" t="str">
            <v>Tender</v>
          </cell>
          <cell r="H348">
            <v>27727.27</v>
          </cell>
        </row>
        <row r="349">
          <cell r="A349" t="str">
            <v>ETLCUST-04132</v>
          </cell>
          <cell r="B349" t="str">
            <v>COMPAC MARKET INC - FARIDPUR</v>
          </cell>
          <cell r="C349" t="str">
            <v>Hanif shek</v>
          </cell>
          <cell r="D349" t="str">
            <v>South Bengal</v>
          </cell>
          <cell r="E349" t="str">
            <v>South Bengal</v>
          </cell>
          <cell r="G349">
            <v>36000</v>
          </cell>
          <cell r="R349">
            <v>168000</v>
          </cell>
          <cell r="S349">
            <v>0</v>
          </cell>
          <cell r="X349">
            <v>1432000</v>
          </cell>
          <cell r="AF349">
            <v>42900</v>
          </cell>
          <cell r="AL349">
            <v>111490</v>
          </cell>
          <cell r="AM349">
            <v>1298040</v>
          </cell>
          <cell r="AQ349">
            <v>0</v>
          </cell>
          <cell r="AS349">
            <v>107000</v>
          </cell>
          <cell r="BA349">
            <v>453570</v>
          </cell>
        </row>
        <row r="350">
          <cell r="A350" t="str">
            <v>ETLCUST-00857</v>
          </cell>
          <cell r="B350" t="str">
            <v>COMPUTER ARCHIVES - MULTIPLAN</v>
          </cell>
          <cell r="C350" t="str">
            <v>Pran Krishna Gosh</v>
          </cell>
          <cell r="D350" t="str">
            <v>Multiplan</v>
          </cell>
          <cell r="E350" t="str">
            <v>Multiplan</v>
          </cell>
          <cell r="U350">
            <v>4830</v>
          </cell>
          <cell r="AV350">
            <v>1500</v>
          </cell>
        </row>
        <row r="351">
          <cell r="A351" t="str">
            <v>ETLCUST-00008</v>
          </cell>
          <cell r="B351" t="str">
            <v>COMPUTER BAZAR - DINAJPUR</v>
          </cell>
          <cell r="C351" t="str">
            <v>Akramul Haque</v>
          </cell>
          <cell r="D351" t="str">
            <v>North Bengal</v>
          </cell>
          <cell r="E351" t="str">
            <v>North Bengal</v>
          </cell>
        </row>
        <row r="352">
          <cell r="A352" t="str">
            <v>ETLCUST-00242</v>
          </cell>
          <cell r="B352" t="str">
            <v>COMPUTER CARE - MOULIBAZAR</v>
          </cell>
          <cell r="C352" t="str">
            <v>Amit Das</v>
          </cell>
          <cell r="D352" t="str">
            <v>Sylhet</v>
          </cell>
          <cell r="E352" t="str">
            <v>Sylhet</v>
          </cell>
          <cell r="P352">
            <v>13000</v>
          </cell>
          <cell r="R352">
            <v>22500</v>
          </cell>
          <cell r="S352">
            <v>0</v>
          </cell>
          <cell r="X352">
            <v>6100</v>
          </cell>
          <cell r="AZ352">
            <v>21480</v>
          </cell>
          <cell r="BA352">
            <v>477915</v>
          </cell>
        </row>
        <row r="353">
          <cell r="A353" t="str">
            <v>ETLCUST-04023</v>
          </cell>
          <cell r="B353" t="str">
            <v>COMPUTER CITY - GAZIPUR</v>
          </cell>
          <cell r="C353" t="str">
            <v>Md. Rahad</v>
          </cell>
          <cell r="D353" t="str">
            <v>Uttara</v>
          </cell>
          <cell r="E353" t="str">
            <v>Uttara</v>
          </cell>
          <cell r="P353">
            <v>474000</v>
          </cell>
          <cell r="V353">
            <v>51000</v>
          </cell>
          <cell r="Y353">
            <v>764000</v>
          </cell>
          <cell r="AF353">
            <v>401300</v>
          </cell>
          <cell r="AJ353">
            <v>99900</v>
          </cell>
          <cell r="AM353">
            <v>1140</v>
          </cell>
          <cell r="AO353">
            <v>51315</v>
          </cell>
          <cell r="BA353">
            <v>172605</v>
          </cell>
        </row>
        <row r="354">
          <cell r="A354" t="str">
            <v>ETLCUST-03363</v>
          </cell>
          <cell r="B354" t="str">
            <v>COMPUTER CITY - MEHERPUR</v>
          </cell>
          <cell r="C354" t="str">
            <v>Md. Hasanuzzaman</v>
          </cell>
          <cell r="D354" t="str">
            <v>South Bengal</v>
          </cell>
          <cell r="E354" t="str">
            <v>South Bengal</v>
          </cell>
          <cell r="G354">
            <v>134500</v>
          </cell>
          <cell r="O354">
            <v>3300</v>
          </cell>
          <cell r="R354">
            <v>148500</v>
          </cell>
          <cell r="X354">
            <v>12200</v>
          </cell>
          <cell r="AM354">
            <v>1140</v>
          </cell>
          <cell r="AO354">
            <v>28625</v>
          </cell>
          <cell r="AZ354">
            <v>59150</v>
          </cell>
          <cell r="BA354">
            <v>103660</v>
          </cell>
        </row>
        <row r="355">
          <cell r="A355" t="str">
            <v>ETLCUST-00640</v>
          </cell>
          <cell r="B355" t="str">
            <v>COMPUTER CITY - RANGPUR</v>
          </cell>
          <cell r="C355" t="str">
            <v>Md Abdullah Al Mamun</v>
          </cell>
          <cell r="D355" t="str">
            <v>North Bengal</v>
          </cell>
          <cell r="E355" t="str">
            <v>North Bengal</v>
          </cell>
          <cell r="G355">
            <v>100000</v>
          </cell>
          <cell r="T355">
            <v>221950</v>
          </cell>
          <cell r="X355">
            <v>207000</v>
          </cell>
          <cell r="AM355">
            <v>211635</v>
          </cell>
          <cell r="AR355">
            <v>5600</v>
          </cell>
          <cell r="AZ355">
            <v>53200</v>
          </cell>
          <cell r="BA355">
            <v>2203910</v>
          </cell>
        </row>
        <row r="356">
          <cell r="A356" t="str">
            <v>ETLCUST-00924</v>
          </cell>
          <cell r="B356" t="str">
            <v>COMPUTER CITY - SHAILKUPA</v>
          </cell>
          <cell r="C356" t="str">
            <v>Md Rakibul Islam</v>
          </cell>
          <cell r="D356" t="str">
            <v>South Bengal</v>
          </cell>
          <cell r="E356" t="str">
            <v>South Bengal</v>
          </cell>
          <cell r="G356">
            <v>212000</v>
          </cell>
          <cell r="S356">
            <v>0</v>
          </cell>
          <cell r="AJ356">
            <v>15725</v>
          </cell>
          <cell r="AL356">
            <v>14080</v>
          </cell>
          <cell r="AM356">
            <v>11400</v>
          </cell>
          <cell r="AQ356">
            <v>0</v>
          </cell>
          <cell r="BA356">
            <v>510665</v>
          </cell>
        </row>
        <row r="357">
          <cell r="A357" t="str">
            <v>ETLCUST-03834</v>
          </cell>
          <cell r="B357" t="str">
            <v>COMPUTER CITY PLUS - FARIDPUR</v>
          </cell>
          <cell r="C357" t="str">
            <v>Hanif shek</v>
          </cell>
          <cell r="D357" t="str">
            <v>South Bengal</v>
          </cell>
          <cell r="E357" t="str">
            <v>South Bengal</v>
          </cell>
          <cell r="P357">
            <v>12800</v>
          </cell>
          <cell r="BA357">
            <v>16930</v>
          </cell>
        </row>
        <row r="358">
          <cell r="A358" t="str">
            <v>ETLCUST-00907</v>
          </cell>
          <cell r="B358" t="str">
            <v>COMPUTER CLINIC - CHUADANGA</v>
          </cell>
          <cell r="C358" t="str">
            <v>Md. Hasanuzzaman</v>
          </cell>
          <cell r="D358" t="str">
            <v>South Bengal</v>
          </cell>
          <cell r="E358" t="str">
            <v>South Bengal</v>
          </cell>
          <cell r="P358">
            <v>22400</v>
          </cell>
          <cell r="R358">
            <v>17500</v>
          </cell>
          <cell r="T358">
            <v>17500</v>
          </cell>
          <cell r="BA358">
            <v>58080</v>
          </cell>
        </row>
        <row r="359">
          <cell r="A359" t="str">
            <v>ETLCUST-00717</v>
          </cell>
          <cell r="B359" t="str">
            <v>COMPUTER CREST - KHULNA</v>
          </cell>
          <cell r="C359" t="str">
            <v>Imrul Rayhan</v>
          </cell>
          <cell r="D359" t="str">
            <v>Khulna</v>
          </cell>
          <cell r="E359" t="str">
            <v>Khulna</v>
          </cell>
          <cell r="AO359">
            <v>28000</v>
          </cell>
          <cell r="BA359">
            <v>9000</v>
          </cell>
        </row>
        <row r="360">
          <cell r="A360" t="str">
            <v>ETLCUST-03027</v>
          </cell>
          <cell r="B360" t="str">
            <v>COMPUTER DEVICE AND TECHNOLOGY - BOGRA</v>
          </cell>
          <cell r="C360" t="str">
            <v>Md Shahidul Islam</v>
          </cell>
          <cell r="D360" t="str">
            <v>North Bengal</v>
          </cell>
          <cell r="E360" t="str">
            <v>North Bengal</v>
          </cell>
          <cell r="R360">
            <v>35000</v>
          </cell>
          <cell r="X360">
            <v>32750</v>
          </cell>
          <cell r="BA360">
            <v>45295</v>
          </cell>
        </row>
        <row r="361">
          <cell r="A361" t="str">
            <v>ETLCUST-04756</v>
          </cell>
          <cell r="B361" t="str">
            <v xml:space="preserve">COMPUTER EXPERT - BARISAL </v>
          </cell>
          <cell r="C361" t="str">
            <v>Md. Aminul Islam</v>
          </cell>
          <cell r="D361" t="str">
            <v>South Bengal</v>
          </cell>
          <cell r="E361" t="str">
            <v>South Bengal</v>
          </cell>
          <cell r="S361">
            <v>0</v>
          </cell>
          <cell r="BA361">
            <v>12425</v>
          </cell>
        </row>
        <row r="362">
          <cell r="A362" t="str">
            <v>ETLCUST-00634</v>
          </cell>
          <cell r="B362" t="str">
            <v>COMPUTER FOREST - LALMONIRHAT</v>
          </cell>
          <cell r="C362" t="str">
            <v>Md. Arif Arman</v>
          </cell>
          <cell r="D362" t="str">
            <v>North Bengal</v>
          </cell>
          <cell r="E362" t="str">
            <v>North Bengal</v>
          </cell>
          <cell r="AO362">
            <v>26700</v>
          </cell>
          <cell r="AZ362">
            <v>75800</v>
          </cell>
        </row>
        <row r="363">
          <cell r="A363" t="str">
            <v>ETLCUST-03450</v>
          </cell>
          <cell r="B363" t="str">
            <v>COMPUTER FUTURE - TANGAIL</v>
          </cell>
          <cell r="C363" t="str">
            <v>Niloy Ghosh</v>
          </cell>
          <cell r="D363" t="str">
            <v>DHK-EXT</v>
          </cell>
          <cell r="E363" t="str">
            <v>DHK-EXT</v>
          </cell>
          <cell r="G363">
            <v>40800</v>
          </cell>
          <cell r="L363">
            <v>161500</v>
          </cell>
          <cell r="S363">
            <v>0</v>
          </cell>
          <cell r="U363">
            <v>21550</v>
          </cell>
          <cell r="X363">
            <v>241300</v>
          </cell>
          <cell r="AA363">
            <v>160000</v>
          </cell>
          <cell r="AL363">
            <v>86125</v>
          </cell>
          <cell r="AN363">
            <v>150000</v>
          </cell>
          <cell r="AR363">
            <v>39900</v>
          </cell>
          <cell r="AS363">
            <v>37000</v>
          </cell>
          <cell r="BA363">
            <v>1917345</v>
          </cell>
        </row>
        <row r="364">
          <cell r="A364" t="str">
            <v>ETLCUST-01477</v>
          </cell>
          <cell r="B364" t="str">
            <v>COMPUTER GALLERY - BARISHAL</v>
          </cell>
          <cell r="C364" t="str">
            <v>Shah Imran</v>
          </cell>
          <cell r="D364" t="str">
            <v>South Bengal</v>
          </cell>
          <cell r="E364" t="str">
            <v>South Bengal</v>
          </cell>
          <cell r="P364">
            <v>17500</v>
          </cell>
          <cell r="V364">
            <v>5000</v>
          </cell>
          <cell r="AK364">
            <v>30000</v>
          </cell>
          <cell r="AL364">
            <v>56020</v>
          </cell>
          <cell r="AM364">
            <v>222150</v>
          </cell>
          <cell r="AO364">
            <v>99975</v>
          </cell>
          <cell r="AQ364">
            <v>0</v>
          </cell>
          <cell r="BA364">
            <v>421225</v>
          </cell>
        </row>
        <row r="365">
          <cell r="A365" t="str">
            <v>ETLCUST-00731</v>
          </cell>
          <cell r="B365" t="str">
            <v>COMPUTER GALLERY - KHULNA</v>
          </cell>
          <cell r="C365" t="str">
            <v>Saidur Rahman Khokan</v>
          </cell>
          <cell r="D365" t="str">
            <v>Khulna</v>
          </cell>
          <cell r="E365" t="str">
            <v>Khulna</v>
          </cell>
          <cell r="R365">
            <v>24640</v>
          </cell>
        </row>
        <row r="366">
          <cell r="A366" t="str">
            <v>ETLCUST-03969</v>
          </cell>
          <cell r="B366" t="str">
            <v xml:space="preserve">Computer Garden - Rangpur </v>
          </cell>
          <cell r="C366" t="str">
            <v>Md Abdullah Al Mamun</v>
          </cell>
          <cell r="D366" t="str">
            <v>North Bengal</v>
          </cell>
          <cell r="E366" t="str">
            <v>North Bengal</v>
          </cell>
          <cell r="AZ366">
            <v>15400</v>
          </cell>
        </row>
        <row r="367">
          <cell r="A367" t="str">
            <v>ETLCUST-05161</v>
          </cell>
          <cell r="B367" t="str">
            <v>COMPUTER HEAVEN - PHULBARI</v>
          </cell>
          <cell r="C367" t="str">
            <v>Akramul Haque</v>
          </cell>
          <cell r="D367" t="str">
            <v>North Bengal</v>
          </cell>
          <cell r="E367" t="str">
            <v>North Bengal</v>
          </cell>
          <cell r="AO367">
            <v>12950</v>
          </cell>
        </row>
        <row r="368">
          <cell r="A368" t="str">
            <v>ETLCUST-03444</v>
          </cell>
          <cell r="B368" t="str">
            <v>COMPUTER HOUSE - DINAJPUR</v>
          </cell>
          <cell r="C368" t="str">
            <v>Akramul Haque</v>
          </cell>
          <cell r="D368" t="str">
            <v>North Bengal</v>
          </cell>
          <cell r="E368" t="str">
            <v>North Bengal</v>
          </cell>
          <cell r="G368">
            <v>10200</v>
          </cell>
          <cell r="S368">
            <v>0</v>
          </cell>
          <cell r="X368">
            <v>745725</v>
          </cell>
          <cell r="AL368">
            <v>14715</v>
          </cell>
          <cell r="AM368">
            <v>1185</v>
          </cell>
          <cell r="AQ368">
            <v>0</v>
          </cell>
          <cell r="BA368">
            <v>53975</v>
          </cell>
        </row>
        <row r="369">
          <cell r="A369" t="str">
            <v>ETLCUST-00787</v>
          </cell>
          <cell r="B369" t="str">
            <v>COMPUTER HOUSE - RAJSHAHI</v>
          </cell>
          <cell r="C369" t="str">
            <v>Md Moniruzzaman Masum</v>
          </cell>
          <cell r="D369" t="str">
            <v>Rajshahi</v>
          </cell>
          <cell r="E369" t="str">
            <v>Rajshahi</v>
          </cell>
          <cell r="R369">
            <v>2200</v>
          </cell>
          <cell r="BA369">
            <v>4300</v>
          </cell>
        </row>
        <row r="370">
          <cell r="A370" t="str">
            <v>ETLCUST-01033</v>
          </cell>
          <cell r="B370" t="str">
            <v>COMPUTER HUT - CTG</v>
          </cell>
          <cell r="C370" t="str">
            <v>Manjurul Huda Parvez</v>
          </cell>
          <cell r="D370" t="str">
            <v>CTG</v>
          </cell>
          <cell r="E370" t="str">
            <v>CTG</v>
          </cell>
          <cell r="H370">
            <v>48000</v>
          </cell>
          <cell r="Q370">
            <v>1350</v>
          </cell>
          <cell r="S370">
            <v>0</v>
          </cell>
          <cell r="U370">
            <v>3750</v>
          </cell>
          <cell r="X370">
            <v>14600</v>
          </cell>
          <cell r="AL370">
            <v>5170</v>
          </cell>
          <cell r="AM370">
            <v>62620</v>
          </cell>
          <cell r="AP370">
            <v>18000</v>
          </cell>
          <cell r="AV370">
            <v>33400</v>
          </cell>
          <cell r="BA370">
            <v>350910</v>
          </cell>
        </row>
        <row r="371">
          <cell r="A371" t="str">
            <v>ETLCUST-01122</v>
          </cell>
          <cell r="B371" t="str">
            <v>COMPUTER JAGAT - IDB</v>
          </cell>
          <cell r="C371" t="str">
            <v>Amit Sarker</v>
          </cell>
          <cell r="D371" t="str">
            <v>IDB</v>
          </cell>
          <cell r="E371" t="str">
            <v>IDB</v>
          </cell>
        </row>
        <row r="372">
          <cell r="A372" t="str">
            <v>ETLCUST-01419</v>
          </cell>
          <cell r="B372" t="str">
            <v>COMPUTER LAB AND SERVICE STORE - TONGI</v>
          </cell>
          <cell r="C372" t="str">
            <v>Saifullah Akndah</v>
          </cell>
          <cell r="D372" t="str">
            <v>Uttara</v>
          </cell>
          <cell r="E372" t="str">
            <v>Uttara</v>
          </cell>
          <cell r="L372">
            <v>98000</v>
          </cell>
          <cell r="P372">
            <v>16000</v>
          </cell>
          <cell r="S372">
            <v>0</v>
          </cell>
          <cell r="T372">
            <v>194500</v>
          </cell>
          <cell r="X372">
            <v>317550</v>
          </cell>
          <cell r="AL372">
            <v>15900</v>
          </cell>
          <cell r="AM372">
            <v>277080</v>
          </cell>
          <cell r="AO372">
            <v>29375</v>
          </cell>
          <cell r="AQ372">
            <v>0</v>
          </cell>
          <cell r="AZ372">
            <v>32800</v>
          </cell>
          <cell r="BA372">
            <v>4250805</v>
          </cell>
        </row>
        <row r="373">
          <cell r="A373" t="str">
            <v>ETLCUST-01032</v>
          </cell>
          <cell r="B373" t="str">
            <v>COMPUTER LAND - CTG</v>
          </cell>
          <cell r="C373" t="str">
            <v>Manjurul Huda Parvez</v>
          </cell>
          <cell r="D373" t="str">
            <v>CTG</v>
          </cell>
          <cell r="E373" t="str">
            <v>CTG</v>
          </cell>
          <cell r="BA373">
            <v>8240</v>
          </cell>
        </row>
        <row r="374">
          <cell r="A374" t="str">
            <v>ETLCUST-00122</v>
          </cell>
          <cell r="B374" t="str">
            <v>COMPUTER LAND - UTTARA</v>
          </cell>
          <cell r="C374" t="str">
            <v>Dulal Sarker</v>
          </cell>
          <cell r="D374" t="str">
            <v>Uttara</v>
          </cell>
          <cell r="E374" t="str">
            <v>Uttara</v>
          </cell>
          <cell r="AJ374">
            <v>2200</v>
          </cell>
          <cell r="BA374">
            <v>19955</v>
          </cell>
        </row>
        <row r="375">
          <cell r="A375" t="str">
            <v>ETLCUST-01559</v>
          </cell>
          <cell r="B375" t="str">
            <v>COMPUTER LINK - CTG</v>
          </cell>
          <cell r="C375" t="str">
            <v>Shahidul Alam Chowdhury</v>
          </cell>
          <cell r="D375" t="str">
            <v>CTG</v>
          </cell>
          <cell r="E375" t="str">
            <v>CTG</v>
          </cell>
          <cell r="G375">
            <v>5600</v>
          </cell>
          <cell r="H375">
            <v>24000</v>
          </cell>
          <cell r="R375">
            <v>12440</v>
          </cell>
          <cell r="S375">
            <v>0</v>
          </cell>
          <cell r="V375">
            <v>53500</v>
          </cell>
          <cell r="AF375">
            <v>9500</v>
          </cell>
          <cell r="AL375">
            <v>27170</v>
          </cell>
          <cell r="AM375">
            <v>28330</v>
          </cell>
          <cell r="BA375">
            <v>362415</v>
          </cell>
        </row>
        <row r="376">
          <cell r="A376" t="str">
            <v>ETLCUST-00905</v>
          </cell>
          <cell r="B376" t="str">
            <v>COMPUTER LINK - JHENAIDHA</v>
          </cell>
          <cell r="C376" t="str">
            <v>Md Rakibul Islam</v>
          </cell>
          <cell r="D376" t="str">
            <v>South Bengal</v>
          </cell>
          <cell r="E376" t="str">
            <v>South Bengal</v>
          </cell>
          <cell r="V376">
            <v>2780</v>
          </cell>
          <cell r="X376">
            <v>30000</v>
          </cell>
          <cell r="AL376">
            <v>14575</v>
          </cell>
          <cell r="AM376">
            <v>52320</v>
          </cell>
          <cell r="AO376">
            <v>25130</v>
          </cell>
          <cell r="AQ376">
            <v>0</v>
          </cell>
          <cell r="AZ376">
            <v>9400</v>
          </cell>
          <cell r="BA376">
            <v>181120</v>
          </cell>
        </row>
        <row r="377">
          <cell r="A377" t="str">
            <v>ETLCUST-00784</v>
          </cell>
          <cell r="B377" t="str">
            <v>COMPUTER LINK - NATORE</v>
          </cell>
          <cell r="C377" t="str">
            <v>Md. Abu Basar</v>
          </cell>
          <cell r="D377" t="str">
            <v>Rajshahi</v>
          </cell>
          <cell r="E377" t="str">
            <v>Rajshahi</v>
          </cell>
          <cell r="Q377">
            <v>1350</v>
          </cell>
          <cell r="S377">
            <v>0</v>
          </cell>
          <cell r="T377">
            <v>398150</v>
          </cell>
          <cell r="X377">
            <v>67500</v>
          </cell>
          <cell r="AK377">
            <v>16000</v>
          </cell>
          <cell r="AM377">
            <v>219500</v>
          </cell>
          <cell r="AQ377">
            <v>0</v>
          </cell>
          <cell r="BA377">
            <v>2146050</v>
          </cell>
        </row>
        <row r="378">
          <cell r="A378" t="str">
            <v>ETLCUST-00810</v>
          </cell>
          <cell r="B378" t="str">
            <v>COMPUTER LINK - RAJSHAHI</v>
          </cell>
          <cell r="C378" t="str">
            <v>Md Moniruzzaman Masum</v>
          </cell>
          <cell r="D378" t="str">
            <v>Rajshahi</v>
          </cell>
          <cell r="E378" t="str">
            <v>Rajshahi</v>
          </cell>
          <cell r="G378">
            <v>6720</v>
          </cell>
          <cell r="P378">
            <v>9700</v>
          </cell>
          <cell r="AJ378">
            <v>1850</v>
          </cell>
          <cell r="AM378">
            <v>8760</v>
          </cell>
          <cell r="AO378">
            <v>3950</v>
          </cell>
          <cell r="BA378">
            <v>31830</v>
          </cell>
        </row>
        <row r="379">
          <cell r="A379" t="str">
            <v>ETLCUST-03914</v>
          </cell>
          <cell r="B379" t="str">
            <v>COMPUTER MART - KERANIGANJ</v>
          </cell>
          <cell r="C379" t="str">
            <v>Noor Hossain</v>
          </cell>
          <cell r="D379" t="str">
            <v>Gulistan</v>
          </cell>
          <cell r="E379" t="str">
            <v>Gulistan</v>
          </cell>
          <cell r="L379">
            <v>38000</v>
          </cell>
          <cell r="S379">
            <v>0</v>
          </cell>
          <cell r="AL379">
            <v>14575</v>
          </cell>
          <cell r="BA379">
            <v>555940</v>
          </cell>
        </row>
        <row r="380">
          <cell r="A380" t="str">
            <v>ETLCUST-00892</v>
          </cell>
          <cell r="B380" t="str">
            <v>COMPUTER MATE - MEHERPUR</v>
          </cell>
          <cell r="C380" t="str">
            <v>Md. Hasanuzzaman</v>
          </cell>
          <cell r="D380" t="str">
            <v>South Bengal</v>
          </cell>
          <cell r="E380" t="str">
            <v>South Bengal</v>
          </cell>
          <cell r="G380">
            <v>151500</v>
          </cell>
          <cell r="O380">
            <v>3300</v>
          </cell>
          <cell r="AL380">
            <v>21470</v>
          </cell>
          <cell r="AM380">
            <v>34010</v>
          </cell>
          <cell r="AO380">
            <v>19300</v>
          </cell>
          <cell r="AQ380">
            <v>0</v>
          </cell>
          <cell r="AR380">
            <v>32800</v>
          </cell>
          <cell r="BA380">
            <v>386305</v>
          </cell>
        </row>
        <row r="381">
          <cell r="A381" t="str">
            <v>ETLCUST-03396</v>
          </cell>
          <cell r="B381" t="str">
            <v>COMPUTER MEDICAL - RAJSHAHI</v>
          </cell>
          <cell r="C381" t="str">
            <v>Ahmed Bulbul</v>
          </cell>
          <cell r="D381" t="str">
            <v>Rajshahi</v>
          </cell>
          <cell r="E381" t="str">
            <v>Rajshahi</v>
          </cell>
          <cell r="R381">
            <v>129200</v>
          </cell>
          <cell r="T381">
            <v>4200</v>
          </cell>
          <cell r="X381">
            <v>409700</v>
          </cell>
          <cell r="BA381">
            <v>1320</v>
          </cell>
        </row>
        <row r="382">
          <cell r="A382" t="str">
            <v>ETLCUST-01817</v>
          </cell>
          <cell r="B382" t="str">
            <v>COMPUTER MELA - JHENAIDAH</v>
          </cell>
          <cell r="C382" t="str">
            <v>Md Rakibul Islam</v>
          </cell>
          <cell r="D382" t="str">
            <v>South Bengal</v>
          </cell>
          <cell r="E382" t="str">
            <v>South Bengal</v>
          </cell>
          <cell r="G382">
            <v>206000</v>
          </cell>
          <cell r="L382">
            <v>10500</v>
          </cell>
          <cell r="O382">
            <v>1760</v>
          </cell>
          <cell r="P382">
            <v>12800</v>
          </cell>
          <cell r="R382">
            <v>55500</v>
          </cell>
          <cell r="S382">
            <v>0</v>
          </cell>
          <cell r="T382">
            <v>161500</v>
          </cell>
          <cell r="X382">
            <v>273625</v>
          </cell>
          <cell r="AF382">
            <v>45600</v>
          </cell>
          <cell r="AL382">
            <v>38625</v>
          </cell>
          <cell r="AM382">
            <v>114250</v>
          </cell>
          <cell r="AO382">
            <v>12000</v>
          </cell>
          <cell r="AQ382">
            <v>0</v>
          </cell>
          <cell r="AZ382">
            <v>3200</v>
          </cell>
          <cell r="BA382">
            <v>1453030</v>
          </cell>
        </row>
        <row r="383">
          <cell r="A383" t="str">
            <v>ETLCUST-03032</v>
          </cell>
          <cell r="B383" t="str">
            <v>COMPUTER PALACE - BARGUNA</v>
          </cell>
          <cell r="C383" t="str">
            <v>Shah Imran</v>
          </cell>
          <cell r="D383" t="str">
            <v>South Bengal</v>
          </cell>
          <cell r="E383" t="str">
            <v>South Bengal</v>
          </cell>
          <cell r="R383">
            <v>35000</v>
          </cell>
          <cell r="S383">
            <v>0</v>
          </cell>
          <cell r="X383">
            <v>117500</v>
          </cell>
          <cell r="AM383">
            <v>11350</v>
          </cell>
          <cell r="AO383">
            <v>3420</v>
          </cell>
          <cell r="AT383">
            <v>10800</v>
          </cell>
          <cell r="BA383">
            <v>6075</v>
          </cell>
        </row>
        <row r="384">
          <cell r="A384" t="str">
            <v>ETLCUST-04750</v>
          </cell>
          <cell r="B384" t="str">
            <v>COMPUTER PARK - RAJSHAHI</v>
          </cell>
          <cell r="C384" t="str">
            <v>Md Moniruzzaman Masum</v>
          </cell>
          <cell r="D384" t="str">
            <v>Rajshahi</v>
          </cell>
          <cell r="E384" t="str">
            <v>Rajshahi</v>
          </cell>
          <cell r="P384">
            <v>9600</v>
          </cell>
          <cell r="BA384">
            <v>3750</v>
          </cell>
        </row>
        <row r="385">
          <cell r="A385" t="str">
            <v>ETLCUST-01484</v>
          </cell>
          <cell r="B385" t="str">
            <v>COMPUTER PLAZA - CTG</v>
          </cell>
          <cell r="C385" t="str">
            <v>Md. Mamunur Rashid</v>
          </cell>
          <cell r="D385" t="str">
            <v>CTG</v>
          </cell>
          <cell r="E385" t="str">
            <v>CTG</v>
          </cell>
          <cell r="X385">
            <v>12000</v>
          </cell>
          <cell r="BA385">
            <v>76540</v>
          </cell>
        </row>
        <row r="386">
          <cell r="A386" t="str">
            <v>ETLCUST-04036</v>
          </cell>
          <cell r="B386" t="str">
            <v xml:space="preserve">COMPUTER PLUS - SATKHIRA </v>
          </cell>
          <cell r="C386" t="str">
            <v>Imrul Rayhan</v>
          </cell>
          <cell r="D386" t="str">
            <v>Khulna</v>
          </cell>
          <cell r="E386" t="str">
            <v>Khulna</v>
          </cell>
          <cell r="G386">
            <v>56000</v>
          </cell>
          <cell r="R386">
            <v>62020</v>
          </cell>
          <cell r="S386">
            <v>0</v>
          </cell>
          <cell r="T386">
            <v>13200</v>
          </cell>
          <cell r="X386">
            <v>73900</v>
          </cell>
          <cell r="AM386">
            <v>27880</v>
          </cell>
          <cell r="BA386">
            <v>104425</v>
          </cell>
        </row>
        <row r="387">
          <cell r="A387" t="str">
            <v>ETLCUST-05241</v>
          </cell>
          <cell r="B387" t="str">
            <v>COMPUTER POINT - BARGUNA</v>
          </cell>
          <cell r="C387" t="str">
            <v>Shah Imran</v>
          </cell>
          <cell r="D387" t="str">
            <v>South Bengal</v>
          </cell>
          <cell r="E387" t="str">
            <v>South Bengal</v>
          </cell>
          <cell r="O387">
            <v>14300</v>
          </cell>
          <cell r="S387">
            <v>0</v>
          </cell>
          <cell r="X387">
            <v>118900</v>
          </cell>
          <cell r="AM387">
            <v>181235</v>
          </cell>
          <cell r="AO387">
            <v>4500</v>
          </cell>
          <cell r="AQ387">
            <v>0</v>
          </cell>
          <cell r="BA387">
            <v>131545</v>
          </cell>
        </row>
        <row r="388">
          <cell r="A388" t="str">
            <v>ETLCUST-00928</v>
          </cell>
          <cell r="B388" t="str">
            <v>COMPUTER POINT - CHUADANGA</v>
          </cell>
          <cell r="C388" t="str">
            <v>Md. Hasanuzzaman</v>
          </cell>
          <cell r="D388" t="str">
            <v>South Bengal</v>
          </cell>
          <cell r="E388" t="str">
            <v>South Bengal</v>
          </cell>
          <cell r="O388">
            <v>8250</v>
          </cell>
          <cell r="P388">
            <v>64200</v>
          </cell>
          <cell r="R388">
            <v>33720</v>
          </cell>
          <cell r="S388">
            <v>0</v>
          </cell>
          <cell r="T388">
            <v>9400</v>
          </cell>
          <cell r="AL388">
            <v>27445</v>
          </cell>
          <cell r="AM388">
            <v>39285</v>
          </cell>
          <cell r="AO388">
            <v>2850</v>
          </cell>
          <cell r="AQ388">
            <v>0</v>
          </cell>
          <cell r="BA388">
            <v>419065</v>
          </cell>
        </row>
        <row r="389">
          <cell r="A389" t="str">
            <v>ETLCUST-04816</v>
          </cell>
          <cell r="B389" t="str">
            <v>COMPUTER POINT - SANTAHAR , BOGRA</v>
          </cell>
          <cell r="C389" t="str">
            <v>Md. Abu Basar</v>
          </cell>
          <cell r="D389" t="str">
            <v>Rajshahi</v>
          </cell>
          <cell r="E389" t="str">
            <v>Rajshahi</v>
          </cell>
          <cell r="AZ389">
            <v>51890</v>
          </cell>
        </row>
        <row r="390">
          <cell r="A390" t="str">
            <v>ETLCUST-00437</v>
          </cell>
          <cell r="B390" t="str">
            <v>COMPUTER RAIN - TANGAIL</v>
          </cell>
          <cell r="C390" t="str">
            <v>Niloy Ghosh</v>
          </cell>
          <cell r="D390" t="str">
            <v>DHK-EXT</v>
          </cell>
          <cell r="E390" t="str">
            <v>DHK-EXT</v>
          </cell>
          <cell r="G390">
            <v>56000</v>
          </cell>
          <cell r="R390">
            <v>13000</v>
          </cell>
          <cell r="T390">
            <v>46750</v>
          </cell>
          <cell r="X390">
            <v>268350</v>
          </cell>
          <cell r="AL390">
            <v>9540</v>
          </cell>
          <cell r="AM390">
            <v>40000</v>
          </cell>
          <cell r="BA390">
            <v>420025</v>
          </cell>
        </row>
        <row r="391">
          <cell r="A391" t="str">
            <v>ETLCUST-00919</v>
          </cell>
          <cell r="B391" t="str">
            <v>COMPUTER SOLUTION - KUSHTIA</v>
          </cell>
          <cell r="C391" t="str">
            <v>Md Rakibul Islam</v>
          </cell>
          <cell r="D391" t="str">
            <v>South Bengal</v>
          </cell>
          <cell r="E391" t="str">
            <v>South Bengal</v>
          </cell>
          <cell r="G391">
            <v>11400</v>
          </cell>
          <cell r="AP391">
            <v>16000</v>
          </cell>
        </row>
        <row r="392">
          <cell r="A392" t="str">
            <v>ETLCUST-00615</v>
          </cell>
          <cell r="B392" t="str">
            <v>COMPUTER SOLUTION - LALMONIRHAT</v>
          </cell>
          <cell r="C392" t="str">
            <v>Md. Arif Arman</v>
          </cell>
          <cell r="D392" t="str">
            <v>North Bengal</v>
          </cell>
          <cell r="E392" t="str">
            <v>North Bengal</v>
          </cell>
          <cell r="AM392">
            <v>760</v>
          </cell>
          <cell r="AT392">
            <v>34500</v>
          </cell>
          <cell r="BA392">
            <v>27900</v>
          </cell>
        </row>
        <row r="393">
          <cell r="A393" t="str">
            <v>ETLCUST-01368</v>
          </cell>
          <cell r="B393" t="str">
            <v>COMPUTER SOLUTION - NARSINGDI</v>
          </cell>
          <cell r="C393" t="str">
            <v>Arafat Hossain</v>
          </cell>
          <cell r="D393" t="str">
            <v>South Bengal</v>
          </cell>
          <cell r="E393" t="str">
            <v>South Bengal</v>
          </cell>
          <cell r="S393">
            <v>0</v>
          </cell>
          <cell r="AJ393">
            <v>51050</v>
          </cell>
          <cell r="BA393">
            <v>1286800</v>
          </cell>
        </row>
        <row r="394">
          <cell r="A394" t="str">
            <v>ETLCUST-00366</v>
          </cell>
          <cell r="B394" t="str">
            <v>COMPUTER SOUL - MOHAKALI</v>
          </cell>
          <cell r="C394" t="str">
            <v>Jiku Saha</v>
          </cell>
          <cell r="D394" t="str">
            <v>Uttara</v>
          </cell>
          <cell r="E394" t="str">
            <v>Uttara</v>
          </cell>
          <cell r="V394">
            <v>49750</v>
          </cell>
          <cell r="X394">
            <v>36500</v>
          </cell>
          <cell r="AM394">
            <v>14305</v>
          </cell>
          <cell r="AO394">
            <v>49925</v>
          </cell>
          <cell r="AV394">
            <v>30000</v>
          </cell>
          <cell r="BA394">
            <v>1123190</v>
          </cell>
        </row>
        <row r="395">
          <cell r="A395" t="str">
            <v>ETLCUST-00420</v>
          </cell>
          <cell r="B395" t="str">
            <v>COMPUTER SOURCE - TANGAIL</v>
          </cell>
          <cell r="C395" t="str">
            <v>Niloy Ghosh</v>
          </cell>
          <cell r="D395" t="str">
            <v>DHK-EXT</v>
          </cell>
          <cell r="E395" t="str">
            <v>DHK-EXT</v>
          </cell>
          <cell r="G395">
            <v>10200</v>
          </cell>
          <cell r="T395">
            <v>46550</v>
          </cell>
          <cell r="X395">
            <v>282725</v>
          </cell>
          <cell r="AL395">
            <v>37380</v>
          </cell>
          <cell r="BA395">
            <v>280050</v>
          </cell>
        </row>
        <row r="396">
          <cell r="A396" t="str">
            <v>ETLCUST-05034</v>
          </cell>
          <cell r="B396" t="str">
            <v>COMPUTER SYSTEM &amp; SOLUTION - CHITTAGONG</v>
          </cell>
          <cell r="C396" t="str">
            <v>Titul Dutta</v>
          </cell>
          <cell r="D396" t="str">
            <v>CTG</v>
          </cell>
          <cell r="E396" t="str">
            <v>CTG</v>
          </cell>
          <cell r="G396">
            <v>83250</v>
          </cell>
          <cell r="R396">
            <v>85100</v>
          </cell>
          <cell r="AK396">
            <v>65000</v>
          </cell>
          <cell r="AL396">
            <v>1590</v>
          </cell>
          <cell r="AM396">
            <v>12600</v>
          </cell>
          <cell r="AQ396">
            <v>0</v>
          </cell>
          <cell r="BA396">
            <v>1711710</v>
          </cell>
        </row>
        <row r="397">
          <cell r="A397" t="str">
            <v>ETLCUST-03499</v>
          </cell>
          <cell r="B397" t="str">
            <v>COMPUTER SYSTEM PLUS - SREEPUR</v>
          </cell>
          <cell r="C397" t="str">
            <v>Md Rakibul Islam</v>
          </cell>
          <cell r="D397" t="str">
            <v>South Bengal</v>
          </cell>
          <cell r="E397" t="str">
            <v>South Bengal</v>
          </cell>
          <cell r="G397">
            <v>10200</v>
          </cell>
          <cell r="R397">
            <v>2080</v>
          </cell>
          <cell r="T397">
            <v>9100</v>
          </cell>
          <cell r="X397">
            <v>3000</v>
          </cell>
          <cell r="AJ397">
            <v>6150</v>
          </cell>
          <cell r="AM397">
            <v>12430</v>
          </cell>
          <cell r="AO397">
            <v>4175</v>
          </cell>
          <cell r="AQ397">
            <v>0</v>
          </cell>
          <cell r="BA397">
            <v>27940</v>
          </cell>
        </row>
        <row r="398">
          <cell r="A398" t="str">
            <v>ETLCUST-01010</v>
          </cell>
          <cell r="B398" t="str">
            <v>COMPUTER TECH - JOYPURHUT</v>
          </cell>
          <cell r="C398" t="str">
            <v>Md Shahidul Islam</v>
          </cell>
          <cell r="D398" t="str">
            <v>North Bengal</v>
          </cell>
          <cell r="E398" t="str">
            <v>North Bengal</v>
          </cell>
          <cell r="R398">
            <v>22500</v>
          </cell>
        </row>
        <row r="399">
          <cell r="A399" t="str">
            <v>ETLCUST-00353</v>
          </cell>
          <cell r="B399" t="str">
            <v>COMPUTER TECHNOLOGY - MOHAKHALI</v>
          </cell>
          <cell r="C399" t="str">
            <v>Jiku Saha</v>
          </cell>
          <cell r="D399" t="str">
            <v>Uttara</v>
          </cell>
          <cell r="E399" t="str">
            <v>Uttara</v>
          </cell>
          <cell r="U399">
            <v>7700</v>
          </cell>
          <cell r="X399">
            <v>36500</v>
          </cell>
          <cell r="AA399">
            <v>27000</v>
          </cell>
          <cell r="AM399">
            <v>211540</v>
          </cell>
          <cell r="AO399">
            <v>64750</v>
          </cell>
          <cell r="AR399">
            <v>42250</v>
          </cell>
          <cell r="BA399">
            <v>963405</v>
          </cell>
        </row>
        <row r="400">
          <cell r="A400" t="str">
            <v>ETLCUST-00363</v>
          </cell>
          <cell r="B400" t="str">
            <v>COMPUTER TECHNOLOGY- GULSHAN-02</v>
          </cell>
          <cell r="C400" t="str">
            <v>Jiku Saha</v>
          </cell>
          <cell r="D400" t="str">
            <v>Uttara</v>
          </cell>
          <cell r="E400" t="str">
            <v>Uttara</v>
          </cell>
          <cell r="P400">
            <v>160500</v>
          </cell>
          <cell r="X400">
            <v>72500</v>
          </cell>
          <cell r="AV400">
            <v>75000</v>
          </cell>
        </row>
        <row r="401">
          <cell r="A401" t="str">
            <v>ETLCUST-01359</v>
          </cell>
          <cell r="B401" t="str">
            <v>COMPUTER VALLEY- GOPALGONJ</v>
          </cell>
          <cell r="C401" t="str">
            <v>Hanif shek</v>
          </cell>
          <cell r="D401" t="str">
            <v>South Bengal</v>
          </cell>
          <cell r="E401" t="str">
            <v>South Bengal</v>
          </cell>
          <cell r="P401">
            <v>100500</v>
          </cell>
        </row>
        <row r="402">
          <cell r="A402" t="str">
            <v>ETLCUST-00171</v>
          </cell>
          <cell r="B402" t="str">
            <v>COMPUTER VALLEY LTD - IDB</v>
          </cell>
          <cell r="C402" t="str">
            <v>Gaji Parvin Nesa</v>
          </cell>
          <cell r="D402" t="str">
            <v>IDB</v>
          </cell>
          <cell r="E402" t="str">
            <v>IDB</v>
          </cell>
          <cell r="AV402">
            <v>66800</v>
          </cell>
        </row>
        <row r="403">
          <cell r="A403" t="str">
            <v>ETLCUST-00007</v>
          </cell>
          <cell r="B403" t="str">
            <v>COMPUTER VILLAGE - DINAJPUR</v>
          </cell>
          <cell r="C403" t="str">
            <v>Akramul Haque</v>
          </cell>
          <cell r="D403" t="str">
            <v>North Bengal</v>
          </cell>
          <cell r="E403" t="str">
            <v>North Bengal</v>
          </cell>
          <cell r="P403">
            <v>12800</v>
          </cell>
          <cell r="X403">
            <v>24000</v>
          </cell>
        </row>
        <row r="404">
          <cell r="A404" t="str">
            <v>ETLCUST-00204</v>
          </cell>
          <cell r="B404" t="str">
            <v>COMPUTER VILLAGE - EPTB</v>
          </cell>
          <cell r="C404" t="str">
            <v>Pran Krishna Gosh</v>
          </cell>
          <cell r="D404" t="str">
            <v>Multiplan</v>
          </cell>
          <cell r="E404" t="str">
            <v>Multiplan</v>
          </cell>
          <cell r="H404">
            <v>243000</v>
          </cell>
          <cell r="R404">
            <v>832500</v>
          </cell>
          <cell r="U404">
            <v>50050</v>
          </cell>
          <cell r="AA404">
            <v>61900</v>
          </cell>
          <cell r="AF404">
            <v>44000</v>
          </cell>
        </row>
        <row r="405">
          <cell r="A405" t="str">
            <v>ETLCUST-00831</v>
          </cell>
          <cell r="B405" t="str">
            <v>COMPUTER VILLAGE - IDB</v>
          </cell>
          <cell r="C405" t="str">
            <v>Fajle Rabbi</v>
          </cell>
          <cell r="D405" t="str">
            <v>IDB</v>
          </cell>
          <cell r="E405" t="str">
            <v>IDB</v>
          </cell>
          <cell r="P405">
            <v>6400</v>
          </cell>
          <cell r="U405">
            <v>17500</v>
          </cell>
          <cell r="X405">
            <v>14600</v>
          </cell>
          <cell r="AA405">
            <v>147500</v>
          </cell>
          <cell r="AV405">
            <v>169500</v>
          </cell>
        </row>
        <row r="406">
          <cell r="A406" t="str">
            <v>ETLCUST-00426</v>
          </cell>
          <cell r="B406" t="str">
            <v>COMPUTER VISION - E.ROAD</v>
          </cell>
          <cell r="C406" t="str">
            <v>Mohotasim Rana</v>
          </cell>
          <cell r="D406" t="str">
            <v>DHB</v>
          </cell>
          <cell r="E406" t="str">
            <v>DHB</v>
          </cell>
          <cell r="P406">
            <v>64000</v>
          </cell>
          <cell r="X406">
            <v>122000</v>
          </cell>
          <cell r="AJ406">
            <v>202400</v>
          </cell>
          <cell r="AK406">
            <v>132000</v>
          </cell>
        </row>
        <row r="407">
          <cell r="A407" t="str">
            <v>ETLCUST-00617</v>
          </cell>
          <cell r="B407" t="str">
            <v>COMPUTER VISION - GAIBANDHA</v>
          </cell>
          <cell r="C407" t="str">
            <v>Md Abdullah Al Mamun</v>
          </cell>
          <cell r="D407" t="str">
            <v>North Bengal</v>
          </cell>
          <cell r="E407" t="str">
            <v>North Bengal</v>
          </cell>
          <cell r="R407">
            <v>13200</v>
          </cell>
          <cell r="X407">
            <v>116400</v>
          </cell>
        </row>
        <row r="408">
          <cell r="A408" t="str">
            <v>ETLCUST-00629</v>
          </cell>
          <cell r="B408" t="str">
            <v>COMPUTER VISION - RANGPUR</v>
          </cell>
          <cell r="C408" t="str">
            <v>Md Abdullah Al Mamun</v>
          </cell>
          <cell r="D408" t="str">
            <v>North Bengal</v>
          </cell>
          <cell r="E408" t="str">
            <v>North Bengal</v>
          </cell>
          <cell r="P408">
            <v>12800</v>
          </cell>
          <cell r="AM408">
            <v>56875</v>
          </cell>
          <cell r="AO408">
            <v>22500</v>
          </cell>
          <cell r="BA408">
            <v>507480</v>
          </cell>
        </row>
        <row r="409">
          <cell r="A409" t="str">
            <v>ETLCUST-04957</v>
          </cell>
          <cell r="B409" t="str">
            <v xml:space="preserve">COMPUTER VISTA - E. ROAD </v>
          </cell>
          <cell r="C409" t="str">
            <v>Md Rabiul Islam</v>
          </cell>
          <cell r="D409" t="str">
            <v>DHB</v>
          </cell>
          <cell r="E409" t="str">
            <v>DHB</v>
          </cell>
          <cell r="L409">
            <v>4900000</v>
          </cell>
          <cell r="X409">
            <v>305000</v>
          </cell>
        </row>
        <row r="410">
          <cell r="A410" t="str">
            <v>ETLCUST-03923</v>
          </cell>
          <cell r="B410" t="str">
            <v>COMPUTER WORLD -  NARAIL</v>
          </cell>
          <cell r="C410" t="str">
            <v>Md Husaun</v>
          </cell>
          <cell r="D410" t="str">
            <v>Khulna</v>
          </cell>
          <cell r="E410" t="str">
            <v>Khulna</v>
          </cell>
          <cell r="AZ410">
            <v>29500</v>
          </cell>
        </row>
        <row r="411">
          <cell r="A411" t="str">
            <v>ETLCUST-04230</v>
          </cell>
          <cell r="B411" t="str">
            <v>COMPUTER WORLD - BARISHAL</v>
          </cell>
          <cell r="C411" t="str">
            <v>Md. Aminul Islam</v>
          </cell>
          <cell r="D411" t="str">
            <v>South Bengal</v>
          </cell>
          <cell r="E411" t="str">
            <v>South Bengal</v>
          </cell>
          <cell r="O411">
            <v>6250</v>
          </cell>
          <cell r="R411">
            <v>184000</v>
          </cell>
          <cell r="AL411">
            <v>7155</v>
          </cell>
          <cell r="AM411">
            <v>4560</v>
          </cell>
          <cell r="AO411">
            <v>13525</v>
          </cell>
          <cell r="BA411">
            <v>74780</v>
          </cell>
        </row>
        <row r="412">
          <cell r="A412" t="str">
            <v>ETLCUST-00268</v>
          </cell>
          <cell r="B412" t="str">
            <v>COMPUTER WORLD - SYLHET</v>
          </cell>
          <cell r="C412" t="str">
            <v>Sanwar Husen</v>
          </cell>
          <cell r="D412" t="str">
            <v>Sylhet</v>
          </cell>
          <cell r="E412" t="str">
            <v>Sylhet</v>
          </cell>
          <cell r="AM412">
            <v>5925</v>
          </cell>
        </row>
        <row r="413">
          <cell r="A413" t="str">
            <v>ETLCUST-01452</v>
          </cell>
          <cell r="B413" t="str">
            <v>COMPUTER ZONE - BARGUNA</v>
          </cell>
          <cell r="C413" t="str">
            <v>Shah Imran</v>
          </cell>
          <cell r="D413" t="str">
            <v>South Bengal</v>
          </cell>
          <cell r="E413" t="str">
            <v>South Bengal</v>
          </cell>
          <cell r="P413">
            <v>38400</v>
          </cell>
          <cell r="R413">
            <v>358000</v>
          </cell>
          <cell r="V413">
            <v>5400</v>
          </cell>
          <cell r="X413">
            <v>89600</v>
          </cell>
          <cell r="AM413">
            <v>96035</v>
          </cell>
          <cell r="AQ413">
            <v>0</v>
          </cell>
          <cell r="BA413">
            <v>313175</v>
          </cell>
        </row>
        <row r="414">
          <cell r="A414" t="str">
            <v>ETLCUST-01446</v>
          </cell>
          <cell r="B414" t="str">
            <v>COMPUTER ZONE - KALIAKOIR</v>
          </cell>
          <cell r="C414" t="str">
            <v>MD. Shipon Ali</v>
          </cell>
          <cell r="D414" t="str">
            <v>Uttara</v>
          </cell>
          <cell r="E414" t="str">
            <v>Uttara</v>
          </cell>
          <cell r="G414">
            <v>281600</v>
          </cell>
          <cell r="S414">
            <v>0</v>
          </cell>
          <cell r="AK414">
            <v>56000</v>
          </cell>
          <cell r="AL414">
            <v>15900</v>
          </cell>
          <cell r="AM414">
            <v>138425</v>
          </cell>
          <cell r="AO414">
            <v>25225</v>
          </cell>
          <cell r="AQ414">
            <v>0</v>
          </cell>
          <cell r="BA414">
            <v>401620</v>
          </cell>
        </row>
        <row r="415">
          <cell r="A415" t="str">
            <v>ETLCUST-04726</v>
          </cell>
          <cell r="B415" t="str">
            <v>COMPUTER ZONE - MOULVIBAZAR</v>
          </cell>
          <cell r="C415" t="str">
            <v>Amit Das</v>
          </cell>
          <cell r="D415" t="str">
            <v>Sylhet</v>
          </cell>
          <cell r="E415" t="str">
            <v>Sylhet</v>
          </cell>
          <cell r="R415">
            <v>41000</v>
          </cell>
          <cell r="S415">
            <v>0</v>
          </cell>
          <cell r="T415">
            <v>69150</v>
          </cell>
          <cell r="AT415">
            <v>56500</v>
          </cell>
          <cell r="BA415">
            <v>975085</v>
          </cell>
        </row>
        <row r="416">
          <cell r="A416" t="str">
            <v>ETLCUST-00995</v>
          </cell>
          <cell r="B416" t="str">
            <v>COMPUTER ZONE - PABNA</v>
          </cell>
          <cell r="C416" t="str">
            <v>Forhad Rubel</v>
          </cell>
          <cell r="D416" t="str">
            <v>North Bengal</v>
          </cell>
          <cell r="E416" t="str">
            <v>North Bengal</v>
          </cell>
          <cell r="P416">
            <v>339500</v>
          </cell>
          <cell r="R416">
            <v>30800</v>
          </cell>
          <cell r="S416">
            <v>0</v>
          </cell>
          <cell r="X416">
            <v>2308900</v>
          </cell>
          <cell r="AL416">
            <v>199160</v>
          </cell>
          <cell r="AM416">
            <v>799460</v>
          </cell>
          <cell r="AQ416">
            <v>0</v>
          </cell>
          <cell r="AT416">
            <v>37500</v>
          </cell>
          <cell r="BA416">
            <v>9796270</v>
          </cell>
        </row>
        <row r="417">
          <cell r="A417" t="str">
            <v>ETLCUST-00785</v>
          </cell>
          <cell r="B417" t="str">
            <v>COMPUTER ZONE - RAJSHAHI</v>
          </cell>
          <cell r="C417" t="str">
            <v>Md Moniruzzaman Masum</v>
          </cell>
          <cell r="D417" t="str">
            <v>Rajshahi</v>
          </cell>
          <cell r="E417" t="str">
            <v>Rajshahi</v>
          </cell>
          <cell r="P417">
            <v>12800</v>
          </cell>
        </row>
        <row r="418">
          <cell r="A418" t="str">
            <v>ETLCUST-00011</v>
          </cell>
          <cell r="B418" t="str">
            <v>COMPUTER ZONE - SAYEDPUR</v>
          </cell>
          <cell r="C418" t="str">
            <v>Akramul Haque</v>
          </cell>
          <cell r="D418" t="str">
            <v>North Bengal</v>
          </cell>
          <cell r="E418" t="str">
            <v>North Bengal</v>
          </cell>
          <cell r="X418">
            <v>125225</v>
          </cell>
          <cell r="AM418">
            <v>760</v>
          </cell>
          <cell r="BA418">
            <v>181920</v>
          </cell>
        </row>
        <row r="419">
          <cell r="A419" t="str">
            <v>ETLCUST-03430</v>
          </cell>
          <cell r="B419" t="str">
            <v>COMTECH SOLUTION</v>
          </cell>
          <cell r="C419" t="str">
            <v>Ashraful Islam</v>
          </cell>
          <cell r="D419" t="str">
            <v>Corporate</v>
          </cell>
          <cell r="E419" t="str">
            <v>Corporate</v>
          </cell>
          <cell r="U419">
            <v>27000</v>
          </cell>
        </row>
        <row r="420">
          <cell r="A420" t="str">
            <v>ETLCUST-00176</v>
          </cell>
          <cell r="B420" t="str">
            <v>COMTRADE - IDB</v>
          </cell>
          <cell r="C420" t="str">
            <v>Gaji Parvin Nesa</v>
          </cell>
          <cell r="D420" t="str">
            <v>IDB</v>
          </cell>
          <cell r="E420" t="str">
            <v>IDB</v>
          </cell>
          <cell r="AM420">
            <v>3490</v>
          </cell>
        </row>
        <row r="421">
          <cell r="A421" t="str">
            <v>ETLCUST-02894</v>
          </cell>
          <cell r="B421" t="str">
            <v>CONCORDE KNITTING &amp; DYEING INDUSTRIES LIMITED</v>
          </cell>
          <cell r="C421" t="str">
            <v>Hasibul Hasan Symoon</v>
          </cell>
          <cell r="D421" t="str">
            <v>Corporate</v>
          </cell>
          <cell r="E421" t="str">
            <v>Corporate</v>
          </cell>
          <cell r="AD421">
            <v>52500</v>
          </cell>
        </row>
        <row r="422">
          <cell r="A422" t="str">
            <v>ETLCUST-03707</v>
          </cell>
          <cell r="B422" t="str">
            <v>CONFIDENCE COMPUTERS - KUSHTIA</v>
          </cell>
          <cell r="C422" t="str">
            <v>Md Rakibul Islam</v>
          </cell>
          <cell r="D422" t="str">
            <v>South Bengal</v>
          </cell>
          <cell r="E422" t="str">
            <v>South Bengal</v>
          </cell>
          <cell r="BA422">
            <v>6000</v>
          </cell>
        </row>
        <row r="423">
          <cell r="A423" t="str">
            <v>ETLCUST-04672</v>
          </cell>
          <cell r="B423" t="str">
            <v>CONFIDENT COMPUTER - SYLHET</v>
          </cell>
          <cell r="C423" t="str">
            <v>Sanwar Husen</v>
          </cell>
          <cell r="D423" t="str">
            <v>Sylhet</v>
          </cell>
          <cell r="E423" t="str">
            <v>Sylhet</v>
          </cell>
          <cell r="R423">
            <v>7200</v>
          </cell>
          <cell r="AJ423">
            <v>7450</v>
          </cell>
        </row>
        <row r="424">
          <cell r="A424" t="str">
            <v>ETLCUST-01132</v>
          </cell>
          <cell r="B424" t="str">
            <v>CONNECT SOLUTION - MIRPUR</v>
          </cell>
          <cell r="C424" t="str">
            <v>Amit Sarker</v>
          </cell>
          <cell r="D424" t="str">
            <v>IDB</v>
          </cell>
          <cell r="E424" t="str">
            <v>IDB</v>
          </cell>
          <cell r="S424">
            <v>0</v>
          </cell>
          <cell r="AM424">
            <v>425750</v>
          </cell>
          <cell r="AO424">
            <v>101450</v>
          </cell>
          <cell r="AZ424">
            <v>562700</v>
          </cell>
          <cell r="BA424">
            <v>1646130</v>
          </cell>
        </row>
        <row r="425">
          <cell r="A425" t="str">
            <v>ETLCUST-03558</v>
          </cell>
          <cell r="B425" t="str">
            <v xml:space="preserve">CONNECT SOLUTIONS - MULTIPLAN </v>
          </cell>
          <cell r="C425" t="str">
            <v>Pran Krishna Gosh</v>
          </cell>
          <cell r="D425" t="str">
            <v>Multiplan</v>
          </cell>
          <cell r="E425" t="str">
            <v>Multiplan</v>
          </cell>
          <cell r="L425">
            <v>199980</v>
          </cell>
          <cell r="P425">
            <v>89800</v>
          </cell>
          <cell r="U425">
            <v>105800</v>
          </cell>
          <cell r="V425">
            <v>27750</v>
          </cell>
          <cell r="X425">
            <v>60000</v>
          </cell>
          <cell r="AJ425">
            <v>11200</v>
          </cell>
          <cell r="AM425">
            <v>1140</v>
          </cell>
          <cell r="AR425">
            <v>107800</v>
          </cell>
          <cell r="BA425">
            <v>70050</v>
          </cell>
        </row>
        <row r="426">
          <cell r="A426" t="str">
            <v>ETLCUST-04387</v>
          </cell>
          <cell r="B426" t="str">
            <v>CONSUMER KNITEX LIMITED</v>
          </cell>
          <cell r="C426" t="str">
            <v>Hasibul Hasan Symoon</v>
          </cell>
          <cell r="D426" t="str">
            <v>Corporate</v>
          </cell>
          <cell r="E426" t="str">
            <v>Corporate</v>
          </cell>
          <cell r="R426">
            <v>91066.739999999991</v>
          </cell>
          <cell r="X426">
            <v>13685</v>
          </cell>
          <cell r="AY426">
            <v>1580</v>
          </cell>
        </row>
        <row r="427">
          <cell r="A427" t="str">
            <v>ETLCUST-02074</v>
          </cell>
          <cell r="B427" t="str">
            <v>CORPORATE POINT</v>
          </cell>
          <cell r="C427" t="str">
            <v>Shakil Ahmed</v>
          </cell>
          <cell r="D427" t="str">
            <v>Corporate</v>
          </cell>
          <cell r="E427" t="str">
            <v>Corporate</v>
          </cell>
          <cell r="F427">
            <v>125000</v>
          </cell>
          <cell r="X427">
            <v>86500</v>
          </cell>
          <cell r="AR427">
            <v>249000</v>
          </cell>
        </row>
        <row r="428">
          <cell r="A428" t="str">
            <v>ETLCUST-02713</v>
          </cell>
          <cell r="B428" t="str">
            <v>CORPORATE POINT - MOTIJHEEL</v>
          </cell>
          <cell r="C428" t="str">
            <v>Hridoy Chandra Das</v>
          </cell>
          <cell r="D428" t="str">
            <v>Motijheel</v>
          </cell>
          <cell r="E428" t="str">
            <v>Motijheel</v>
          </cell>
          <cell r="R428">
            <v>82000</v>
          </cell>
          <cell r="AJ428">
            <v>84000</v>
          </cell>
          <cell r="AV428">
            <v>60000</v>
          </cell>
        </row>
        <row r="429">
          <cell r="A429" t="str">
            <v>ETLCUST-02075</v>
          </cell>
          <cell r="B429" t="str">
            <v>COSMOPOLITAN INDUSTRIES (PVT.) LIMITED</v>
          </cell>
          <cell r="C429" t="str">
            <v>Ashraful Islam</v>
          </cell>
          <cell r="D429" t="str">
            <v>Corporate</v>
          </cell>
          <cell r="E429" t="str">
            <v>Corporate</v>
          </cell>
          <cell r="H429">
            <v>159600</v>
          </cell>
          <cell r="S429">
            <v>20000</v>
          </cell>
        </row>
        <row r="430">
          <cell r="A430" t="str">
            <v>ETLCUST-01031</v>
          </cell>
          <cell r="B430" t="str">
            <v>COX COMPUTER CITY - COX'S BAZER</v>
          </cell>
          <cell r="C430" t="str">
            <v>Md. Mamunur Rashid</v>
          </cell>
          <cell r="D430" t="str">
            <v>CTG</v>
          </cell>
          <cell r="E430" t="str">
            <v>CTG</v>
          </cell>
          <cell r="T430">
            <v>18800</v>
          </cell>
          <cell r="X430">
            <v>106400</v>
          </cell>
          <cell r="AL430">
            <v>8670</v>
          </cell>
          <cell r="AM430">
            <v>1140</v>
          </cell>
          <cell r="BA430">
            <v>151450</v>
          </cell>
        </row>
        <row r="431">
          <cell r="A431" t="str">
            <v>ETLCUST-03344</v>
          </cell>
          <cell r="B431" t="str">
            <v>COX TELECOM TECHNOLOGY - COX'S BAZAR</v>
          </cell>
          <cell r="C431" t="str">
            <v>Md. Mamunur Rashid</v>
          </cell>
          <cell r="D431" t="str">
            <v>CTG</v>
          </cell>
          <cell r="E431" t="str">
            <v>CTG</v>
          </cell>
          <cell r="AS431">
            <v>71000</v>
          </cell>
        </row>
        <row r="432">
          <cell r="A432" t="str">
            <v>ETLCUST-00413</v>
          </cell>
          <cell r="B432" t="str">
            <v>CREATION IT - TANGAIL</v>
          </cell>
          <cell r="C432" t="str">
            <v>Niloy Ghosh</v>
          </cell>
          <cell r="D432" t="str">
            <v>DHK-EXT</v>
          </cell>
          <cell r="E432" t="str">
            <v>DHK-EXT</v>
          </cell>
          <cell r="G432">
            <v>219000</v>
          </cell>
          <cell r="S432">
            <v>0</v>
          </cell>
          <cell r="T432">
            <v>238500</v>
          </cell>
          <cell r="X432">
            <v>359550</v>
          </cell>
          <cell r="AJ432">
            <v>25900</v>
          </cell>
          <cell r="AK432">
            <v>13000</v>
          </cell>
          <cell r="AL432">
            <v>33030</v>
          </cell>
          <cell r="AM432">
            <v>317230</v>
          </cell>
          <cell r="AO432">
            <v>451860</v>
          </cell>
          <cell r="AR432">
            <v>5400</v>
          </cell>
          <cell r="BA432">
            <v>2257070</v>
          </cell>
        </row>
        <row r="433">
          <cell r="A433" t="str">
            <v>ETLCUST-01547</v>
          </cell>
          <cell r="B433" t="str">
            <v>CREATIVE COMPUTER - COXS BAZAR</v>
          </cell>
          <cell r="C433" t="str">
            <v>Md. Mamunur Rashid</v>
          </cell>
          <cell r="D433" t="str">
            <v>CTG</v>
          </cell>
          <cell r="E433" t="str">
            <v>CTG</v>
          </cell>
          <cell r="Q433">
            <v>890</v>
          </cell>
          <cell r="BA433">
            <v>2450</v>
          </cell>
        </row>
        <row r="434">
          <cell r="A434" t="str">
            <v>ETLCUST-04458</v>
          </cell>
          <cell r="B434" t="str">
            <v>CREATIVE IT SOLUTIONS - JESSORE</v>
          </cell>
          <cell r="C434" t="str">
            <v>Md Husaun</v>
          </cell>
          <cell r="D434" t="str">
            <v>Khulna</v>
          </cell>
          <cell r="E434" t="str">
            <v>Khulna</v>
          </cell>
          <cell r="G434">
            <v>1560000</v>
          </cell>
          <cell r="S434">
            <v>0</v>
          </cell>
          <cell r="T434">
            <v>186750</v>
          </cell>
          <cell r="AK434">
            <v>55000</v>
          </cell>
          <cell r="AM434">
            <v>289570</v>
          </cell>
          <cell r="AO434">
            <v>57450</v>
          </cell>
          <cell r="AQ434">
            <v>0</v>
          </cell>
          <cell r="AV434">
            <v>68400</v>
          </cell>
          <cell r="BA434">
            <v>6100615</v>
          </cell>
        </row>
        <row r="435">
          <cell r="A435" t="str">
            <v>ETLCUST-03948</v>
          </cell>
          <cell r="B435" t="str">
            <v>CREATIVE IT-LAKSHMIPUR</v>
          </cell>
          <cell r="C435" t="str">
            <v>Reazuddin</v>
          </cell>
          <cell r="D435" t="str">
            <v>CTG</v>
          </cell>
          <cell r="E435" t="str">
            <v>CTG</v>
          </cell>
          <cell r="AL435">
            <v>7950</v>
          </cell>
          <cell r="BA435">
            <v>10000</v>
          </cell>
        </row>
        <row r="436">
          <cell r="A436" t="str">
            <v>ETLCUST-02976</v>
          </cell>
          <cell r="B436" t="str">
            <v>CREATIVE SOURCE - MIRPUR</v>
          </cell>
          <cell r="C436" t="str">
            <v>Amit Sarker</v>
          </cell>
          <cell r="D436" t="str">
            <v>IDB</v>
          </cell>
          <cell r="E436" t="str">
            <v>IDB</v>
          </cell>
          <cell r="S436">
            <v>0</v>
          </cell>
          <cell r="T436">
            <v>299500</v>
          </cell>
          <cell r="X436">
            <v>190000</v>
          </cell>
          <cell r="AL436">
            <v>100840</v>
          </cell>
          <cell r="AM436">
            <v>466205</v>
          </cell>
          <cell r="AO436">
            <v>450350</v>
          </cell>
          <cell r="BA436">
            <v>3320770</v>
          </cell>
        </row>
        <row r="437">
          <cell r="A437" t="str">
            <v>ETLCUST-04147</v>
          </cell>
          <cell r="B437" t="str">
            <v xml:space="preserve">CREATORS COMPUTER - PABNA </v>
          </cell>
          <cell r="C437" t="str">
            <v>Forhad Rubel</v>
          </cell>
          <cell r="D437" t="str">
            <v>North Bengal</v>
          </cell>
          <cell r="E437" t="str">
            <v>North Bengal</v>
          </cell>
          <cell r="Q437">
            <v>890</v>
          </cell>
          <cell r="AM437">
            <v>27320</v>
          </cell>
          <cell r="AO437">
            <v>12540</v>
          </cell>
          <cell r="BA437">
            <v>101460</v>
          </cell>
        </row>
        <row r="438">
          <cell r="A438" t="str">
            <v>ETLCUST-00153</v>
          </cell>
          <cell r="B438" t="str">
            <v>CTG COMPUTER CITY - UTTARA</v>
          </cell>
          <cell r="C438" t="str">
            <v>Dulal Sarker</v>
          </cell>
          <cell r="D438" t="str">
            <v>Uttara</v>
          </cell>
          <cell r="E438" t="str">
            <v>Uttara</v>
          </cell>
          <cell r="S438">
            <v>0</v>
          </cell>
          <cell r="U438">
            <v>14800</v>
          </cell>
          <cell r="AR438">
            <v>46000</v>
          </cell>
          <cell r="AV438">
            <v>33400</v>
          </cell>
          <cell r="BA438">
            <v>427865</v>
          </cell>
        </row>
        <row r="439">
          <cell r="A439" t="str">
            <v>ETLCUST-03484</v>
          </cell>
          <cell r="B439" t="str">
            <v>CUBE NETWORK -CTG</v>
          </cell>
          <cell r="C439" t="str">
            <v>Manjurul Huda Parvez</v>
          </cell>
          <cell r="D439" t="str">
            <v>CTG</v>
          </cell>
          <cell r="E439" t="str">
            <v>CTG</v>
          </cell>
          <cell r="BA439">
            <v>9850</v>
          </cell>
        </row>
        <row r="440">
          <cell r="A440" t="str">
            <v>ETLCUST-05375</v>
          </cell>
          <cell r="B440" t="str">
            <v>CUSTOMS, EXCISE AND VAT TRAINING ACADEMY</v>
          </cell>
          <cell r="C440" t="str">
            <v>Akter Hossen Nishan</v>
          </cell>
          <cell r="D440" t="str">
            <v>Corporate</v>
          </cell>
          <cell r="E440" t="str">
            <v>Corporate</v>
          </cell>
          <cell r="S440">
            <v>0</v>
          </cell>
          <cell r="AN440">
            <v>13000</v>
          </cell>
          <cell r="AS440">
            <v>550000</v>
          </cell>
        </row>
        <row r="441">
          <cell r="A441" t="str">
            <v>ETLCUST-00303</v>
          </cell>
          <cell r="B441" t="str">
            <v>CYBER RELATION - MULTIPLAN</v>
          </cell>
          <cell r="C441" t="str">
            <v>Md. Anamul Hoque</v>
          </cell>
          <cell r="D441" t="str">
            <v>Multiplan</v>
          </cell>
          <cell r="E441" t="str">
            <v>Multiplan</v>
          </cell>
          <cell r="H441">
            <v>175200</v>
          </cell>
          <cell r="P441">
            <v>25600</v>
          </cell>
          <cell r="R441">
            <v>13800</v>
          </cell>
          <cell r="Y441">
            <v>42000</v>
          </cell>
          <cell r="AJ441">
            <v>368070</v>
          </cell>
          <cell r="AN441">
            <v>552000</v>
          </cell>
          <cell r="AT441">
            <v>38400</v>
          </cell>
          <cell r="AV441">
            <v>16700</v>
          </cell>
        </row>
        <row r="442">
          <cell r="A442" t="str">
            <v>ETLCUST-03193</v>
          </cell>
          <cell r="B442" t="str">
            <v xml:space="preserve">CYBER SOFT TECHNOLOGY - SUVASTU </v>
          </cell>
          <cell r="C442" t="str">
            <v>Md Shamim Miah</v>
          </cell>
          <cell r="D442" t="str">
            <v>DHB</v>
          </cell>
          <cell r="E442" t="str">
            <v>DHB</v>
          </cell>
          <cell r="R442">
            <v>2429100</v>
          </cell>
          <cell r="S442">
            <v>0</v>
          </cell>
        </row>
        <row r="443">
          <cell r="A443" t="str">
            <v>ETLCUST-00674</v>
          </cell>
          <cell r="B443" t="str">
            <v>CYBER TECH - JESSORE</v>
          </cell>
          <cell r="C443" t="str">
            <v>Md Husaun</v>
          </cell>
          <cell r="D443" t="str">
            <v>Khulna</v>
          </cell>
          <cell r="E443" t="str">
            <v>Khulna</v>
          </cell>
          <cell r="S443">
            <v>0</v>
          </cell>
          <cell r="T443">
            <v>27500</v>
          </cell>
          <cell r="X443">
            <v>245975</v>
          </cell>
        </row>
        <row r="444">
          <cell r="A444" t="str">
            <v>ETLCUST-03268</v>
          </cell>
          <cell r="B444" t="str">
            <v>CYBER WORKS - ZINDABAZAR</v>
          </cell>
          <cell r="C444" t="str">
            <v>Amit Das</v>
          </cell>
          <cell r="D444" t="str">
            <v>Sylhet</v>
          </cell>
          <cell r="E444" t="str">
            <v>Sylhet</v>
          </cell>
          <cell r="AR444">
            <v>15000</v>
          </cell>
        </row>
        <row r="445">
          <cell r="A445" t="str">
            <v>ETLCUST-04681</v>
          </cell>
          <cell r="B445" t="str">
            <v>D CORE SOLUTIONS - MOHAKHALI</v>
          </cell>
          <cell r="C445" t="str">
            <v>Liton Biswas</v>
          </cell>
          <cell r="D445" t="str">
            <v>HO-SI</v>
          </cell>
          <cell r="E445" t="str">
            <v>HO-SI</v>
          </cell>
          <cell r="G445">
            <v>145000</v>
          </cell>
          <cell r="U445">
            <v>175000</v>
          </cell>
        </row>
        <row r="446">
          <cell r="A446" t="str">
            <v>ETLCUST-01574</v>
          </cell>
          <cell r="B446" t="str">
            <v>DADA BHAI ELECTRONICS - NAWABPUR</v>
          </cell>
          <cell r="C446" t="str">
            <v>Shamim Hossain</v>
          </cell>
          <cell r="D446" t="str">
            <v>Gulistan</v>
          </cell>
          <cell r="E446" t="str">
            <v>Gulistan</v>
          </cell>
          <cell r="AZ446">
            <v>76400</v>
          </cell>
        </row>
        <row r="447">
          <cell r="A447" t="str">
            <v>ETLCUST-01581</v>
          </cell>
          <cell r="B447" t="str">
            <v>DADA ENTERPRISE - GULISTAN</v>
          </cell>
          <cell r="C447" t="str">
            <v>Shamim Hossain</v>
          </cell>
          <cell r="D447" t="str">
            <v>Gulistan</v>
          </cell>
          <cell r="E447" t="str">
            <v>Gulistan</v>
          </cell>
          <cell r="AZ447">
            <v>115400</v>
          </cell>
        </row>
        <row r="448">
          <cell r="A448" t="str">
            <v>ETLCUST-03107</v>
          </cell>
          <cell r="B448" t="str">
            <v>DADA ENTERPRISE PRADHAN - GULISTAN</v>
          </cell>
          <cell r="C448" t="str">
            <v>Shamim Hossain</v>
          </cell>
          <cell r="D448" t="str">
            <v>Gulistan</v>
          </cell>
          <cell r="E448" t="str">
            <v>Gulistan</v>
          </cell>
          <cell r="S448">
            <v>0</v>
          </cell>
          <cell r="AL448">
            <v>155100</v>
          </cell>
          <cell r="AM448">
            <v>752740</v>
          </cell>
          <cell r="AQ448">
            <v>0</v>
          </cell>
          <cell r="AZ448">
            <v>828200</v>
          </cell>
          <cell r="BA448">
            <v>10012680</v>
          </cell>
        </row>
        <row r="449">
          <cell r="A449" t="str">
            <v>ETLCUST-00828</v>
          </cell>
          <cell r="B449" t="str">
            <v>DAFFODIL COMPUTERS LTD.- IDB</v>
          </cell>
          <cell r="C449" t="str">
            <v>Gaji Parvin Nesa</v>
          </cell>
          <cell r="D449" t="str">
            <v>IDB</v>
          </cell>
          <cell r="E449" t="str">
            <v>IDB</v>
          </cell>
          <cell r="AT449">
            <v>22000</v>
          </cell>
          <cell r="BA449">
            <v>3650</v>
          </cell>
        </row>
        <row r="450">
          <cell r="A450" t="str">
            <v>ETLCUST-02490</v>
          </cell>
          <cell r="B450" t="str">
            <v>DAFFODIL INTERNATIONAL UNIVERSITY</v>
          </cell>
          <cell r="C450" t="str">
            <v>Mosfiqur Rahman</v>
          </cell>
          <cell r="D450" t="str">
            <v>Corporate</v>
          </cell>
          <cell r="E450" t="str">
            <v>Corporate</v>
          </cell>
          <cell r="AA450">
            <v>53684.55</v>
          </cell>
        </row>
        <row r="451">
          <cell r="A451" t="str">
            <v>ETLCUST-03158</v>
          </cell>
          <cell r="B451" t="str">
            <v>DANGULI COMPUTER SALES - ROHANPUR</v>
          </cell>
          <cell r="C451" t="str">
            <v>Md Moniruzzaman Masum</v>
          </cell>
          <cell r="D451" t="str">
            <v>Rajshahi</v>
          </cell>
          <cell r="E451" t="str">
            <v>Rajshahi</v>
          </cell>
          <cell r="AZ451">
            <v>26400</v>
          </cell>
        </row>
        <row r="452">
          <cell r="A452" t="str">
            <v>ETLCUST-04143</v>
          </cell>
          <cell r="B452" t="str">
            <v>DARA TECHNOLOGY (BD) LTD - UTTARA</v>
          </cell>
          <cell r="C452" t="str">
            <v>Dulal Sarker</v>
          </cell>
          <cell r="D452" t="str">
            <v>Uttara</v>
          </cell>
          <cell r="E452" t="str">
            <v>Uttara</v>
          </cell>
          <cell r="AF452">
            <v>141000</v>
          </cell>
        </row>
        <row r="453">
          <cell r="A453" t="str">
            <v>ETLCUST-00657</v>
          </cell>
          <cell r="B453" t="str">
            <v>DARAZ BANGLADESH LIMITED - BANANI</v>
          </cell>
          <cell r="C453" t="str">
            <v>Md Al Amin Shuvo</v>
          </cell>
          <cell r="D453" t="str">
            <v>Ecommerce</v>
          </cell>
          <cell r="E453" t="str">
            <v>Ecommerce</v>
          </cell>
          <cell r="G453">
            <v>1120</v>
          </cell>
          <cell r="R453">
            <v>21000</v>
          </cell>
          <cell r="S453">
            <v>0</v>
          </cell>
          <cell r="T453">
            <v>289330</v>
          </cell>
          <cell r="V453">
            <v>157100</v>
          </cell>
          <cell r="X453">
            <v>15850</v>
          </cell>
          <cell r="AF453">
            <v>0</v>
          </cell>
          <cell r="AL453">
            <v>51340</v>
          </cell>
          <cell r="AM453">
            <v>3496750</v>
          </cell>
          <cell r="AO453">
            <v>30545</v>
          </cell>
          <cell r="BA453">
            <v>6783805</v>
          </cell>
        </row>
        <row r="454">
          <cell r="A454" t="str">
            <v>ETLCUST-05227</v>
          </cell>
          <cell r="B454" t="str">
            <v>DAS TECHNOLOGIES - SANDWIP</v>
          </cell>
          <cell r="C454" t="str">
            <v>Reazuddin</v>
          </cell>
          <cell r="D454" t="str">
            <v>CTG</v>
          </cell>
          <cell r="E454" t="str">
            <v>CTG</v>
          </cell>
          <cell r="X454">
            <v>67500</v>
          </cell>
        </row>
        <row r="455">
          <cell r="A455" t="str">
            <v>ETLCUST-00561</v>
          </cell>
          <cell r="B455" t="str">
            <v>DATA SOLUTION LTD - KAWRANBAZAR</v>
          </cell>
          <cell r="C455" t="str">
            <v>Sadekur Rahman</v>
          </cell>
          <cell r="D455" t="str">
            <v>HO-SI</v>
          </cell>
          <cell r="E455" t="str">
            <v>HO-SI</v>
          </cell>
          <cell r="P455">
            <v>260000</v>
          </cell>
        </row>
        <row r="456">
          <cell r="A456" t="str">
            <v>ETLCUST-03737</v>
          </cell>
          <cell r="B456" t="str">
            <v>DATA TECH SOLUTION - CTG</v>
          </cell>
          <cell r="C456" t="str">
            <v>Md. Mamunur Rashid</v>
          </cell>
          <cell r="D456" t="str">
            <v>CTG</v>
          </cell>
          <cell r="E456" t="str">
            <v>CTG</v>
          </cell>
          <cell r="I456">
            <v>27000</v>
          </cell>
          <cell r="U456">
            <v>136750</v>
          </cell>
          <cell r="AR456">
            <v>1182000</v>
          </cell>
          <cell r="AV456">
            <v>2500</v>
          </cell>
          <cell r="BA456">
            <v>11170</v>
          </cell>
        </row>
        <row r="457">
          <cell r="A457" t="str">
            <v>ETLCUST-00219</v>
          </cell>
          <cell r="B457" t="str">
            <v>DATATECH COMPUTER - MULTIPLAN</v>
          </cell>
          <cell r="C457" t="str">
            <v>Md Rabiul Islam</v>
          </cell>
          <cell r="D457" t="str">
            <v>DHB</v>
          </cell>
          <cell r="E457" t="str">
            <v>DHB</v>
          </cell>
          <cell r="G457">
            <v>5708500</v>
          </cell>
          <cell r="P457">
            <v>3213000</v>
          </cell>
          <cell r="T457">
            <v>44474750</v>
          </cell>
          <cell r="U457">
            <v>29700</v>
          </cell>
          <cell r="V457">
            <v>102075</v>
          </cell>
          <cell r="W457">
            <v>-5100</v>
          </cell>
          <cell r="X457">
            <v>132120250</v>
          </cell>
          <cell r="Y457">
            <v>1180000</v>
          </cell>
          <cell r="AJ457">
            <v>12941800</v>
          </cell>
          <cell r="AK457">
            <v>113000</v>
          </cell>
          <cell r="AL457">
            <v>18539620</v>
          </cell>
          <cell r="AP457">
            <v>14500</v>
          </cell>
        </row>
        <row r="458">
          <cell r="A458" t="str">
            <v>ETLCUST-05427</v>
          </cell>
          <cell r="B458" t="str">
            <v>DATATECH COMPUTER- E.ROAD (TP-LINK)</v>
          </cell>
          <cell r="C458" t="str">
            <v>Md Rabiul Islam</v>
          </cell>
          <cell r="D458" t="str">
            <v>DHB</v>
          </cell>
          <cell r="E458" t="str">
            <v>DHB</v>
          </cell>
          <cell r="S458">
            <v>0</v>
          </cell>
          <cell r="AM458">
            <v>4897540</v>
          </cell>
          <cell r="BA458">
            <v>33262560</v>
          </cell>
        </row>
        <row r="459">
          <cell r="A459" t="str">
            <v>ETLCUST-02087</v>
          </cell>
          <cell r="B459" t="str">
            <v>DAZZLING DRESSES LTD.</v>
          </cell>
          <cell r="C459" t="str">
            <v>Md Saim Ali Rezvy</v>
          </cell>
          <cell r="D459" t="str">
            <v>Corporate</v>
          </cell>
          <cell r="E459" t="str">
            <v>Corporate</v>
          </cell>
          <cell r="AR459">
            <v>15500</v>
          </cell>
        </row>
        <row r="460">
          <cell r="A460" t="str">
            <v>ETLCUST-04414</v>
          </cell>
          <cell r="B460" t="str">
            <v>DEBONAIR BAG &amp; LUGGAGE LIMITED</v>
          </cell>
          <cell r="C460" t="str">
            <v>Ashraful Islam</v>
          </cell>
          <cell r="D460" t="str">
            <v>Corporate</v>
          </cell>
          <cell r="E460" t="str">
            <v>Corporate</v>
          </cell>
          <cell r="I460">
            <v>34400</v>
          </cell>
          <cell r="AY460">
            <v>1300</v>
          </cell>
        </row>
        <row r="461">
          <cell r="A461" t="str">
            <v>ETLCUST-02088</v>
          </cell>
          <cell r="B461" t="str">
            <v>DEBONAIR LIMITED</v>
          </cell>
          <cell r="C461" t="str">
            <v>Ashraful Islam</v>
          </cell>
          <cell r="D461" t="str">
            <v>Corporate</v>
          </cell>
          <cell r="E461" t="str">
            <v>Corporate</v>
          </cell>
          <cell r="K461">
            <v>3310000</v>
          </cell>
          <cell r="S461">
            <v>17417.27</v>
          </cell>
          <cell r="X461">
            <v>-88703.21</v>
          </cell>
          <cell r="AB461">
            <v>1052901.74</v>
          </cell>
          <cell r="AI461">
            <v>4736.3599999999997</v>
          </cell>
          <cell r="AR461">
            <v>78000</v>
          </cell>
          <cell r="AV461">
            <v>385000</v>
          </cell>
        </row>
        <row r="462">
          <cell r="A462" t="str">
            <v>ETLCUST-03150</v>
          </cell>
          <cell r="B462" t="str">
            <v>DECENT POINT - MULTIPLAN</v>
          </cell>
          <cell r="C462" t="str">
            <v>Mohammad Mostofa</v>
          </cell>
          <cell r="D462" t="str">
            <v>Multiplan</v>
          </cell>
          <cell r="E462" t="str">
            <v>Multiplan</v>
          </cell>
          <cell r="AZ462">
            <v>505900</v>
          </cell>
        </row>
        <row r="463">
          <cell r="A463" t="str">
            <v>ETLCUST-05240</v>
          </cell>
          <cell r="B463" t="str">
            <v>DECIMAL COMPUTER - BARISAL</v>
          </cell>
          <cell r="C463" t="str">
            <v>Md. Aminul Islam</v>
          </cell>
          <cell r="D463" t="str">
            <v>South Bengal</v>
          </cell>
          <cell r="E463" t="str">
            <v>South Bengal</v>
          </cell>
          <cell r="R463">
            <v>15440</v>
          </cell>
          <cell r="S463">
            <v>0</v>
          </cell>
          <cell r="T463">
            <v>6600</v>
          </cell>
          <cell r="X463">
            <v>12000</v>
          </cell>
          <cell r="AK463">
            <v>33600</v>
          </cell>
          <cell r="AL463">
            <v>13785</v>
          </cell>
          <cell r="AM463">
            <v>50170</v>
          </cell>
          <cell r="AQ463">
            <v>0</v>
          </cell>
          <cell r="BA463">
            <v>340175</v>
          </cell>
        </row>
        <row r="464">
          <cell r="A464" t="str">
            <v>ETLCUST-05136</v>
          </cell>
          <cell r="B464" t="str">
            <v>DEFAULT SYSTEM BD - NAOGAON</v>
          </cell>
          <cell r="C464" t="str">
            <v>Md. Abu Basar</v>
          </cell>
          <cell r="D464" t="str">
            <v>North Bengal</v>
          </cell>
          <cell r="E464" t="str">
            <v>North Bengal</v>
          </cell>
          <cell r="AO464">
            <v>4500</v>
          </cell>
        </row>
        <row r="465">
          <cell r="A465" t="str">
            <v>ETLCUST-02675</v>
          </cell>
          <cell r="B465" t="str">
            <v>DEKKO ISHO GROUP</v>
          </cell>
          <cell r="C465" t="str">
            <v>Mosfiqur Rahman</v>
          </cell>
          <cell r="D465" t="str">
            <v>Corporate</v>
          </cell>
          <cell r="E465" t="str">
            <v>Corporate</v>
          </cell>
          <cell r="U465">
            <v>24100</v>
          </cell>
        </row>
        <row r="466">
          <cell r="A466" t="str">
            <v>ETLCUST-02089</v>
          </cell>
          <cell r="B466" t="str">
            <v>DEKKO KNITWARES LTD.</v>
          </cell>
          <cell r="C466" t="str">
            <v>Md Saim Ali Rezvy</v>
          </cell>
          <cell r="D466" t="str">
            <v>Corporate</v>
          </cell>
          <cell r="E466" t="str">
            <v>Corporate</v>
          </cell>
          <cell r="AR466">
            <v>15500</v>
          </cell>
        </row>
        <row r="467">
          <cell r="A467" t="str">
            <v>ETLCUST-04304</v>
          </cell>
          <cell r="B467" t="str">
            <v>DEKKO LEGACY GROUP</v>
          </cell>
          <cell r="C467" t="str">
            <v>Hasibul Hasan Symoon</v>
          </cell>
          <cell r="D467" t="str">
            <v>Corporate</v>
          </cell>
          <cell r="E467" t="str">
            <v>Corporate</v>
          </cell>
          <cell r="AJ467">
            <v>122000</v>
          </cell>
        </row>
        <row r="468">
          <cell r="A468" t="str">
            <v>ETLCUST-03130</v>
          </cell>
          <cell r="B468" t="str">
            <v>DENCO COMPUTERS - BARISAL</v>
          </cell>
          <cell r="C468" t="str">
            <v>Md. Aminul Islam</v>
          </cell>
          <cell r="D468" t="str">
            <v>South Bengal</v>
          </cell>
          <cell r="E468" t="str">
            <v>South Bengal</v>
          </cell>
          <cell r="R468">
            <v>244500</v>
          </cell>
          <cell r="X468">
            <v>12200</v>
          </cell>
          <cell r="AJ468">
            <v>57480</v>
          </cell>
        </row>
        <row r="469">
          <cell r="A469" t="str">
            <v>ETLCUST-05022</v>
          </cell>
          <cell r="B469" t="str">
            <v>DEPARTMENT OF LAND RECORDS AND SURVEYS</v>
          </cell>
          <cell r="C469" t="str">
            <v>Md. Zakaria</v>
          </cell>
          <cell r="D469" t="str">
            <v>Tender</v>
          </cell>
          <cell r="E469" t="str">
            <v>Tender</v>
          </cell>
          <cell r="N469">
            <v>34217384.969999999</v>
          </cell>
          <cell r="R469">
            <v>327269.46000000002</v>
          </cell>
        </row>
        <row r="470">
          <cell r="A470" t="str">
            <v>ETLCUST-02091</v>
          </cell>
          <cell r="B470" t="str">
            <v>DESH ENERGY LIMITED</v>
          </cell>
          <cell r="C470" t="str">
            <v>Abu Zahid Sobuj</v>
          </cell>
          <cell r="D470" t="str">
            <v>Corporate</v>
          </cell>
          <cell r="E470" t="str">
            <v>Corporate</v>
          </cell>
          <cell r="R470">
            <v>1900</v>
          </cell>
          <cell r="U470">
            <v>15000</v>
          </cell>
          <cell r="AR470">
            <v>26909.09</v>
          </cell>
          <cell r="AY470">
            <v>2315</v>
          </cell>
          <cell r="BA470">
            <v>2545.4499999999998</v>
          </cell>
        </row>
        <row r="471">
          <cell r="A471" t="str">
            <v>ETLCUST-00861</v>
          </cell>
          <cell r="B471" t="str">
            <v>DESH ENTERPRISE - MULTIPLAN</v>
          </cell>
          <cell r="C471" t="str">
            <v>Pran Krishna Gosh</v>
          </cell>
          <cell r="D471" t="str">
            <v>Multiplan</v>
          </cell>
          <cell r="E471" t="str">
            <v>Multiplan</v>
          </cell>
          <cell r="G471">
            <v>5431400</v>
          </cell>
          <cell r="I471">
            <v>32000</v>
          </cell>
          <cell r="R471">
            <v>22500</v>
          </cell>
          <cell r="S471">
            <v>0</v>
          </cell>
          <cell r="AJ471">
            <v>2508450</v>
          </cell>
          <cell r="AL471">
            <v>5550345</v>
          </cell>
          <cell r="AM471">
            <v>2754345</v>
          </cell>
          <cell r="AQ471">
            <v>0</v>
          </cell>
          <cell r="AR471">
            <v>1362000</v>
          </cell>
          <cell r="BA471">
            <v>107746830</v>
          </cell>
        </row>
        <row r="472">
          <cell r="A472" t="str">
            <v>ETLCUST-01290</v>
          </cell>
          <cell r="B472" t="str">
            <v>DESH ENTERPRISE - MYMENSINGH</v>
          </cell>
          <cell r="C472" t="str">
            <v>Rafiqul Islam Sumon</v>
          </cell>
          <cell r="D472" t="str">
            <v>Mymensingh</v>
          </cell>
          <cell r="E472" t="str">
            <v>Mymensingh</v>
          </cell>
          <cell r="P472">
            <v>73370</v>
          </cell>
          <cell r="S472">
            <v>0</v>
          </cell>
          <cell r="T472">
            <v>430500</v>
          </cell>
          <cell r="U472">
            <v>18750</v>
          </cell>
          <cell r="X472">
            <v>30500</v>
          </cell>
          <cell r="AL472">
            <v>121620</v>
          </cell>
          <cell r="AM472">
            <v>229580</v>
          </cell>
          <cell r="AQ472">
            <v>0</v>
          </cell>
          <cell r="AT472">
            <v>146100</v>
          </cell>
          <cell r="BA472">
            <v>1310970</v>
          </cell>
        </row>
        <row r="473">
          <cell r="A473" t="str">
            <v>ETLCUST-04722</v>
          </cell>
          <cell r="B473" t="str">
            <v>DESH RADIO AND ELECTRONICS - CHUADANGA</v>
          </cell>
          <cell r="C473" t="str">
            <v>Md. Hasanuzzaman</v>
          </cell>
          <cell r="D473" t="str">
            <v>South Bengal</v>
          </cell>
          <cell r="E473" t="str">
            <v>South Bengal</v>
          </cell>
          <cell r="G473">
            <v>106000</v>
          </cell>
          <cell r="S473">
            <v>0</v>
          </cell>
          <cell r="T473">
            <v>66000</v>
          </cell>
          <cell r="AM473">
            <v>1150</v>
          </cell>
          <cell r="AQ473">
            <v>0</v>
          </cell>
          <cell r="BA473">
            <v>2885390</v>
          </cell>
        </row>
        <row r="474">
          <cell r="A474" t="str">
            <v>ETLCUST-03806</v>
          </cell>
          <cell r="B474" t="str">
            <v>DESH TECHNOLOGY - E.ROAD</v>
          </cell>
          <cell r="C474" t="str">
            <v>Md Rabiul Islam</v>
          </cell>
          <cell r="D474" t="str">
            <v>DHB</v>
          </cell>
          <cell r="E474" t="str">
            <v>DHB</v>
          </cell>
          <cell r="T474">
            <v>144850</v>
          </cell>
          <cell r="X474">
            <v>17963150</v>
          </cell>
        </row>
        <row r="475">
          <cell r="A475" t="str">
            <v>ETLCUST-05338</v>
          </cell>
          <cell r="B475" t="str">
            <v>DESHER ALO SOLAR POWER - SHYAMNAGAR</v>
          </cell>
          <cell r="C475" t="str">
            <v>Imrul Rayhan</v>
          </cell>
          <cell r="D475" t="str">
            <v>Khulna</v>
          </cell>
          <cell r="E475" t="str">
            <v>Khulna</v>
          </cell>
          <cell r="AK475">
            <v>174000</v>
          </cell>
          <cell r="AL475">
            <v>51120</v>
          </cell>
        </row>
        <row r="476">
          <cell r="A476" t="str">
            <v>ETLCUST-04902</v>
          </cell>
          <cell r="B476" t="str">
            <v>DETECT TECHNOLOGY - E.ROAD</v>
          </cell>
          <cell r="C476" t="str">
            <v>Md Tanjilur Rakib</v>
          </cell>
          <cell r="D476" t="str">
            <v>HO-SI</v>
          </cell>
          <cell r="E476" t="str">
            <v>HO-SI</v>
          </cell>
          <cell r="U476">
            <v>44800</v>
          </cell>
        </row>
        <row r="477">
          <cell r="A477" t="str">
            <v>ETLCUST-03833</v>
          </cell>
          <cell r="B477" t="str">
            <v>DEVICE IT ZONE - PALTAN</v>
          </cell>
          <cell r="C477" t="str">
            <v>Liton Biswas</v>
          </cell>
          <cell r="D477" t="str">
            <v>HO-SI</v>
          </cell>
          <cell r="E477" t="str">
            <v>HO-SI</v>
          </cell>
          <cell r="P477">
            <v>166400</v>
          </cell>
        </row>
        <row r="478">
          <cell r="A478" t="str">
            <v>ETLCUST-05407</v>
          </cell>
          <cell r="B478" t="str">
            <v>DHAKA CAMERA HOUSE - CUMILLA</v>
          </cell>
          <cell r="C478" t="str">
            <v>Nazmul Amin Sajib</v>
          </cell>
          <cell r="D478" t="str">
            <v>CTG</v>
          </cell>
          <cell r="E478" t="str">
            <v>CTG</v>
          </cell>
        </row>
        <row r="479">
          <cell r="A479" t="str">
            <v>ETLCUST-03379</v>
          </cell>
          <cell r="B479" t="str">
            <v>DHAKA ICE-CREAM INDUSTRIES LTD.</v>
          </cell>
          <cell r="C479" t="str">
            <v>Sabbir Ahmed</v>
          </cell>
          <cell r="D479" t="str">
            <v>Corporate</v>
          </cell>
          <cell r="E479" t="str">
            <v>Corporate</v>
          </cell>
          <cell r="I479">
            <v>84375</v>
          </cell>
          <cell r="M479">
            <v>75000</v>
          </cell>
          <cell r="S479">
            <v>0</v>
          </cell>
          <cell r="U479">
            <v>18800</v>
          </cell>
          <cell r="AP479">
            <v>56800</v>
          </cell>
          <cell r="AR479">
            <v>129300</v>
          </cell>
          <cell r="AV479">
            <v>373165</v>
          </cell>
          <cell r="BA479">
            <v>28250</v>
          </cell>
        </row>
        <row r="480">
          <cell r="A480" t="str">
            <v>ETLCUST-00900</v>
          </cell>
          <cell r="B480" t="str">
            <v>DHANSIRI COMPUTERS - MAGURA</v>
          </cell>
          <cell r="C480" t="str">
            <v>Md Rakibul Islam</v>
          </cell>
          <cell r="D480" t="str">
            <v>South Bengal</v>
          </cell>
          <cell r="E480" t="str">
            <v>South Bengal</v>
          </cell>
          <cell r="O480">
            <v>2750</v>
          </cell>
          <cell r="P480">
            <v>76800</v>
          </cell>
          <cell r="S480">
            <v>0</v>
          </cell>
          <cell r="V480">
            <v>10000</v>
          </cell>
          <cell r="X480">
            <v>18100</v>
          </cell>
          <cell r="AK480">
            <v>13600</v>
          </cell>
          <cell r="AL480">
            <v>6890</v>
          </cell>
          <cell r="AO480">
            <v>13150</v>
          </cell>
          <cell r="AQ480">
            <v>0</v>
          </cell>
          <cell r="BA480">
            <v>159910</v>
          </cell>
        </row>
        <row r="481">
          <cell r="A481" t="str">
            <v>ETLCUST-00495</v>
          </cell>
          <cell r="B481" t="str">
            <v>DHRUBO LTD - IDB</v>
          </cell>
          <cell r="C481" t="str">
            <v>Fajle Rabbi</v>
          </cell>
          <cell r="D481" t="str">
            <v>IDB</v>
          </cell>
          <cell r="E481" t="str">
            <v>IDB</v>
          </cell>
          <cell r="BA481">
            <v>25250</v>
          </cell>
        </row>
        <row r="482">
          <cell r="A482" t="str">
            <v>ETLCUST-05287</v>
          </cell>
          <cell r="B482" t="str">
            <v>DHRUBO NETWORKS LIMITED - BANANI</v>
          </cell>
          <cell r="C482" t="str">
            <v>Sadekur Rahman</v>
          </cell>
          <cell r="D482" t="str">
            <v>HO-SI</v>
          </cell>
          <cell r="E482" t="str">
            <v>HO-SI</v>
          </cell>
          <cell r="X482">
            <v>36000</v>
          </cell>
          <cell r="AV482">
            <v>136200</v>
          </cell>
        </row>
        <row r="483">
          <cell r="A483" t="str">
            <v>ETLCUST-03699</v>
          </cell>
          <cell r="B483" t="str">
            <v>DHUNAT.COM - DHUNAT BAZAR</v>
          </cell>
          <cell r="C483" t="str">
            <v>Md Shahidul Islam</v>
          </cell>
          <cell r="D483" t="str">
            <v>North Bengal</v>
          </cell>
          <cell r="E483" t="str">
            <v>North Bengal</v>
          </cell>
          <cell r="AM483">
            <v>72670</v>
          </cell>
          <cell r="BA483">
            <v>257315</v>
          </cell>
        </row>
        <row r="484">
          <cell r="A484" t="str">
            <v>ETLCUST-01407</v>
          </cell>
          <cell r="B484" t="str">
            <v>DIAMOND COMPUTER IT - TONGI</v>
          </cell>
          <cell r="C484" t="str">
            <v>Saifullah Akndah</v>
          </cell>
          <cell r="D484" t="str">
            <v>Uttara</v>
          </cell>
          <cell r="E484" t="str">
            <v>Uttara</v>
          </cell>
          <cell r="G484">
            <v>28000</v>
          </cell>
          <cell r="O484">
            <v>1100</v>
          </cell>
          <cell r="X484">
            <v>43500</v>
          </cell>
          <cell r="BA484">
            <v>83420</v>
          </cell>
        </row>
        <row r="485">
          <cell r="A485" t="str">
            <v>ETLCUST-04568</v>
          </cell>
          <cell r="B485" t="str">
            <v>DIGICCOM INTERNATIONAL LTD - PALTAN</v>
          </cell>
          <cell r="C485" t="str">
            <v>Hridoy Chandra Das</v>
          </cell>
          <cell r="D485" t="str">
            <v>Motijheel</v>
          </cell>
          <cell r="E485" t="str">
            <v>Motijheel</v>
          </cell>
          <cell r="AL485">
            <v>38425</v>
          </cell>
        </row>
        <row r="486">
          <cell r="A486" t="str">
            <v>ETLCUST-00988</v>
          </cell>
          <cell r="B486" t="str">
            <v>DIGICOM TECNOLOGIES - PABNA</v>
          </cell>
          <cell r="C486" t="str">
            <v>Forhad Rubel</v>
          </cell>
          <cell r="D486" t="str">
            <v>North Bengal</v>
          </cell>
          <cell r="E486" t="str">
            <v>North Bengal</v>
          </cell>
          <cell r="P486">
            <v>57600</v>
          </cell>
          <cell r="AL486">
            <v>9805</v>
          </cell>
          <cell r="BA486">
            <v>63350</v>
          </cell>
        </row>
        <row r="487">
          <cell r="A487" t="str">
            <v>ETLCUST-02100</v>
          </cell>
          <cell r="B487" t="str">
            <v>DIGICON TELECOMMUNICATION LIMITED</v>
          </cell>
          <cell r="C487" t="str">
            <v>Abu Zahid Sobuj</v>
          </cell>
          <cell r="D487" t="str">
            <v>Corporate</v>
          </cell>
          <cell r="E487" t="str">
            <v>Corporate</v>
          </cell>
          <cell r="AD487">
            <v>46636.36</v>
          </cell>
        </row>
        <row r="488">
          <cell r="A488" t="str">
            <v>ETLCUST-00178</v>
          </cell>
          <cell r="B488" t="str">
            <v>DIGITAL BRIDGE - IDB</v>
          </cell>
          <cell r="C488" t="str">
            <v>Gaji Parvin Nesa</v>
          </cell>
          <cell r="D488" t="str">
            <v>IDB</v>
          </cell>
          <cell r="E488" t="str">
            <v>IDB</v>
          </cell>
          <cell r="S488">
            <v>0</v>
          </cell>
          <cell r="BA488">
            <v>14600</v>
          </cell>
        </row>
        <row r="489">
          <cell r="A489" t="str">
            <v>ETLCUST-03096</v>
          </cell>
          <cell r="B489" t="str">
            <v>DIGITAL CAMERA MART - B. MUKARRAM</v>
          </cell>
          <cell r="C489" t="str">
            <v>Md. Sahedul Islam</v>
          </cell>
          <cell r="D489" t="str">
            <v>Motijheel</v>
          </cell>
          <cell r="E489" t="str">
            <v>Motijheel</v>
          </cell>
          <cell r="T489">
            <v>2207150</v>
          </cell>
          <cell r="X489">
            <v>1988250</v>
          </cell>
        </row>
        <row r="490">
          <cell r="A490" t="str">
            <v>ETLCUST-01557</v>
          </cell>
          <cell r="B490" t="str">
            <v>DIGITAL CANVAS - CTG</v>
          </cell>
          <cell r="C490" t="str">
            <v>Shahidul Alam Chowdhury</v>
          </cell>
          <cell r="D490" t="str">
            <v>CTG</v>
          </cell>
          <cell r="E490" t="str">
            <v>CTG</v>
          </cell>
          <cell r="R490">
            <v>14500</v>
          </cell>
          <cell r="U490">
            <v>43450</v>
          </cell>
          <cell r="AK490">
            <v>36000</v>
          </cell>
          <cell r="AN490">
            <v>215000</v>
          </cell>
          <cell r="AV490">
            <v>110100</v>
          </cell>
        </row>
        <row r="491">
          <cell r="A491" t="str">
            <v>ETLCUST-04790</v>
          </cell>
          <cell r="B491" t="str">
            <v>DIGITAL COMMUNICATION NETWORK - KHUSTIA</v>
          </cell>
          <cell r="C491" t="str">
            <v>Md Rakibul Islam</v>
          </cell>
          <cell r="D491" t="str">
            <v>South Bengal</v>
          </cell>
          <cell r="E491" t="str">
            <v>South Bengal</v>
          </cell>
          <cell r="G491">
            <v>122000</v>
          </cell>
          <cell r="Q491">
            <v>890</v>
          </cell>
          <cell r="S491">
            <v>0</v>
          </cell>
          <cell r="X491">
            <v>74400</v>
          </cell>
          <cell r="AM491">
            <v>237085</v>
          </cell>
          <cell r="AQ491">
            <v>0</v>
          </cell>
          <cell r="BA491">
            <v>2027005</v>
          </cell>
        </row>
        <row r="492">
          <cell r="A492" t="str">
            <v>ETLCUST-01438</v>
          </cell>
          <cell r="B492" t="str">
            <v>DIGITAL COMPUTER - GAZIPUR</v>
          </cell>
          <cell r="C492" t="str">
            <v>MD. Shipon Ali</v>
          </cell>
          <cell r="D492" t="str">
            <v>Uttara</v>
          </cell>
          <cell r="E492" t="str">
            <v>Uttara</v>
          </cell>
          <cell r="L492">
            <v>10500</v>
          </cell>
          <cell r="P492">
            <v>57700</v>
          </cell>
          <cell r="R492">
            <v>34520</v>
          </cell>
          <cell r="V492">
            <v>2775</v>
          </cell>
          <cell r="AO492">
            <v>3750</v>
          </cell>
          <cell r="AQ492">
            <v>0</v>
          </cell>
        </row>
        <row r="493">
          <cell r="A493" t="str">
            <v>ETLCUST-00616</v>
          </cell>
          <cell r="B493" t="str">
            <v>DIGITAL COMPUTER - RANGPUR</v>
          </cell>
          <cell r="C493" t="str">
            <v>Md Abdullah Al Mamun</v>
          </cell>
          <cell r="D493" t="str">
            <v>North Bengal</v>
          </cell>
          <cell r="E493" t="str">
            <v>North Bengal</v>
          </cell>
          <cell r="G493">
            <v>50000</v>
          </cell>
          <cell r="T493">
            <v>130300</v>
          </cell>
          <cell r="X493">
            <v>640850</v>
          </cell>
          <cell r="AK493">
            <v>13600</v>
          </cell>
          <cell r="AM493">
            <v>850</v>
          </cell>
          <cell r="AO493">
            <v>30325</v>
          </cell>
          <cell r="BA493">
            <v>1113130</v>
          </cell>
        </row>
        <row r="494">
          <cell r="A494" t="str">
            <v>ETLCUST-01042</v>
          </cell>
          <cell r="B494" t="str">
            <v>DIGITAL DOT NET - DDN - CTG</v>
          </cell>
          <cell r="C494" t="str">
            <v>Md. Mamunur Rashid</v>
          </cell>
          <cell r="D494" t="str">
            <v>CTG</v>
          </cell>
          <cell r="E494" t="str">
            <v>CTG</v>
          </cell>
          <cell r="L494">
            <v>294000</v>
          </cell>
          <cell r="U494">
            <v>65700</v>
          </cell>
          <cell r="Y494">
            <v>205000</v>
          </cell>
          <cell r="AM494">
            <v>850</v>
          </cell>
          <cell r="AR494">
            <v>1013000</v>
          </cell>
          <cell r="BA494">
            <v>67790</v>
          </cell>
        </row>
        <row r="495">
          <cell r="A495" t="str">
            <v>ETLCUST-04295</v>
          </cell>
          <cell r="B495" t="str">
            <v>DIGITAL EQUIPMENT LTD.</v>
          </cell>
          <cell r="C495" t="str">
            <v>Ashraful Islam</v>
          </cell>
          <cell r="D495" t="str">
            <v>Corporate</v>
          </cell>
          <cell r="E495" t="str">
            <v>Corporate</v>
          </cell>
          <cell r="R495">
            <v>441000</v>
          </cell>
          <cell r="Y495">
            <v>320000</v>
          </cell>
          <cell r="AD495">
            <v>652500</v>
          </cell>
        </row>
        <row r="496">
          <cell r="A496" t="str">
            <v>ETLCUST-03994</v>
          </cell>
          <cell r="B496" t="str">
            <v>DIGITAL INFOTECH SOLUTION BD - SUVASTU ARCADE</v>
          </cell>
          <cell r="C496" t="str">
            <v>Mohotasim Rana</v>
          </cell>
          <cell r="D496" t="str">
            <v>DHB</v>
          </cell>
          <cell r="E496" t="str">
            <v>DHB</v>
          </cell>
          <cell r="M496">
            <v>55000</v>
          </cell>
          <cell r="Y496">
            <v>395000</v>
          </cell>
          <cell r="AF496">
            <v>328500</v>
          </cell>
        </row>
        <row r="497">
          <cell r="A497" t="str">
            <v>ETLCUST-04716</v>
          </cell>
          <cell r="B497" t="str">
            <v>DIGITAL MEDIA - BHOLA</v>
          </cell>
          <cell r="C497" t="str">
            <v>Md. Aminul Islam</v>
          </cell>
          <cell r="D497" t="str">
            <v>South Bengal</v>
          </cell>
          <cell r="E497" t="str">
            <v>South Bengal</v>
          </cell>
          <cell r="G497">
            <v>20400</v>
          </cell>
          <cell r="P497">
            <v>12800</v>
          </cell>
          <cell r="R497">
            <v>163000</v>
          </cell>
          <cell r="S497">
            <v>0</v>
          </cell>
          <cell r="X497">
            <v>137500</v>
          </cell>
          <cell r="AJ497">
            <v>7000</v>
          </cell>
          <cell r="AO497">
            <v>8175</v>
          </cell>
          <cell r="BA497">
            <v>439430</v>
          </cell>
        </row>
        <row r="498">
          <cell r="A498" t="str">
            <v>ETLCUST-00187</v>
          </cell>
          <cell r="B498" t="str">
            <v>DIGITAL PACE - IDB</v>
          </cell>
          <cell r="C498" t="str">
            <v>Gaji Parvin Nesa</v>
          </cell>
          <cell r="D498" t="str">
            <v>IDB</v>
          </cell>
          <cell r="E498" t="str">
            <v>IDB</v>
          </cell>
          <cell r="P498">
            <v>130000</v>
          </cell>
          <cell r="R498">
            <v>2560</v>
          </cell>
          <cell r="T498">
            <v>22150</v>
          </cell>
          <cell r="U498">
            <v>237400</v>
          </cell>
          <cell r="AL498">
            <v>10000</v>
          </cell>
          <cell r="AM498">
            <v>8350</v>
          </cell>
          <cell r="AO498">
            <v>3600</v>
          </cell>
          <cell r="AP498">
            <v>13200</v>
          </cell>
          <cell r="AR498">
            <v>39500</v>
          </cell>
          <cell r="AV498">
            <v>245400</v>
          </cell>
          <cell r="BA498">
            <v>59415</v>
          </cell>
        </row>
        <row r="499">
          <cell r="A499" t="str">
            <v>ETLCUST-04592</v>
          </cell>
          <cell r="B499" t="str">
            <v>DIGITAL SQUARE LTD - MOHAKHAIL</v>
          </cell>
          <cell r="C499" t="str">
            <v>Md Tanjilur Rakib</v>
          </cell>
          <cell r="D499" t="str">
            <v>HO-SI</v>
          </cell>
          <cell r="E499" t="str">
            <v>HO-SI</v>
          </cell>
          <cell r="G499">
            <v>464700</v>
          </cell>
        </row>
        <row r="500">
          <cell r="A500" t="str">
            <v>ETLCUST-04963</v>
          </cell>
          <cell r="B500" t="str">
            <v>DIGITAL TECH COMPUTER - SYLHET</v>
          </cell>
          <cell r="C500" t="str">
            <v>Kunjaraj Singha</v>
          </cell>
          <cell r="D500" t="str">
            <v>Sylhet</v>
          </cell>
          <cell r="E500" t="str">
            <v>Sylhet</v>
          </cell>
          <cell r="R500">
            <v>1100</v>
          </cell>
          <cell r="T500">
            <v>637700</v>
          </cell>
          <cell r="V500">
            <v>20600</v>
          </cell>
          <cell r="X500">
            <v>715550</v>
          </cell>
          <cell r="AJ500">
            <v>32000</v>
          </cell>
          <cell r="AL500">
            <v>424215</v>
          </cell>
          <cell r="AM500">
            <v>36130</v>
          </cell>
          <cell r="AO500">
            <v>275</v>
          </cell>
          <cell r="AR500">
            <v>19800</v>
          </cell>
          <cell r="AT500">
            <v>34500</v>
          </cell>
          <cell r="AZ500">
            <v>6600</v>
          </cell>
          <cell r="BA500">
            <v>539675</v>
          </cell>
        </row>
        <row r="501">
          <cell r="A501" t="str">
            <v>ETLCUST-03017</v>
          </cell>
          <cell r="B501" t="str">
            <v>DIGITAL TECH ZONE - E. ROAD</v>
          </cell>
          <cell r="C501" t="str">
            <v>Md Tanjilur Rakib</v>
          </cell>
          <cell r="D501" t="str">
            <v>HO-SI</v>
          </cell>
          <cell r="E501" t="str">
            <v>HO-SI</v>
          </cell>
          <cell r="Y501">
            <v>680000</v>
          </cell>
        </row>
        <row r="502">
          <cell r="A502" t="str">
            <v>ETLCUST-04847</v>
          </cell>
          <cell r="B502" t="str">
            <v>DIGITAL TECHNOLOGY BD - SYLHET</v>
          </cell>
          <cell r="C502" t="str">
            <v>Sanwar Husen</v>
          </cell>
          <cell r="D502" t="str">
            <v>Sylhet</v>
          </cell>
          <cell r="E502" t="str">
            <v>Sylhet</v>
          </cell>
          <cell r="R502">
            <v>1200</v>
          </cell>
          <cell r="BA502">
            <v>9800</v>
          </cell>
        </row>
        <row r="503">
          <cell r="A503" t="str">
            <v>ETLCUST-01121</v>
          </cell>
          <cell r="B503" t="str">
            <v>DIGITECH COMPUTERS - TALTOLA</v>
          </cell>
          <cell r="C503" t="str">
            <v>Amit Sarker</v>
          </cell>
          <cell r="D503" t="str">
            <v>IDB</v>
          </cell>
          <cell r="E503" t="str">
            <v>IDB</v>
          </cell>
          <cell r="AJ503">
            <v>14000</v>
          </cell>
          <cell r="AM503">
            <v>760</v>
          </cell>
          <cell r="BA503">
            <v>75250</v>
          </cell>
        </row>
        <row r="504">
          <cell r="A504" t="str">
            <v>ETLCUST-00175</v>
          </cell>
          <cell r="B504" t="str">
            <v>DIGITUS COMPUTERS - IDB</v>
          </cell>
          <cell r="C504" t="str">
            <v>Gaji Parvin Nesa</v>
          </cell>
          <cell r="D504" t="str">
            <v>IDB</v>
          </cell>
          <cell r="E504" t="str">
            <v>IDB</v>
          </cell>
          <cell r="U504">
            <v>15000</v>
          </cell>
        </row>
        <row r="505">
          <cell r="A505" t="str">
            <v>ETLCUST-02739</v>
          </cell>
          <cell r="B505" t="str">
            <v>DIGNITY IT - MULTIPLAN</v>
          </cell>
          <cell r="C505" t="str">
            <v>Mohammad Mostofa</v>
          </cell>
          <cell r="D505" t="str">
            <v>Multiplan</v>
          </cell>
          <cell r="E505" t="str">
            <v>Multiplan</v>
          </cell>
          <cell r="P505">
            <v>256000</v>
          </cell>
          <cell r="R505">
            <v>210000</v>
          </cell>
          <cell r="U505">
            <v>361200</v>
          </cell>
          <cell r="Y505">
            <v>147000</v>
          </cell>
        </row>
        <row r="506">
          <cell r="A506" t="str">
            <v>ETLCUST-01246</v>
          </cell>
          <cell r="B506" t="str">
            <v>DILRAJ COMPUTER - MOTIJHEEL</v>
          </cell>
          <cell r="C506" t="str">
            <v>Md. Akram Rashid</v>
          </cell>
          <cell r="D506" t="str">
            <v>Motijheel</v>
          </cell>
          <cell r="E506" t="str">
            <v>Motijheel</v>
          </cell>
          <cell r="G506">
            <v>5000000</v>
          </cell>
          <cell r="P506">
            <v>84000</v>
          </cell>
          <cell r="S506">
            <v>0</v>
          </cell>
          <cell r="AK506">
            <v>34500</v>
          </cell>
          <cell r="AL506">
            <v>2279000</v>
          </cell>
          <cell r="AM506">
            <v>28195525</v>
          </cell>
          <cell r="AQ506">
            <v>0</v>
          </cell>
          <cell r="AR506">
            <v>54950</v>
          </cell>
          <cell r="BA506">
            <v>209577950</v>
          </cell>
        </row>
        <row r="507">
          <cell r="A507" t="str">
            <v>ETLCUST-00899</v>
          </cell>
          <cell r="B507" t="str">
            <v>DIPU COMPUTER - JHENAIDAH</v>
          </cell>
          <cell r="C507" t="str">
            <v>Md Rakibul Islam</v>
          </cell>
          <cell r="D507" t="str">
            <v>South Bengal</v>
          </cell>
          <cell r="E507" t="str">
            <v>South Bengal</v>
          </cell>
          <cell r="G507">
            <v>312000</v>
          </cell>
          <cell r="P507">
            <v>51400</v>
          </cell>
          <cell r="Q507">
            <v>890</v>
          </cell>
          <cell r="R507">
            <v>21600</v>
          </cell>
          <cell r="S507">
            <v>0</v>
          </cell>
          <cell r="T507">
            <v>36000</v>
          </cell>
          <cell r="V507">
            <v>18125</v>
          </cell>
          <cell r="AK507">
            <v>6700</v>
          </cell>
          <cell r="AL507">
            <v>50880</v>
          </cell>
          <cell r="AM507">
            <v>104935</v>
          </cell>
          <cell r="AQ507">
            <v>0</v>
          </cell>
          <cell r="AR507">
            <v>8500</v>
          </cell>
          <cell r="BA507">
            <v>2164975</v>
          </cell>
        </row>
        <row r="508">
          <cell r="A508" t="str">
            <v>ETLCUST-00294</v>
          </cell>
          <cell r="B508" t="str">
            <v>DISCOVER IT - E.ROAD</v>
          </cell>
          <cell r="C508" t="str">
            <v>Mohammad Mostofa</v>
          </cell>
          <cell r="D508" t="str">
            <v>Multiplan</v>
          </cell>
          <cell r="E508" t="str">
            <v>Multiplan</v>
          </cell>
          <cell r="F508">
            <v>165000</v>
          </cell>
          <cell r="I508">
            <v>19800</v>
          </cell>
          <cell r="P508">
            <v>196000</v>
          </cell>
          <cell r="U508">
            <v>17500</v>
          </cell>
          <cell r="X508">
            <v>699800</v>
          </cell>
          <cell r="AJ508">
            <v>888140</v>
          </cell>
          <cell r="AN508">
            <v>270000</v>
          </cell>
          <cell r="AO508">
            <v>37150</v>
          </cell>
          <cell r="AS508">
            <v>290000</v>
          </cell>
        </row>
        <row r="509">
          <cell r="A509" t="str">
            <v>ETLCUST-03854</v>
          </cell>
          <cell r="B509" t="str">
            <v>DISH CABLE AND CABLE - GULISTAN</v>
          </cell>
          <cell r="C509" t="str">
            <v>Shamim Hossain</v>
          </cell>
          <cell r="D509" t="str">
            <v>Gulistan</v>
          </cell>
          <cell r="E509" t="str">
            <v>Gulistan</v>
          </cell>
          <cell r="S509">
            <v>0</v>
          </cell>
          <cell r="AM509">
            <v>1863800</v>
          </cell>
          <cell r="AQ509">
            <v>0</v>
          </cell>
          <cell r="BA509">
            <v>16311215</v>
          </cell>
        </row>
        <row r="510">
          <cell r="A510" t="str">
            <v>ETLCUST-04904</v>
          </cell>
          <cell r="B510" t="str">
            <v>DISH PLUS - GAZIPUR</v>
          </cell>
          <cell r="C510" t="str">
            <v>Md. Rahad</v>
          </cell>
          <cell r="D510" t="str">
            <v>Uttara</v>
          </cell>
          <cell r="E510" t="str">
            <v>Uttara</v>
          </cell>
          <cell r="G510">
            <v>112000</v>
          </cell>
          <cell r="S510">
            <v>0</v>
          </cell>
          <cell r="X510">
            <v>840600</v>
          </cell>
          <cell r="AL510">
            <v>529815</v>
          </cell>
          <cell r="AM510">
            <v>1366600</v>
          </cell>
          <cell r="AO510">
            <v>4500</v>
          </cell>
          <cell r="AQ510">
            <v>0</v>
          </cell>
          <cell r="BA510">
            <v>5460005</v>
          </cell>
        </row>
        <row r="511">
          <cell r="A511" t="str">
            <v>ETLCUST-05273</v>
          </cell>
          <cell r="B511" t="str">
            <v>DIVERSE SYSTEM &amp; TECH SOLUTIONS</v>
          </cell>
          <cell r="C511" t="str">
            <v>Samiran Chandra Biswas</v>
          </cell>
          <cell r="D511" t="str">
            <v>Corporate</v>
          </cell>
          <cell r="E511" t="str">
            <v>Corporate</v>
          </cell>
          <cell r="U511">
            <v>115200</v>
          </cell>
        </row>
        <row r="512">
          <cell r="A512" t="str">
            <v>ETLCUST-03290</v>
          </cell>
          <cell r="B512" t="str">
            <v>DNF COMPUTERS - LABRATORY ROAD</v>
          </cell>
          <cell r="C512" t="str">
            <v>Md. Rony Ahmed</v>
          </cell>
          <cell r="D512" t="str">
            <v>DHB</v>
          </cell>
          <cell r="E512" t="str">
            <v>DHB</v>
          </cell>
          <cell r="V512">
            <v>40800</v>
          </cell>
          <cell r="X512">
            <v>5100</v>
          </cell>
          <cell r="AK512">
            <v>56500</v>
          </cell>
          <cell r="AO512">
            <v>108400</v>
          </cell>
          <cell r="AP512">
            <v>8300</v>
          </cell>
          <cell r="AZ512">
            <v>38325</v>
          </cell>
        </row>
        <row r="513">
          <cell r="A513" t="str">
            <v>ETLCUST-00827</v>
          </cell>
          <cell r="B513" t="str">
            <v>DOLPHIN COMPUTERS LTD - IDB</v>
          </cell>
          <cell r="C513" t="str">
            <v>Gaji Parvin Nesa</v>
          </cell>
          <cell r="D513" t="str">
            <v>IDB</v>
          </cell>
          <cell r="E513" t="str">
            <v>IDB</v>
          </cell>
          <cell r="AO513">
            <v>12175</v>
          </cell>
          <cell r="AP513">
            <v>62000</v>
          </cell>
          <cell r="BA513">
            <v>214900</v>
          </cell>
        </row>
        <row r="514">
          <cell r="A514" t="str">
            <v>ETLCUST-00721</v>
          </cell>
          <cell r="B514" t="str">
            <v>DREAM COMPUTER - KHULNA</v>
          </cell>
          <cell r="C514" t="str">
            <v>Md Husaun</v>
          </cell>
          <cell r="D514" t="str">
            <v>Khulna</v>
          </cell>
          <cell r="E514" t="str">
            <v>Khulna</v>
          </cell>
          <cell r="G514">
            <v>480000</v>
          </cell>
          <cell r="P514">
            <v>384000</v>
          </cell>
          <cell r="S514">
            <v>0</v>
          </cell>
          <cell r="T514">
            <v>925100</v>
          </cell>
          <cell r="AM514">
            <v>442265</v>
          </cell>
          <cell r="AQ514">
            <v>0</v>
          </cell>
          <cell r="AZ514">
            <v>75100</v>
          </cell>
          <cell r="BA514">
            <v>11618475</v>
          </cell>
        </row>
        <row r="515">
          <cell r="A515" t="str">
            <v>ETLCUST-01534</v>
          </cell>
          <cell r="B515" t="str">
            <v>DREAM TECH COMPUTER - BANDARBAN</v>
          </cell>
          <cell r="C515" t="str">
            <v>Md. Mamunur Rashid</v>
          </cell>
          <cell r="D515" t="str">
            <v>CTG</v>
          </cell>
          <cell r="E515" t="str">
            <v>CTG</v>
          </cell>
          <cell r="AO515">
            <v>101365</v>
          </cell>
        </row>
        <row r="516">
          <cell r="A516" t="str">
            <v>ETLCUST-01373</v>
          </cell>
          <cell r="B516" t="str">
            <v>DREAMLAND COMPUTER - N.GONJ</v>
          </cell>
          <cell r="C516" t="str">
            <v>Arafat Hossain</v>
          </cell>
          <cell r="D516" t="str">
            <v>South Bengal</v>
          </cell>
          <cell r="E516" t="str">
            <v>South Bengal</v>
          </cell>
          <cell r="O516">
            <v>8140</v>
          </cell>
        </row>
        <row r="517">
          <cell r="A517" t="str">
            <v>ETLCUST-02104</v>
          </cell>
          <cell r="B517" t="str">
            <v>DREAMLAND TRANSPORTATION EXPRESS NETWORKS LTD.</v>
          </cell>
          <cell r="C517" t="str">
            <v>Ashraful Islam</v>
          </cell>
          <cell r="D517" t="str">
            <v>Corporate</v>
          </cell>
          <cell r="E517" t="str">
            <v>Corporate</v>
          </cell>
          <cell r="AD517">
            <v>16000</v>
          </cell>
        </row>
        <row r="518">
          <cell r="A518" t="str">
            <v>ETLCUST-02975</v>
          </cell>
          <cell r="B518" t="str">
            <v>DS COMPUTER - RAJBARI</v>
          </cell>
          <cell r="C518" t="str">
            <v>Hanif shek</v>
          </cell>
          <cell r="D518" t="str">
            <v>South Bengal</v>
          </cell>
          <cell r="E518" t="str">
            <v>South Bengal</v>
          </cell>
          <cell r="P518">
            <v>42900</v>
          </cell>
          <cell r="R518">
            <v>12500</v>
          </cell>
          <cell r="X518">
            <v>12000</v>
          </cell>
          <cell r="AL518">
            <v>6625</v>
          </cell>
        </row>
        <row r="519">
          <cell r="A519" t="str">
            <v>ETLCUST-02107</v>
          </cell>
          <cell r="B519" t="str">
            <v>DUTCH-BANGLA BANK PLC.</v>
          </cell>
          <cell r="C519" t="str">
            <v>Rafsan Jani</v>
          </cell>
          <cell r="D519" t="str">
            <v>Corporate</v>
          </cell>
          <cell r="E519" t="str">
            <v>Corporate</v>
          </cell>
          <cell r="R519">
            <v>608999.93000000005</v>
          </cell>
          <cell r="AF519">
            <v>688494.55</v>
          </cell>
        </row>
        <row r="520">
          <cell r="A520" t="str">
            <v>ETLCUST-03633</v>
          </cell>
          <cell r="B520" t="str">
            <v>E SOFT LIMITED - TEJGAON</v>
          </cell>
          <cell r="C520" t="str">
            <v>Liton Biswas</v>
          </cell>
          <cell r="D520" t="str">
            <v>HO-SI</v>
          </cell>
          <cell r="E520" t="str">
            <v>HO-SI</v>
          </cell>
          <cell r="U520">
            <v>124250</v>
          </cell>
          <cell r="AV520">
            <v>166000</v>
          </cell>
        </row>
        <row r="521">
          <cell r="A521" t="str">
            <v>ETLCUST-05306</v>
          </cell>
          <cell r="B521" t="str">
            <v>EAGLECAM TECHNOLOGY - KHILGAON</v>
          </cell>
          <cell r="C521" t="str">
            <v>Hridoy Chandra Das</v>
          </cell>
          <cell r="D521" t="str">
            <v>Motijheel</v>
          </cell>
          <cell r="E521" t="str">
            <v>Motijheel</v>
          </cell>
          <cell r="T521">
            <v>145000</v>
          </cell>
          <cell r="X521">
            <v>162000</v>
          </cell>
        </row>
        <row r="522">
          <cell r="A522" t="str">
            <v>ETLCUST-00326</v>
          </cell>
          <cell r="B522" t="str">
            <v>EARTH COMPUTER FAIR - KHILKHET</v>
          </cell>
          <cell r="C522" t="str">
            <v>Jiku Saha</v>
          </cell>
          <cell r="D522" t="str">
            <v>Uttara</v>
          </cell>
          <cell r="E522" t="str">
            <v>Uttara</v>
          </cell>
          <cell r="R522">
            <v>3500</v>
          </cell>
        </row>
        <row r="523">
          <cell r="A523" t="str">
            <v>ETLCUST-03990</v>
          </cell>
          <cell r="B523" t="str">
            <v>EAST COAST GROUP</v>
          </cell>
          <cell r="C523" t="str">
            <v>Sabbir Ahmed</v>
          </cell>
          <cell r="D523" t="str">
            <v>Corporate</v>
          </cell>
          <cell r="E523" t="str">
            <v>Corporate</v>
          </cell>
          <cell r="Y523">
            <v>164681.82</v>
          </cell>
          <cell r="AD523">
            <v>88181.82</v>
          </cell>
          <cell r="AJ523">
            <v>15000</v>
          </cell>
          <cell r="AT523">
            <v>15727.27</v>
          </cell>
          <cell r="BA523">
            <v>8884.5499999999993</v>
          </cell>
        </row>
        <row r="524">
          <cell r="A524" t="str">
            <v>ETLCUST-02110</v>
          </cell>
          <cell r="B524" t="str">
            <v>EAST WEST UNIVERSITY</v>
          </cell>
          <cell r="C524" t="str">
            <v>Mosfiqur Rahman</v>
          </cell>
          <cell r="D524" t="str">
            <v>Corporate</v>
          </cell>
          <cell r="E524" t="str">
            <v>Corporate</v>
          </cell>
          <cell r="I524">
            <v>178058.12</v>
          </cell>
          <cell r="S524">
            <v>56407.89</v>
          </cell>
          <cell r="X524">
            <v>1308.8</v>
          </cell>
          <cell r="AC524">
            <v>168421.82</v>
          </cell>
        </row>
        <row r="525">
          <cell r="A525" t="str">
            <v>ETLCUST-02111</v>
          </cell>
          <cell r="B525" t="str">
            <v>EASTERN BANK PLC.</v>
          </cell>
          <cell r="C525" t="str">
            <v>Abu Zahid Sobuj</v>
          </cell>
          <cell r="D525" t="str">
            <v>Corporate</v>
          </cell>
          <cell r="E525" t="str">
            <v>Corporate</v>
          </cell>
          <cell r="U525">
            <v>1174272.73</v>
          </cell>
          <cell r="AY525">
            <v>2630.4300000000003</v>
          </cell>
        </row>
        <row r="526">
          <cell r="A526" t="str">
            <v>ETLCUST-04655</v>
          </cell>
          <cell r="B526" t="str">
            <v xml:space="preserve">EASTERN COMPUTER - SYLHET </v>
          </cell>
          <cell r="C526" t="str">
            <v>Sanwar Husen</v>
          </cell>
          <cell r="D526" t="str">
            <v>Sylhet</v>
          </cell>
          <cell r="E526" t="str">
            <v>Sylhet</v>
          </cell>
          <cell r="P526">
            <v>121600</v>
          </cell>
          <cell r="X526">
            <v>30100</v>
          </cell>
        </row>
        <row r="527">
          <cell r="A527" t="str">
            <v>ETLCUST-02112</v>
          </cell>
          <cell r="B527" t="str">
            <v>EASTERN HOUSING LTD.</v>
          </cell>
          <cell r="C527" t="str">
            <v>Md. Raihan Ali</v>
          </cell>
          <cell r="D527" t="str">
            <v>Corporate</v>
          </cell>
          <cell r="E527" t="str">
            <v>Corporate</v>
          </cell>
          <cell r="I527">
            <v>880</v>
          </cell>
          <cell r="S527">
            <v>13894.35</v>
          </cell>
          <cell r="X527">
            <v>-147578.57999999999</v>
          </cell>
          <cell r="AV527">
            <v>4631.58</v>
          </cell>
          <cell r="AY527">
            <v>26315.79</v>
          </cell>
        </row>
        <row r="528">
          <cell r="A528" t="str">
            <v>ETLCUST-03498</v>
          </cell>
          <cell r="B528" t="str">
            <v>EASTERN UNIVERSITY</v>
          </cell>
          <cell r="C528" t="str">
            <v>Rafsan Jani</v>
          </cell>
          <cell r="D528" t="str">
            <v>Corporate</v>
          </cell>
          <cell r="E528" t="str">
            <v>Corporate</v>
          </cell>
          <cell r="U528">
            <v>3800</v>
          </cell>
          <cell r="AA528">
            <v>58000</v>
          </cell>
        </row>
        <row r="529">
          <cell r="A529" t="str">
            <v>ETLCUST-00600</v>
          </cell>
          <cell r="B529" t="str">
            <v>EASY LINK - BADDA</v>
          </cell>
          <cell r="C529" t="str">
            <v>Sadekur Rahman</v>
          </cell>
          <cell r="D529" t="str">
            <v>HO-SI</v>
          </cell>
          <cell r="E529" t="str">
            <v>HO-SI</v>
          </cell>
          <cell r="U529">
            <v>240000</v>
          </cell>
          <cell r="X529">
            <v>19500</v>
          </cell>
          <cell r="AA529">
            <v>9000</v>
          </cell>
          <cell r="AJ529">
            <v>113000</v>
          </cell>
        </row>
        <row r="530">
          <cell r="A530" t="str">
            <v>ETLCUST-03262</v>
          </cell>
          <cell r="B530" t="str">
            <v>EASY NET - CHITTAGONG</v>
          </cell>
          <cell r="C530" t="str">
            <v>Titul Dutta</v>
          </cell>
          <cell r="D530" t="str">
            <v>CTG</v>
          </cell>
          <cell r="E530" t="str">
            <v>CTG</v>
          </cell>
          <cell r="U530">
            <v>487350</v>
          </cell>
          <cell r="AV530">
            <v>16200</v>
          </cell>
        </row>
        <row r="531">
          <cell r="A531" t="str">
            <v>ETLCUST-00142</v>
          </cell>
          <cell r="B531" t="str">
            <v>EASY SOLUTION - UTTARA</v>
          </cell>
          <cell r="C531" t="str">
            <v>Dulal Sarker</v>
          </cell>
          <cell r="D531" t="str">
            <v>Uttara</v>
          </cell>
          <cell r="E531" t="str">
            <v>Uttara</v>
          </cell>
          <cell r="BA531">
            <v>20830</v>
          </cell>
        </row>
        <row r="532">
          <cell r="A532" t="str">
            <v>ETLCUST-04437</v>
          </cell>
          <cell r="B532" t="str">
            <v>EASY TECH - RANGPUR</v>
          </cell>
          <cell r="C532" t="str">
            <v>Md. Arif Arman</v>
          </cell>
          <cell r="D532" t="str">
            <v>North Bengal</v>
          </cell>
          <cell r="E532" t="str">
            <v>North Bengal</v>
          </cell>
          <cell r="G532">
            <v>196500</v>
          </cell>
          <cell r="T532">
            <v>276850</v>
          </cell>
          <cell r="AL532">
            <v>20670</v>
          </cell>
          <cell r="AM532">
            <v>201780</v>
          </cell>
          <cell r="AQ532">
            <v>0</v>
          </cell>
          <cell r="BA532">
            <v>5528585</v>
          </cell>
        </row>
        <row r="533">
          <cell r="A533" t="str">
            <v>ETLCUST-00136</v>
          </cell>
          <cell r="B533" t="str">
            <v>EASY TECH - UTTARA</v>
          </cell>
          <cell r="C533" t="str">
            <v>Dulal Sarker</v>
          </cell>
          <cell r="D533" t="str">
            <v>Uttara</v>
          </cell>
          <cell r="E533" t="str">
            <v>Uttara</v>
          </cell>
          <cell r="R533">
            <v>79500</v>
          </cell>
          <cell r="S533">
            <v>0</v>
          </cell>
          <cell r="U533">
            <v>23720</v>
          </cell>
          <cell r="AJ533">
            <v>31600</v>
          </cell>
          <cell r="AM533">
            <v>46555</v>
          </cell>
          <cell r="AO533">
            <v>56675</v>
          </cell>
          <cell r="AZ533">
            <v>11400</v>
          </cell>
          <cell r="BA533">
            <v>1580885</v>
          </cell>
        </row>
        <row r="534">
          <cell r="A534" t="str">
            <v>ETLCUST-01127</v>
          </cell>
          <cell r="B534" t="str">
            <v>EASY TECHNOLOGY - MIRPUR</v>
          </cell>
          <cell r="C534" t="str">
            <v>Amit Sarker</v>
          </cell>
          <cell r="D534" t="str">
            <v>IDB</v>
          </cell>
          <cell r="E534" t="str">
            <v>IDB</v>
          </cell>
          <cell r="H534">
            <v>222600</v>
          </cell>
        </row>
        <row r="535">
          <cell r="A535" t="str">
            <v>ETLCUST-04989</v>
          </cell>
          <cell r="B535" t="str">
            <v>EBRAHIM ELECTRONIC- SYLHET</v>
          </cell>
          <cell r="C535" t="str">
            <v>Sanwar Husen</v>
          </cell>
          <cell r="D535" t="str">
            <v>Sylhet</v>
          </cell>
          <cell r="E535" t="str">
            <v>Sylhet</v>
          </cell>
          <cell r="X535">
            <v>100500</v>
          </cell>
          <cell r="AL535">
            <v>307640</v>
          </cell>
          <cell r="AZ535">
            <v>1039110</v>
          </cell>
        </row>
        <row r="536">
          <cell r="A536" t="str">
            <v>ETLCUST-02344</v>
          </cell>
          <cell r="B536" t="str">
            <v>ECHOTEX LIMITED</v>
          </cell>
          <cell r="C536" t="str">
            <v>Hasibul Hasan Symoon</v>
          </cell>
          <cell r="D536" t="str">
            <v>Corporate</v>
          </cell>
          <cell r="E536" t="str">
            <v>Corporate</v>
          </cell>
          <cell r="M536">
            <v>9480</v>
          </cell>
          <cell r="R536">
            <v>48856</v>
          </cell>
          <cell r="Y536">
            <v>168000</v>
          </cell>
          <cell r="AD536">
            <v>58800</v>
          </cell>
        </row>
        <row r="537">
          <cell r="A537" t="str">
            <v>ETLCUST-05398</v>
          </cell>
          <cell r="B537" t="str">
            <v>ECO POWER SOLUTION - GULISTAN</v>
          </cell>
          <cell r="C537" t="str">
            <v>Md Kamrul Hasan Sabuz</v>
          </cell>
          <cell r="D537" t="str">
            <v>Gulistan</v>
          </cell>
          <cell r="E537" t="str">
            <v>Gulistan</v>
          </cell>
          <cell r="S537">
            <v>0</v>
          </cell>
          <cell r="AK537">
            <v>212000</v>
          </cell>
        </row>
        <row r="538">
          <cell r="A538" t="str">
            <v>ETLCUST-02117</v>
          </cell>
          <cell r="B538" t="str">
            <v>ECOTRIMS BANGLADESH LTD.</v>
          </cell>
          <cell r="C538" t="str">
            <v>Mosfiqur Rahman</v>
          </cell>
          <cell r="D538" t="str">
            <v>Corporate</v>
          </cell>
          <cell r="E538" t="str">
            <v>Corporate</v>
          </cell>
          <cell r="M538">
            <v>30634</v>
          </cell>
          <cell r="S538">
            <v>37500</v>
          </cell>
          <cell r="U538">
            <v>133478</v>
          </cell>
          <cell r="X538">
            <v>352032</v>
          </cell>
          <cell r="AJ538">
            <v>948</v>
          </cell>
          <cell r="AK538">
            <v>38737</v>
          </cell>
          <cell r="AV538">
            <v>31794</v>
          </cell>
        </row>
        <row r="539">
          <cell r="A539" t="str">
            <v>ETLCUST-05417</v>
          </cell>
          <cell r="B539" t="str">
            <v>EDSION EXPERT BUSINESS - BARISHAL</v>
          </cell>
          <cell r="C539" t="str">
            <v>Shah Imran</v>
          </cell>
          <cell r="D539" t="str">
            <v>South Bengal</v>
          </cell>
          <cell r="E539" t="str">
            <v>South Bengal</v>
          </cell>
          <cell r="S539">
            <v>0</v>
          </cell>
          <cell r="AM539">
            <v>18995</v>
          </cell>
          <cell r="AO539">
            <v>11155</v>
          </cell>
          <cell r="BA539">
            <v>35525</v>
          </cell>
        </row>
        <row r="540">
          <cell r="A540" t="str">
            <v>ETLCUST-04288</v>
          </cell>
          <cell r="B540" t="str">
            <v>EERNA LIMITED - MULTIPLAN</v>
          </cell>
          <cell r="C540" t="str">
            <v>Mohammad Mostofa</v>
          </cell>
          <cell r="D540" t="str">
            <v>Multiplan</v>
          </cell>
          <cell r="E540" t="str">
            <v>Multiplan</v>
          </cell>
          <cell r="U540">
            <v>405650</v>
          </cell>
          <cell r="AA540">
            <v>761000</v>
          </cell>
          <cell r="AJ540">
            <v>2300</v>
          </cell>
          <cell r="AK540">
            <v>21500</v>
          </cell>
          <cell r="AO540">
            <v>1850</v>
          </cell>
          <cell r="AP540">
            <v>32600</v>
          </cell>
          <cell r="AV540">
            <v>112800</v>
          </cell>
        </row>
        <row r="541">
          <cell r="A541" t="str">
            <v>ETLCUST-00313</v>
          </cell>
          <cell r="B541" t="str">
            <v>EFA COMPUTER - MULTIPLAN</v>
          </cell>
          <cell r="C541" t="str">
            <v>Mohammad Mostofa</v>
          </cell>
          <cell r="D541" t="str">
            <v>Multiplan</v>
          </cell>
          <cell r="E541" t="str">
            <v>Multiplan</v>
          </cell>
          <cell r="P541">
            <v>483700</v>
          </cell>
          <cell r="X541">
            <v>259100</v>
          </cell>
        </row>
        <row r="542">
          <cell r="A542" t="str">
            <v>ETLCUST-02213</v>
          </cell>
          <cell r="B542" t="str">
            <v>EFFICIENT OFFICE SOLUTIONS</v>
          </cell>
          <cell r="C542" t="str">
            <v>Rafsan Jani</v>
          </cell>
          <cell r="D542" t="str">
            <v>Corporate</v>
          </cell>
          <cell r="E542" t="str">
            <v>Corporate</v>
          </cell>
          <cell r="AD542">
            <v>424000</v>
          </cell>
        </row>
        <row r="543">
          <cell r="A543" t="str">
            <v>ETLCUST-02382</v>
          </cell>
          <cell r="B543" t="str">
            <v>EFL GLOBAL LIMITED</v>
          </cell>
          <cell r="C543" t="str">
            <v>Hasibul Hasan Symoon</v>
          </cell>
          <cell r="D543" t="str">
            <v>Corporate</v>
          </cell>
          <cell r="E543" t="str">
            <v>Corporate</v>
          </cell>
          <cell r="I543">
            <v>17200</v>
          </cell>
          <cell r="R543">
            <v>6056</v>
          </cell>
          <cell r="U543">
            <v>72000</v>
          </cell>
          <cell r="X543">
            <v>24500</v>
          </cell>
          <cell r="AD543">
            <v>104400</v>
          </cell>
          <cell r="BA543">
            <v>11800</v>
          </cell>
        </row>
        <row r="544">
          <cell r="A544" t="str">
            <v>ETLCUST-04529</v>
          </cell>
          <cell r="B544" t="str">
            <v>EIDGAON IT - COX'S BAZAR</v>
          </cell>
          <cell r="C544" t="str">
            <v>Shahidul Alam Chowdhury</v>
          </cell>
          <cell r="D544" t="str">
            <v>CTG</v>
          </cell>
          <cell r="E544" t="str">
            <v>CTG</v>
          </cell>
          <cell r="AQ544">
            <v>0</v>
          </cell>
          <cell r="BA544">
            <v>142000</v>
          </cell>
        </row>
        <row r="545">
          <cell r="A545" t="str">
            <v>ETLCUST-04697</v>
          </cell>
          <cell r="B545" t="str">
            <v>EKUSHEY COMPUTER - SYLHET</v>
          </cell>
          <cell r="C545" t="str">
            <v>Kunjaraj Singha</v>
          </cell>
          <cell r="D545" t="str">
            <v>Sylhet</v>
          </cell>
          <cell r="E545" t="str">
            <v>Sylhet</v>
          </cell>
          <cell r="R545">
            <v>10400</v>
          </cell>
          <cell r="AL545">
            <v>26500</v>
          </cell>
        </row>
        <row r="546">
          <cell r="A546" t="str">
            <v>ETLCUST-01555</v>
          </cell>
          <cell r="B546" t="str">
            <v>EKUSHY COMPUTER AND ELECTRONICS - KHAGRACHARI</v>
          </cell>
          <cell r="C546" t="str">
            <v>Md. Mamunur Rashid</v>
          </cell>
          <cell r="D546" t="str">
            <v>CTG</v>
          </cell>
          <cell r="E546" t="str">
            <v>CTG</v>
          </cell>
          <cell r="G546">
            <v>112000</v>
          </cell>
          <cell r="AL546">
            <v>13250</v>
          </cell>
          <cell r="AM546">
            <v>75780</v>
          </cell>
          <cell r="BA546">
            <v>276320</v>
          </cell>
        </row>
        <row r="547">
          <cell r="A547" t="str">
            <v>ETLCUST-01136</v>
          </cell>
          <cell r="B547" t="str">
            <v>ELECTRONIC CONCEPT - IDB</v>
          </cell>
          <cell r="C547" t="str">
            <v>Amit Sarker</v>
          </cell>
          <cell r="D547" t="str">
            <v>IDB</v>
          </cell>
          <cell r="E547" t="str">
            <v>IDB</v>
          </cell>
          <cell r="BA547">
            <v>5200</v>
          </cell>
        </row>
        <row r="548">
          <cell r="A548" t="str">
            <v>ETLCUST-00146</v>
          </cell>
          <cell r="B548" t="str">
            <v>ELECTRONICS POINT - UTTARA</v>
          </cell>
          <cell r="C548" t="str">
            <v>Dulal Sarker</v>
          </cell>
          <cell r="D548" t="str">
            <v>Uttara</v>
          </cell>
          <cell r="E548" t="str">
            <v>Uttara</v>
          </cell>
          <cell r="S548">
            <v>0</v>
          </cell>
          <cell r="X548">
            <v>102700</v>
          </cell>
          <cell r="AM548">
            <v>100440</v>
          </cell>
          <cell r="AO548">
            <v>4500</v>
          </cell>
          <cell r="BA548">
            <v>1328270</v>
          </cell>
        </row>
        <row r="549">
          <cell r="A549" t="str">
            <v>ETLCUST-04557</v>
          </cell>
          <cell r="B549" t="str">
            <v>ELEGANT GROUP</v>
          </cell>
          <cell r="C549" t="str">
            <v>Mosfiqur Rahman</v>
          </cell>
          <cell r="D549" t="str">
            <v>Corporate</v>
          </cell>
          <cell r="E549" t="str">
            <v>Corporate</v>
          </cell>
          <cell r="S549">
            <v>389200</v>
          </cell>
          <cell r="AH549">
            <v>847700</v>
          </cell>
          <cell r="AI549">
            <v>16000</v>
          </cell>
        </row>
        <row r="550">
          <cell r="A550" t="str">
            <v>ETLCUST-04301</v>
          </cell>
          <cell r="B550" t="str">
            <v>ELLIN COMPUTER - CUMILLA</v>
          </cell>
          <cell r="C550" t="str">
            <v>Nazmul Amin Sajib</v>
          </cell>
          <cell r="D550" t="str">
            <v>CTG</v>
          </cell>
          <cell r="E550" t="str">
            <v>CTG</v>
          </cell>
          <cell r="X550">
            <v>479500</v>
          </cell>
          <cell r="AM550">
            <v>39010</v>
          </cell>
          <cell r="BA550">
            <v>315160</v>
          </cell>
        </row>
        <row r="551">
          <cell r="A551" t="str">
            <v>ETLCUST-02123</v>
          </cell>
          <cell r="B551" t="str">
            <v>ELLIPSE TECHNOLOGIES LIMITED</v>
          </cell>
          <cell r="C551" t="str">
            <v>Hasibul Hasan Symoon</v>
          </cell>
          <cell r="D551" t="str">
            <v>Corporate</v>
          </cell>
          <cell r="E551" t="str">
            <v>Corporate</v>
          </cell>
          <cell r="X551">
            <v>333600</v>
          </cell>
        </row>
        <row r="552">
          <cell r="A552" t="str">
            <v>ETLCUST-04189</v>
          </cell>
          <cell r="B552" t="str">
            <v>EMACHINES LIMITED - MULTIPLAN</v>
          </cell>
          <cell r="C552" t="str">
            <v>Mohammad Mostofa</v>
          </cell>
          <cell r="D552" t="str">
            <v>Multiplan</v>
          </cell>
          <cell r="E552" t="str">
            <v>Multiplan</v>
          </cell>
          <cell r="R552">
            <v>37500</v>
          </cell>
          <cell r="U552">
            <v>14800</v>
          </cell>
        </row>
        <row r="553">
          <cell r="A553" t="str">
            <v>ETLCUST-01652</v>
          </cell>
          <cell r="B553" t="str">
            <v>ENDEAVOUR TECHNOLOGIES LTD - MOGHBAZAR</v>
          </cell>
          <cell r="C553" t="str">
            <v>Md. Abdus Satter</v>
          </cell>
          <cell r="D553" t="str">
            <v>HO-SI</v>
          </cell>
          <cell r="E553" t="str">
            <v>HO-SI</v>
          </cell>
          <cell r="H553">
            <v>37000</v>
          </cell>
          <cell r="I553">
            <v>51600</v>
          </cell>
          <cell r="R553">
            <v>15000</v>
          </cell>
          <cell r="T553">
            <v>2250</v>
          </cell>
          <cell r="X553">
            <v>102000</v>
          </cell>
          <cell r="AR553">
            <v>29100</v>
          </cell>
          <cell r="AV553">
            <v>150000</v>
          </cell>
        </row>
        <row r="554">
          <cell r="A554" t="str">
            <v>ETLCUST-04721</v>
          </cell>
          <cell r="B554" t="str">
            <v>ENERGY TECH - RAJSHAHI</v>
          </cell>
          <cell r="C554" t="str">
            <v>Md Moniruzzaman Masum</v>
          </cell>
          <cell r="D554" t="str">
            <v>Rajshahi</v>
          </cell>
          <cell r="E554" t="str">
            <v>Rajshahi</v>
          </cell>
          <cell r="X554">
            <v>6000</v>
          </cell>
          <cell r="AJ554">
            <v>2220</v>
          </cell>
        </row>
        <row r="555">
          <cell r="A555" t="str">
            <v>ETLCUST-02128</v>
          </cell>
          <cell r="B555" t="str">
            <v>ENSURE SUPPORT SERVICES LIMITED</v>
          </cell>
          <cell r="C555" t="str">
            <v>Sabbir Ahmed</v>
          </cell>
          <cell r="D555" t="str">
            <v>Corporate</v>
          </cell>
          <cell r="E555" t="str">
            <v>Corporate</v>
          </cell>
          <cell r="U555">
            <v>592100</v>
          </cell>
        </row>
        <row r="556">
          <cell r="A556" t="str">
            <v>ETLCUST-03559</v>
          </cell>
          <cell r="B556" t="str">
            <v>ENVOY TEXTILES LIMITED</v>
          </cell>
          <cell r="C556" t="str">
            <v>Ashraful Islam</v>
          </cell>
          <cell r="D556" t="str">
            <v>Corporate</v>
          </cell>
          <cell r="E556" t="str">
            <v>Corporate</v>
          </cell>
          <cell r="I556">
            <v>259.08999999999997</v>
          </cell>
          <cell r="S556">
            <v>4500</v>
          </cell>
          <cell r="X556">
            <v>46320</v>
          </cell>
          <cell r="AR556">
            <v>53563.619999999995</v>
          </cell>
        </row>
        <row r="557">
          <cell r="A557" t="str">
            <v>ETLCUST-02129</v>
          </cell>
          <cell r="B557" t="str">
            <v>EPIC GARMENTS MANUFACTURING CO. LTD.</v>
          </cell>
          <cell r="C557" t="str">
            <v>Ashraful Islam</v>
          </cell>
          <cell r="D557" t="str">
            <v>Corporate</v>
          </cell>
          <cell r="E557" t="str">
            <v>Corporate</v>
          </cell>
          <cell r="H557">
            <v>347100</v>
          </cell>
          <cell r="I557">
            <v>185900</v>
          </cell>
          <cell r="L557">
            <v>956000</v>
          </cell>
          <cell r="M557">
            <v>21000</v>
          </cell>
          <cell r="S557">
            <v>911400</v>
          </cell>
          <cell r="U557">
            <v>6000</v>
          </cell>
          <cell r="V557">
            <v>9975.91</v>
          </cell>
          <cell r="Y557">
            <v>302115</v>
          </cell>
          <cell r="AY557">
            <v>956.52</v>
          </cell>
        </row>
        <row r="558">
          <cell r="A558" t="str">
            <v>ETLCUST-02136</v>
          </cell>
          <cell r="B558" t="str">
            <v>EPYLLION STYLE LIMITED</v>
          </cell>
          <cell r="C558" t="str">
            <v>Md Saim Ali Rezvy</v>
          </cell>
          <cell r="D558" t="str">
            <v>Corporate</v>
          </cell>
          <cell r="E558" t="str">
            <v>Corporate</v>
          </cell>
          <cell r="AR558">
            <v>93000</v>
          </cell>
        </row>
        <row r="559">
          <cell r="A559" t="str">
            <v>ETLCUST-05342</v>
          </cell>
          <cell r="B559" t="str">
            <v>ERROR SOLUTION - KHILGAON</v>
          </cell>
          <cell r="C559" t="str">
            <v>Hridoy Chandra Das</v>
          </cell>
          <cell r="D559" t="str">
            <v>Motijheel</v>
          </cell>
          <cell r="E559" t="str">
            <v>Motijheel</v>
          </cell>
          <cell r="P559">
            <v>6400</v>
          </cell>
          <cell r="T559">
            <v>25550</v>
          </cell>
          <cell r="AZ559">
            <v>23900</v>
          </cell>
        </row>
        <row r="560">
          <cell r="A560" t="str">
            <v>ETLCUST-02138</v>
          </cell>
          <cell r="B560" t="str">
            <v>ESKAYEF PHARMACEUTICALS LIMITED</v>
          </cell>
          <cell r="C560" t="str">
            <v>Sabbir Ahmed</v>
          </cell>
          <cell r="D560" t="str">
            <v>Corporate</v>
          </cell>
          <cell r="E560" t="str">
            <v>Corporate</v>
          </cell>
          <cell r="U560">
            <v>19336.36</v>
          </cell>
          <cell r="BA560">
            <v>9300</v>
          </cell>
        </row>
        <row r="561">
          <cell r="A561" t="str">
            <v>ETLCUST-03698</v>
          </cell>
          <cell r="B561" t="str">
            <v>ETC COMPUTER - E.ROAD</v>
          </cell>
          <cell r="C561" t="str">
            <v>Mohammad Mostofa</v>
          </cell>
          <cell r="D561" t="str">
            <v>Multiplan</v>
          </cell>
          <cell r="E561" t="str">
            <v>Multiplan</v>
          </cell>
          <cell r="P561">
            <v>102400</v>
          </cell>
          <cell r="U561">
            <v>34100</v>
          </cell>
          <cell r="AK561">
            <v>16380</v>
          </cell>
          <cell r="AO561">
            <v>57400</v>
          </cell>
          <cell r="AV561">
            <v>63200</v>
          </cell>
          <cell r="AZ561">
            <v>9900</v>
          </cell>
        </row>
        <row r="562">
          <cell r="A562" t="str">
            <v>ETLCUST-04994</v>
          </cell>
          <cell r="B562" t="str">
            <v>E-TECH SYSTEM - CTG</v>
          </cell>
          <cell r="C562" t="str">
            <v>Shahidul Alam Chowdhury</v>
          </cell>
          <cell r="D562" t="str">
            <v>CTG</v>
          </cell>
          <cell r="E562" t="str">
            <v>CTG</v>
          </cell>
          <cell r="H562">
            <v>152500</v>
          </cell>
          <cell r="X562">
            <v>122900</v>
          </cell>
          <cell r="Y562">
            <v>405000</v>
          </cell>
          <cell r="AR562">
            <v>6890</v>
          </cell>
          <cell r="AV562">
            <v>108000</v>
          </cell>
          <cell r="BA562">
            <v>18890</v>
          </cell>
        </row>
        <row r="563">
          <cell r="A563" t="str">
            <v>ETLCUST-01486</v>
          </cell>
          <cell r="B563" t="str">
            <v>ETS BANGLADESH - CTG</v>
          </cell>
          <cell r="C563" t="str">
            <v>Shahidul Alam Chowdhury</v>
          </cell>
          <cell r="D563" t="str">
            <v>CTG</v>
          </cell>
          <cell r="E563" t="str">
            <v>CTG</v>
          </cell>
          <cell r="AL563">
            <v>6360</v>
          </cell>
          <cell r="BA563">
            <v>21925</v>
          </cell>
        </row>
        <row r="564">
          <cell r="A564" t="str">
            <v>ETLCUST-01367</v>
          </cell>
          <cell r="B564" t="str">
            <v>ETTADY COMPUTER - N.GONJ</v>
          </cell>
          <cell r="C564" t="str">
            <v>Arafat Hossain</v>
          </cell>
          <cell r="D564" t="str">
            <v>South Bengal</v>
          </cell>
          <cell r="E564" t="str">
            <v>South Bengal</v>
          </cell>
          <cell r="V564">
            <v>15000</v>
          </cell>
          <cell r="W564">
            <v>-1350</v>
          </cell>
          <cell r="AM564">
            <v>760</v>
          </cell>
          <cell r="BA564">
            <v>20000</v>
          </cell>
        </row>
        <row r="565">
          <cell r="A565" t="str">
            <v>ETLCUST-03475</v>
          </cell>
          <cell r="B565" t="str">
            <v>EUROTEL BUSINESS SYSTEM - MIRPUR</v>
          </cell>
          <cell r="C565" t="str">
            <v>Md. Abdus Satter</v>
          </cell>
          <cell r="D565" t="str">
            <v>HO-SI</v>
          </cell>
          <cell r="E565" t="str">
            <v>HO-SI</v>
          </cell>
          <cell r="AS565">
            <v>14000</v>
          </cell>
        </row>
        <row r="566">
          <cell r="A566" t="str">
            <v>ETLCUST-00040</v>
          </cell>
          <cell r="B566" t="str">
            <v>EVA ESHAN ENTERPRISE - HEMAYETPUR</v>
          </cell>
          <cell r="C566" t="str">
            <v>Biplop Kumar</v>
          </cell>
          <cell r="D566" t="str">
            <v>DHK-EXT</v>
          </cell>
          <cell r="E566" t="str">
            <v>DHK-EXT</v>
          </cell>
          <cell r="S566">
            <v>0</v>
          </cell>
          <cell r="AL566">
            <v>8750</v>
          </cell>
          <cell r="AZ566">
            <v>152300</v>
          </cell>
          <cell r="BA566">
            <v>399935</v>
          </cell>
        </row>
        <row r="567">
          <cell r="A567" t="str">
            <v>ETLCUST-02793</v>
          </cell>
          <cell r="B567" t="str">
            <v>EVERCARE HOSPITAL CHITTAGONG</v>
          </cell>
          <cell r="C567" t="str">
            <v>Sayed Golam Murtuza</v>
          </cell>
          <cell r="D567" t="str">
            <v>Corporate</v>
          </cell>
          <cell r="E567" t="str">
            <v>Corporate</v>
          </cell>
          <cell r="U567">
            <v>76836.399999999994</v>
          </cell>
        </row>
        <row r="568">
          <cell r="A568" t="str">
            <v>ETLCUST-01968</v>
          </cell>
          <cell r="B568" t="str">
            <v>EVERCARE HOSPITAL DHAKA (STS HOLDINGS LIMITED)</v>
          </cell>
          <cell r="C568" t="str">
            <v>Abu Zahid Sobuj</v>
          </cell>
          <cell r="D568" t="str">
            <v>Corporate</v>
          </cell>
          <cell r="E568" t="str">
            <v>Corporate</v>
          </cell>
          <cell r="R568">
            <v>158499.94000000015</v>
          </cell>
          <cell r="U568">
            <v>447023.57</v>
          </cell>
          <cell r="AJ568">
            <v>26091</v>
          </cell>
          <cell r="AP568">
            <v>139090.92000000001</v>
          </cell>
        </row>
        <row r="569">
          <cell r="A569" t="str">
            <v>ETLCUST-00880</v>
          </cell>
          <cell r="B569" t="str">
            <v>EVERGREEN COMPUTERS - KUSHTIA</v>
          </cell>
          <cell r="C569" t="str">
            <v>Md Rakibul Islam</v>
          </cell>
          <cell r="D569" t="str">
            <v>South Bengal</v>
          </cell>
          <cell r="E569" t="str">
            <v>South Bengal</v>
          </cell>
          <cell r="P569">
            <v>12800</v>
          </cell>
          <cell r="R569">
            <v>36200</v>
          </cell>
          <cell r="X569">
            <v>12000</v>
          </cell>
        </row>
        <row r="570">
          <cell r="A570" t="str">
            <v>ETLCUST-05194</v>
          </cell>
          <cell r="B570" t="str">
            <v>EXABYTING TECHNOLOGIES</v>
          </cell>
          <cell r="C570" t="str">
            <v>Rafsan Jani</v>
          </cell>
          <cell r="D570" t="str">
            <v>Corporate</v>
          </cell>
          <cell r="E570" t="str">
            <v>Corporate</v>
          </cell>
          <cell r="S570">
            <v>3636</v>
          </cell>
          <cell r="AV570">
            <v>17370</v>
          </cell>
          <cell r="AY570">
            <v>19197</v>
          </cell>
        </row>
        <row r="571">
          <cell r="A571" t="str">
            <v>ETLCUST-04676</v>
          </cell>
          <cell r="B571" t="str">
            <v>EXCEL COMPUTER - CTG</v>
          </cell>
          <cell r="C571" t="str">
            <v>Md. Mamunur Rashid</v>
          </cell>
          <cell r="D571" t="str">
            <v>CTG</v>
          </cell>
          <cell r="E571" t="str">
            <v>CTG</v>
          </cell>
          <cell r="V571">
            <v>33250</v>
          </cell>
        </row>
        <row r="572">
          <cell r="A572" t="str">
            <v>ETLCUST-00921</v>
          </cell>
          <cell r="B572" t="str">
            <v>EXCEL COMPUTER - JHENAIDAH</v>
          </cell>
          <cell r="C572" t="str">
            <v>Md Rakibul Islam</v>
          </cell>
          <cell r="D572" t="str">
            <v>South Bengal</v>
          </cell>
          <cell r="E572" t="str">
            <v>South Bengal</v>
          </cell>
          <cell r="G572">
            <v>212000</v>
          </cell>
          <cell r="O572">
            <v>3540</v>
          </cell>
          <cell r="S572">
            <v>0</v>
          </cell>
          <cell r="AO572">
            <v>18075</v>
          </cell>
          <cell r="AQ572">
            <v>0</v>
          </cell>
          <cell r="AT572">
            <v>19000</v>
          </cell>
          <cell r="BA572">
            <v>220800</v>
          </cell>
        </row>
        <row r="573">
          <cell r="A573" t="str">
            <v>ETLCUST-03127</v>
          </cell>
          <cell r="B573" t="str">
            <v>EXCEL TELECOM (PVT.) LIMITED</v>
          </cell>
          <cell r="C573" t="str">
            <v>Ashraful Islam</v>
          </cell>
          <cell r="D573" t="str">
            <v>Corporate</v>
          </cell>
          <cell r="E573" t="str">
            <v>Corporate</v>
          </cell>
          <cell r="R573">
            <v>55363.63</v>
          </cell>
          <cell r="U573">
            <v>16545.439999999999</v>
          </cell>
          <cell r="AR573">
            <v>18945.46</v>
          </cell>
        </row>
        <row r="574">
          <cell r="A574" t="str">
            <v>ETLCUST-03978</v>
          </cell>
          <cell r="B574" t="str">
            <v>EXCELLENT TECHNOLOGY BD  - MIRPUR</v>
          </cell>
          <cell r="C574" t="str">
            <v>Amit Sarker</v>
          </cell>
          <cell r="D574" t="str">
            <v>IDB</v>
          </cell>
          <cell r="E574" t="str">
            <v>IDB</v>
          </cell>
          <cell r="L574">
            <v>1795000</v>
          </cell>
          <cell r="R574">
            <v>8940</v>
          </cell>
          <cell r="S574">
            <v>0</v>
          </cell>
          <cell r="U574">
            <v>358750</v>
          </cell>
          <cell r="V574">
            <v>1300000</v>
          </cell>
          <cell r="AF574">
            <v>4882550</v>
          </cell>
          <cell r="AJ574">
            <v>1253650</v>
          </cell>
          <cell r="AO574">
            <v>45000</v>
          </cell>
          <cell r="AP574">
            <v>16700</v>
          </cell>
          <cell r="AR574">
            <v>76500</v>
          </cell>
          <cell r="AV574">
            <v>72000</v>
          </cell>
          <cell r="BA574">
            <v>5289385</v>
          </cell>
        </row>
        <row r="575">
          <cell r="A575" t="str">
            <v>ETLCUST-05162</v>
          </cell>
          <cell r="B575" t="str">
            <v>EXCELLENT TECHNOLOGY BD - MULTIPLAN</v>
          </cell>
          <cell r="C575" t="str">
            <v>Mohammad Mostofa</v>
          </cell>
          <cell r="D575" t="str">
            <v>Multiplan</v>
          </cell>
          <cell r="E575" t="str">
            <v>Multiplan</v>
          </cell>
          <cell r="P575">
            <v>3300</v>
          </cell>
          <cell r="AF575">
            <v>318600</v>
          </cell>
          <cell r="AJ575">
            <v>108000</v>
          </cell>
          <cell r="BA575">
            <v>17500</v>
          </cell>
        </row>
        <row r="576">
          <cell r="A576" t="str">
            <v>ETLCUST-04737</v>
          </cell>
          <cell r="B576" t="str">
            <v>EXECUTIVE TECH &amp; AD SOLUTION - CTG</v>
          </cell>
          <cell r="C576" t="str">
            <v>Titul Dutta</v>
          </cell>
          <cell r="D576" t="str">
            <v>CTG</v>
          </cell>
          <cell r="E576" t="str">
            <v>CTG</v>
          </cell>
          <cell r="G576">
            <v>113000</v>
          </cell>
          <cell r="T576">
            <v>7400</v>
          </cell>
          <cell r="BA576">
            <v>10390</v>
          </cell>
        </row>
        <row r="577">
          <cell r="A577" t="str">
            <v>ETLCUST-03145</v>
          </cell>
          <cell r="B577" t="str">
            <v>EXPEDITER LIMITED- E. ROAD</v>
          </cell>
          <cell r="C577" t="str">
            <v>Md Shamim Miah</v>
          </cell>
          <cell r="D577" t="str">
            <v>DHB</v>
          </cell>
          <cell r="E577" t="str">
            <v>DHB</v>
          </cell>
          <cell r="U577">
            <v>586450</v>
          </cell>
        </row>
        <row r="578">
          <cell r="A578" t="str">
            <v>ETLCUST-04022</v>
          </cell>
          <cell r="B578" t="str">
            <v>EXPERT COMPUTER - GAZIPUR</v>
          </cell>
          <cell r="C578" t="str">
            <v>Md. Rahad</v>
          </cell>
          <cell r="D578" t="str">
            <v>Uttara</v>
          </cell>
          <cell r="E578" t="str">
            <v>Uttara</v>
          </cell>
          <cell r="R578">
            <v>5200</v>
          </cell>
        </row>
        <row r="579">
          <cell r="A579" t="str">
            <v>ETLCUST-00317</v>
          </cell>
          <cell r="B579" t="str">
            <v>EXPERT WORLD - MULTIPLAN</v>
          </cell>
          <cell r="C579" t="str">
            <v>Mohammad Mostofa</v>
          </cell>
          <cell r="D579" t="str">
            <v>Multiplan</v>
          </cell>
          <cell r="E579" t="str">
            <v>Multiplan</v>
          </cell>
          <cell r="P579">
            <v>140800</v>
          </cell>
          <cell r="AL579">
            <v>90380</v>
          </cell>
          <cell r="AO579">
            <v>18000</v>
          </cell>
        </row>
        <row r="580">
          <cell r="A580" t="str">
            <v>ETLCUST-05234</v>
          </cell>
          <cell r="B580" t="str">
            <v>EXPO HOLDINGS (BD) LIMITED</v>
          </cell>
          <cell r="C580" t="str">
            <v>Ashraful Islam</v>
          </cell>
          <cell r="D580" t="str">
            <v>Corporate</v>
          </cell>
          <cell r="E580" t="str">
            <v>Corporate</v>
          </cell>
          <cell r="S580">
            <v>35800</v>
          </cell>
        </row>
        <row r="581">
          <cell r="A581" t="str">
            <v>ETLCUST-01509</v>
          </cell>
          <cell r="B581" t="str">
            <v>EXPONENT PC SHOP - CTG</v>
          </cell>
          <cell r="C581" t="str">
            <v>Shahidul Alam Chowdhury</v>
          </cell>
          <cell r="D581" t="str">
            <v>CTG</v>
          </cell>
          <cell r="E581" t="str">
            <v>CTG</v>
          </cell>
          <cell r="P581">
            <v>13000</v>
          </cell>
          <cell r="R581">
            <v>2560</v>
          </cell>
          <cell r="AF581">
            <v>19000</v>
          </cell>
          <cell r="AM581">
            <v>760</v>
          </cell>
          <cell r="AV581">
            <v>15000</v>
          </cell>
          <cell r="BA581">
            <v>46550</v>
          </cell>
        </row>
        <row r="582">
          <cell r="A582" t="str">
            <v>ETLCUST-03545</v>
          </cell>
          <cell r="B582" t="str">
            <v>EXPRESS IT SOLUTION - MIRPUR</v>
          </cell>
          <cell r="C582" t="str">
            <v>Amit Sarker</v>
          </cell>
          <cell r="D582" t="str">
            <v>IDB</v>
          </cell>
          <cell r="E582" t="str">
            <v>IDB</v>
          </cell>
          <cell r="X582">
            <v>64600</v>
          </cell>
        </row>
        <row r="583">
          <cell r="A583" t="str">
            <v>ETLCUST-02149</v>
          </cell>
          <cell r="B583" t="str">
            <v>EXPRESS SYSTEMS LTD.</v>
          </cell>
          <cell r="C583" t="str">
            <v>Md Saim Ali Rezvy</v>
          </cell>
          <cell r="D583" t="str">
            <v>Corporate</v>
          </cell>
          <cell r="E583" t="str">
            <v>Corporate</v>
          </cell>
          <cell r="U583">
            <v>-239600</v>
          </cell>
        </row>
        <row r="584">
          <cell r="A584" t="str">
            <v>ETLCUST-04102</v>
          </cell>
          <cell r="B584" t="str">
            <v>EXTREME SECURITY &amp; SOLUTION - GULISTAN</v>
          </cell>
          <cell r="C584" t="str">
            <v>Noor Hossain</v>
          </cell>
          <cell r="D584" t="str">
            <v>Gulistan</v>
          </cell>
          <cell r="E584" t="str">
            <v>Gulistan</v>
          </cell>
          <cell r="T584">
            <v>649000</v>
          </cell>
        </row>
        <row r="585">
          <cell r="A585" t="str">
            <v>ETLCUST-00579</v>
          </cell>
          <cell r="B585" t="str">
            <v>EZZY GROUP - MOHAKHALI</v>
          </cell>
          <cell r="C585" t="str">
            <v>Liton Biswas</v>
          </cell>
          <cell r="D585" t="str">
            <v>HO-SI</v>
          </cell>
          <cell r="E585" t="str">
            <v>HO-SI</v>
          </cell>
          <cell r="U585">
            <v>258300</v>
          </cell>
          <cell r="AV585">
            <v>72000</v>
          </cell>
          <cell r="BA585">
            <v>44400</v>
          </cell>
        </row>
        <row r="586">
          <cell r="A586" t="str">
            <v>ETLCUST-04122</v>
          </cell>
          <cell r="B586" t="str">
            <v>F22R - SHAHBAGH</v>
          </cell>
          <cell r="C586" t="str">
            <v>Sabuj Das</v>
          </cell>
          <cell r="D586" t="str">
            <v>HO-SI</v>
          </cell>
          <cell r="E586" t="str">
            <v>HO-SI</v>
          </cell>
          <cell r="F586">
            <v>270000</v>
          </cell>
          <cell r="Y586">
            <v>148000</v>
          </cell>
        </row>
        <row r="587">
          <cell r="A587" t="str">
            <v>ETLCUST-05392</v>
          </cell>
          <cell r="B587" t="str">
            <v>FA COMPUTER - CUMILLA</v>
          </cell>
          <cell r="C587" t="str">
            <v>Nazmul Amin Sajib</v>
          </cell>
          <cell r="D587" t="str">
            <v>CTG</v>
          </cell>
          <cell r="E587" t="str">
            <v>CTG</v>
          </cell>
          <cell r="T587">
            <v>178450</v>
          </cell>
          <cell r="X587">
            <v>352960</v>
          </cell>
        </row>
        <row r="588">
          <cell r="A588" t="str">
            <v>ETLCUST-03514</v>
          </cell>
          <cell r="B588" t="str">
            <v>FAHIM COMPUTER - UTTARA</v>
          </cell>
          <cell r="C588" t="str">
            <v>Dulal Sarker</v>
          </cell>
          <cell r="D588" t="str">
            <v>Uttara</v>
          </cell>
          <cell r="E588" t="str">
            <v>Uttara</v>
          </cell>
          <cell r="P588">
            <v>97500</v>
          </cell>
        </row>
        <row r="589">
          <cell r="A589" t="str">
            <v>ETLCUST-03578</v>
          </cell>
          <cell r="B589" t="str">
            <v>FAIR TECH MART - SUVASTU ARCADE</v>
          </cell>
          <cell r="C589" t="str">
            <v>Md. Razan Hossain</v>
          </cell>
          <cell r="D589" t="str">
            <v>DHB</v>
          </cell>
          <cell r="E589" t="str">
            <v>DHB</v>
          </cell>
          <cell r="T589">
            <v>4741650</v>
          </cell>
          <cell r="U589">
            <v>-20500</v>
          </cell>
          <cell r="X589">
            <v>74271475</v>
          </cell>
          <cell r="AA589">
            <v>93000</v>
          </cell>
          <cell r="AV589">
            <v>160600</v>
          </cell>
        </row>
        <row r="590">
          <cell r="A590" t="str">
            <v>ETLCUST-01475</v>
          </cell>
          <cell r="B590" t="str">
            <v>FAIRLY ZONE - PATUAKHALI</v>
          </cell>
          <cell r="C590" t="str">
            <v>Shah Imran</v>
          </cell>
          <cell r="D590" t="str">
            <v>South Bengal</v>
          </cell>
          <cell r="E590" t="str">
            <v>South Bengal</v>
          </cell>
          <cell r="X590">
            <v>101325</v>
          </cell>
          <cell r="AL590">
            <v>3180</v>
          </cell>
          <cell r="BA590">
            <v>153750</v>
          </cell>
        </row>
        <row r="591">
          <cell r="A591" t="str">
            <v>ETLCUST-00128</v>
          </cell>
          <cell r="B591" t="str">
            <v>FAITH COMPUTER AND SERVICE CENTER - UTTARA</v>
          </cell>
          <cell r="C591" t="str">
            <v>Dulal Sarker</v>
          </cell>
          <cell r="D591" t="str">
            <v>Uttara</v>
          </cell>
          <cell r="E591" t="str">
            <v>Uttara</v>
          </cell>
          <cell r="X591">
            <v>6100</v>
          </cell>
          <cell r="AM591">
            <v>1140</v>
          </cell>
          <cell r="BA591">
            <v>29500</v>
          </cell>
        </row>
        <row r="592">
          <cell r="A592" t="str">
            <v>ETLCUST-05040</v>
          </cell>
          <cell r="B592" t="str">
            <v>FAITH SOLUTION - KHILGAON</v>
          </cell>
          <cell r="C592" t="str">
            <v>Hridoy Chandra Das</v>
          </cell>
          <cell r="D592" t="str">
            <v>Motijheel</v>
          </cell>
          <cell r="E592" t="str">
            <v>Motijheel</v>
          </cell>
          <cell r="S592">
            <v>0</v>
          </cell>
          <cell r="AM592">
            <v>52800</v>
          </cell>
          <cell r="BA592">
            <v>3015645</v>
          </cell>
        </row>
        <row r="593">
          <cell r="A593" t="str">
            <v>ETLCUST-00016</v>
          </cell>
          <cell r="B593" t="str">
            <v>FAIZAN COMPUTER - SAIDPUR</v>
          </cell>
          <cell r="C593" t="str">
            <v>Akramul Haque</v>
          </cell>
          <cell r="D593" t="str">
            <v>North Bengal</v>
          </cell>
          <cell r="E593" t="str">
            <v>North Bengal</v>
          </cell>
          <cell r="G593">
            <v>20400</v>
          </cell>
          <cell r="X593">
            <v>120300</v>
          </cell>
          <cell r="AF593">
            <v>37600</v>
          </cell>
          <cell r="AO593">
            <v>26850</v>
          </cell>
          <cell r="BA593">
            <v>130180</v>
          </cell>
        </row>
        <row r="594">
          <cell r="A594" t="str">
            <v>ETLCUST-02154</v>
          </cell>
          <cell r="B594" t="str">
            <v>FAKIR APPARELS LTD.</v>
          </cell>
          <cell r="C594" t="str">
            <v>Md Saim Ali Rezvy</v>
          </cell>
          <cell r="D594" t="str">
            <v>Corporate</v>
          </cell>
          <cell r="E594" t="str">
            <v>Corporate</v>
          </cell>
          <cell r="S594">
            <v>4540</v>
          </cell>
          <cell r="U594">
            <v>62000</v>
          </cell>
          <cell r="X594">
            <v>580900</v>
          </cell>
          <cell r="AJ594">
            <v>518400</v>
          </cell>
          <cell r="AV594">
            <v>34000</v>
          </cell>
          <cell r="AY594">
            <v>3500</v>
          </cell>
        </row>
        <row r="595">
          <cell r="A595" t="str">
            <v>ETLCUST-03750</v>
          </cell>
          <cell r="B595" t="str">
            <v>FAKIR FASHION LTD.</v>
          </cell>
          <cell r="C595" t="str">
            <v>Rafsan Jani</v>
          </cell>
          <cell r="D595" t="str">
            <v>Corporate</v>
          </cell>
          <cell r="E595" t="str">
            <v>Corporate</v>
          </cell>
          <cell r="R595">
            <v>176860</v>
          </cell>
        </row>
        <row r="596">
          <cell r="A596" t="str">
            <v>ETLCUST-03844</v>
          </cell>
          <cell r="B596" t="str">
            <v>FAKIR TECHNOLOGIES LTD.</v>
          </cell>
          <cell r="C596" t="str">
            <v>Sadekur Rahman</v>
          </cell>
          <cell r="D596" t="str">
            <v>HO-SI</v>
          </cell>
          <cell r="E596" t="str">
            <v>HO-SI</v>
          </cell>
          <cell r="R596">
            <v>345000</v>
          </cell>
          <cell r="X596">
            <v>73650</v>
          </cell>
          <cell r="AA596">
            <v>554000</v>
          </cell>
          <cell r="AJ596">
            <v>48000</v>
          </cell>
          <cell r="AR596">
            <v>1380000</v>
          </cell>
          <cell r="AT596">
            <v>492000</v>
          </cell>
          <cell r="AV596">
            <v>0</v>
          </cell>
          <cell r="BA596">
            <v>615480</v>
          </cell>
        </row>
        <row r="597">
          <cell r="A597" t="str">
            <v>ETLCUST-01466</v>
          </cell>
          <cell r="B597" t="str">
            <v>FAMOUS COMPUTER - BARISAL</v>
          </cell>
          <cell r="C597" t="str">
            <v>Md. Aminul Islam</v>
          </cell>
          <cell r="D597" t="str">
            <v>South Bengal</v>
          </cell>
          <cell r="E597" t="str">
            <v>South Bengal</v>
          </cell>
          <cell r="X597">
            <v>111475</v>
          </cell>
          <cell r="AO597">
            <v>24000</v>
          </cell>
          <cell r="BA597">
            <v>1090</v>
          </cell>
        </row>
        <row r="598">
          <cell r="A598" t="str">
            <v>ETLCUST-01904</v>
          </cell>
          <cell r="B598" t="str">
            <v>FAMOUS TECHNOLOGIES - MOTIJHEEL</v>
          </cell>
          <cell r="C598" t="str">
            <v>Hridoy Chandra Das</v>
          </cell>
          <cell r="D598" t="str">
            <v>Motijheel</v>
          </cell>
          <cell r="E598" t="str">
            <v>Motijheel</v>
          </cell>
          <cell r="U598">
            <v>23450</v>
          </cell>
          <cell r="AJ598">
            <v>1096400</v>
          </cell>
          <cell r="AT598">
            <v>15000</v>
          </cell>
        </row>
        <row r="599">
          <cell r="A599" t="str">
            <v>ETLCUST-02865</v>
          </cell>
          <cell r="B599" t="str">
            <v>FAMOUS TECHNOLOGY - NAKHALPARA</v>
          </cell>
          <cell r="C599" t="str">
            <v>Md Tanjilur Rakib</v>
          </cell>
          <cell r="D599" t="str">
            <v>HO-SI</v>
          </cell>
          <cell r="E599" t="str">
            <v>HO-SI</v>
          </cell>
          <cell r="U599">
            <v>58000</v>
          </cell>
          <cell r="X599">
            <v>76000</v>
          </cell>
        </row>
        <row r="600">
          <cell r="A600" t="str">
            <v>ETLCUST-03051</v>
          </cell>
          <cell r="B600" t="str">
            <v>FARHAD COMPUTER - RANGPUR</v>
          </cell>
          <cell r="C600" t="str">
            <v>Md Abdullah Al Mamun</v>
          </cell>
          <cell r="D600" t="str">
            <v>North Bengal</v>
          </cell>
          <cell r="E600" t="str">
            <v>North Bengal</v>
          </cell>
          <cell r="R600">
            <v>93000</v>
          </cell>
          <cell r="AZ600">
            <v>9800</v>
          </cell>
        </row>
        <row r="601">
          <cell r="A601" t="str">
            <v>ETLCUST-00715</v>
          </cell>
          <cell r="B601" t="str">
            <v>FARUK ELECTRIC AND CC CAMERA HOUSE - JESSORE</v>
          </cell>
          <cell r="C601" t="str">
            <v>Md Husaun</v>
          </cell>
          <cell r="D601" t="str">
            <v>Khulna</v>
          </cell>
          <cell r="E601" t="str">
            <v>Khulna</v>
          </cell>
          <cell r="T601">
            <v>187750</v>
          </cell>
          <cell r="X601">
            <v>1473300</v>
          </cell>
        </row>
        <row r="602">
          <cell r="A602" t="str">
            <v>ETLCUST-05075</v>
          </cell>
          <cell r="B602" t="str">
            <v xml:space="preserve">FASHION IT - SYLHET </v>
          </cell>
          <cell r="C602" t="str">
            <v>Kunjaraj Singha</v>
          </cell>
          <cell r="D602" t="str">
            <v>Sylhet</v>
          </cell>
          <cell r="E602" t="str">
            <v>Sylhet</v>
          </cell>
          <cell r="L602">
            <v>14300</v>
          </cell>
          <cell r="Y602">
            <v>202000</v>
          </cell>
          <cell r="AL602">
            <v>202425</v>
          </cell>
        </row>
        <row r="603">
          <cell r="A603" t="str">
            <v>ETLCUST-05001</v>
          </cell>
          <cell r="B603" t="str">
            <v>FASHION STEP LIMITED</v>
          </cell>
          <cell r="C603" t="str">
            <v>Shakil Ahmed</v>
          </cell>
          <cell r="D603" t="str">
            <v>Corporate</v>
          </cell>
          <cell r="E603" t="str">
            <v>Corporate</v>
          </cell>
          <cell r="X603">
            <v>20500</v>
          </cell>
        </row>
        <row r="604">
          <cell r="A604" t="str">
            <v>ETLCUST-04520</v>
          </cell>
          <cell r="B604" t="str">
            <v>FAST COMPUTER - CTG</v>
          </cell>
          <cell r="C604" t="str">
            <v>Titul Dutta</v>
          </cell>
          <cell r="D604" t="str">
            <v>CTG</v>
          </cell>
          <cell r="E604" t="str">
            <v>CTG</v>
          </cell>
          <cell r="G604">
            <v>5000</v>
          </cell>
          <cell r="H604">
            <v>132000</v>
          </cell>
          <cell r="I604">
            <v>83210</v>
          </cell>
          <cell r="M604">
            <v>38800</v>
          </cell>
          <cell r="U604">
            <v>15000</v>
          </cell>
          <cell r="X604">
            <v>216275</v>
          </cell>
          <cell r="AM604">
            <v>92430</v>
          </cell>
          <cell r="AR604">
            <v>219430</v>
          </cell>
          <cell r="AV604">
            <v>65200</v>
          </cell>
          <cell r="BA604">
            <v>290890</v>
          </cell>
        </row>
        <row r="605">
          <cell r="A605" t="str">
            <v>ETLCUST-04595</v>
          </cell>
          <cell r="B605" t="str">
            <v>FAST NETWORK SOLUTIONS - KHILGAON</v>
          </cell>
          <cell r="C605" t="str">
            <v>Md. Abdus Satter</v>
          </cell>
          <cell r="D605" t="str">
            <v>HO-SI</v>
          </cell>
          <cell r="E605" t="str">
            <v>HO-SI</v>
          </cell>
          <cell r="U605">
            <v>282500</v>
          </cell>
          <cell r="X605">
            <v>262000</v>
          </cell>
        </row>
        <row r="606">
          <cell r="A606" t="str">
            <v>ETLCUST-00156</v>
          </cell>
          <cell r="B606" t="str">
            <v>FAST TECH PRODUCT - UTTARA</v>
          </cell>
          <cell r="C606" t="str">
            <v>Dulal Sarker</v>
          </cell>
          <cell r="D606" t="str">
            <v>Uttara</v>
          </cell>
          <cell r="E606" t="str">
            <v>Uttara</v>
          </cell>
          <cell r="BA606">
            <v>28325</v>
          </cell>
        </row>
        <row r="607">
          <cell r="A607" t="str">
            <v>ETLCUST-00263</v>
          </cell>
          <cell r="B607" t="str">
            <v>FAST TRACK - MOULVI BAZAR</v>
          </cell>
          <cell r="C607" t="str">
            <v>Amit Das</v>
          </cell>
          <cell r="D607" t="str">
            <v>Sylhet</v>
          </cell>
          <cell r="E607" t="str">
            <v>Sylhet</v>
          </cell>
          <cell r="R607">
            <v>39000</v>
          </cell>
        </row>
        <row r="608">
          <cell r="A608" t="str">
            <v>ETLCUST-00179</v>
          </cell>
          <cell r="B608" t="str">
            <v>FASTRACK SOLUTIONS - IDB</v>
          </cell>
          <cell r="C608" t="str">
            <v>Gaji Parvin Nesa</v>
          </cell>
          <cell r="D608" t="str">
            <v>IDB</v>
          </cell>
          <cell r="E608" t="str">
            <v>IDB</v>
          </cell>
          <cell r="BA608">
            <v>5200</v>
          </cell>
        </row>
        <row r="609">
          <cell r="A609" t="str">
            <v>ETLCUST-03328</v>
          </cell>
          <cell r="B609" t="str">
            <v>FC TECHNOLOGY - CTG</v>
          </cell>
          <cell r="C609" t="str">
            <v>Shahidul Alam Chowdhury</v>
          </cell>
          <cell r="D609" t="str">
            <v>CTG</v>
          </cell>
          <cell r="E609" t="str">
            <v>CTG</v>
          </cell>
          <cell r="X609">
            <v>10000</v>
          </cell>
        </row>
        <row r="610">
          <cell r="A610" t="str">
            <v>ETLCUST-05411</v>
          </cell>
          <cell r="B610" t="str">
            <v>FENI BAZAR - FENI</v>
          </cell>
          <cell r="C610" t="str">
            <v>Reazuddin</v>
          </cell>
          <cell r="D610" t="str">
            <v>CTG</v>
          </cell>
          <cell r="E610" t="str">
            <v>CTG</v>
          </cell>
        </row>
        <row r="611">
          <cell r="A611" t="str">
            <v>ETLCUST-04868</v>
          </cell>
          <cell r="B611" t="str">
            <v>FEXIDESH LTD.</v>
          </cell>
          <cell r="C611" t="str">
            <v>Rafsan Jani</v>
          </cell>
          <cell r="D611" t="str">
            <v>Corporate</v>
          </cell>
          <cell r="E611" t="str">
            <v>Corporate</v>
          </cell>
          <cell r="I611">
            <v>80331.839999999997</v>
          </cell>
          <cell r="L611">
            <v>11550.91</v>
          </cell>
          <cell r="M611">
            <v>81610.009999999995</v>
          </cell>
          <cell r="P611">
            <v>6954.55</v>
          </cell>
          <cell r="S611">
            <v>84480.93</v>
          </cell>
          <cell r="U611">
            <v>22145.48</v>
          </cell>
          <cell r="X611">
            <v>287131.87</v>
          </cell>
          <cell r="AA611">
            <v>1098470.9000000001</v>
          </cell>
          <cell r="AJ611">
            <v>1283.6400000000001</v>
          </cell>
          <cell r="AR611">
            <v>5563.64</v>
          </cell>
          <cell r="AU611">
            <v>2000</v>
          </cell>
          <cell r="AV611">
            <v>886801.85</v>
          </cell>
          <cell r="AY611">
            <v>439984.87</v>
          </cell>
        </row>
        <row r="612">
          <cell r="A612" t="str">
            <v>ETLCUST-00570</v>
          </cell>
          <cell r="B612" t="str">
            <v>FIBER@ HOME LTD - PANTHOPATH</v>
          </cell>
          <cell r="C612" t="str">
            <v>Md Tanjilur Rakib</v>
          </cell>
          <cell r="D612" t="str">
            <v>HO-SI</v>
          </cell>
          <cell r="E612" t="str">
            <v>HO-SI</v>
          </cell>
          <cell r="U612">
            <v>23405</v>
          </cell>
          <cell r="X612">
            <v>66327.3</v>
          </cell>
          <cell r="AG612">
            <v>1540000.1</v>
          </cell>
          <cell r="AP612">
            <v>72640.92</v>
          </cell>
          <cell r="AR612">
            <v>213636.31999999998</v>
          </cell>
          <cell r="AV612">
            <v>21272.73</v>
          </cell>
        </row>
        <row r="613">
          <cell r="A613" t="str">
            <v>ETLCUST-01584</v>
          </cell>
          <cell r="B613" t="str">
            <v>FILCO ELECTRONICS - GULISTAN</v>
          </cell>
          <cell r="C613" t="str">
            <v>Shamim Hossain</v>
          </cell>
          <cell r="D613" t="str">
            <v>Gulistan</v>
          </cell>
          <cell r="E613" t="str">
            <v>Gulistan</v>
          </cell>
          <cell r="AZ613">
            <v>354000</v>
          </cell>
        </row>
        <row r="614">
          <cell r="A614" t="str">
            <v>ETLCUST-03387</v>
          </cell>
          <cell r="B614" t="str">
            <v xml:space="preserve">FINE SOLUTION -KAFRUL </v>
          </cell>
          <cell r="C614" t="str">
            <v>Amit Sarker</v>
          </cell>
          <cell r="D614" t="str">
            <v>IDB</v>
          </cell>
          <cell r="E614" t="str">
            <v>IDB</v>
          </cell>
          <cell r="L614">
            <v>8500</v>
          </cell>
          <cell r="U614">
            <v>18650</v>
          </cell>
          <cell r="AJ614">
            <v>3450</v>
          </cell>
          <cell r="BA614">
            <v>5190</v>
          </cell>
        </row>
        <row r="615">
          <cell r="A615" t="str">
            <v>ETLCUST-04233</v>
          </cell>
          <cell r="B615" t="str">
            <v>FIRST LEAD LIMITED - MOTIJHEEL</v>
          </cell>
          <cell r="C615" t="str">
            <v>Sadekur Rahman</v>
          </cell>
          <cell r="D615" t="str">
            <v>HO-SI</v>
          </cell>
          <cell r="E615" t="str">
            <v>HO-SI</v>
          </cell>
          <cell r="P615">
            <v>32000</v>
          </cell>
          <cell r="U615">
            <v>24980</v>
          </cell>
          <cell r="AF615">
            <v>128000</v>
          </cell>
          <cell r="AR615">
            <v>20670</v>
          </cell>
          <cell r="BA615">
            <v>23700</v>
          </cell>
        </row>
        <row r="616">
          <cell r="A616" t="str">
            <v>ETLCUST-03207</v>
          </cell>
          <cell r="B616" t="str">
            <v>FIRST POINT - NILPHAMARI</v>
          </cell>
          <cell r="C616" t="str">
            <v>Akramul Haque</v>
          </cell>
          <cell r="D616" t="str">
            <v>North Bengal</v>
          </cell>
          <cell r="E616" t="str">
            <v>North Bengal</v>
          </cell>
          <cell r="S616">
            <v>0</v>
          </cell>
          <cell r="T616">
            <v>12450</v>
          </cell>
          <cell r="X616">
            <v>48000</v>
          </cell>
          <cell r="AM616">
            <v>760</v>
          </cell>
          <cell r="BA616">
            <v>126450</v>
          </cell>
        </row>
        <row r="617">
          <cell r="A617" t="str">
            <v>ETLCUST-04619</v>
          </cell>
          <cell r="B617" t="str">
            <v>FLORA COMPUTER - KHULNA</v>
          </cell>
          <cell r="C617" t="str">
            <v>Md Husaun</v>
          </cell>
          <cell r="D617" t="str">
            <v>Khulna</v>
          </cell>
          <cell r="E617" t="str">
            <v>Khulna</v>
          </cell>
          <cell r="R617">
            <v>19100</v>
          </cell>
          <cell r="V617">
            <v>950</v>
          </cell>
          <cell r="BA617">
            <v>4690</v>
          </cell>
        </row>
        <row r="618">
          <cell r="A618" t="str">
            <v>ETLCUST-02158</v>
          </cell>
          <cell r="B618" t="str">
            <v>FLORA TELECOM LIMITED</v>
          </cell>
          <cell r="C618" t="str">
            <v>Samiran Chandra Biswas</v>
          </cell>
          <cell r="D618" t="str">
            <v>Corporate</v>
          </cell>
          <cell r="E618" t="str">
            <v>Corporate</v>
          </cell>
          <cell r="AV618">
            <v>16800</v>
          </cell>
          <cell r="BA618">
            <v>4690</v>
          </cell>
        </row>
        <row r="619">
          <cell r="A619" t="str">
            <v>ETLCUST-03042</v>
          </cell>
          <cell r="B619" t="str">
            <v>FLORENCE GROUP</v>
          </cell>
          <cell r="C619" t="str">
            <v>Ashraful Islam</v>
          </cell>
          <cell r="D619" t="str">
            <v>Corporate</v>
          </cell>
          <cell r="E619" t="str">
            <v>Corporate</v>
          </cell>
          <cell r="AD619">
            <v>6200</v>
          </cell>
        </row>
        <row r="620">
          <cell r="A620" t="str">
            <v>ETLCUST-00769</v>
          </cell>
          <cell r="B620" t="str">
            <v>FM TECH - MULTIPLAN</v>
          </cell>
          <cell r="C620" t="str">
            <v>Mohammad Mostofa</v>
          </cell>
          <cell r="D620" t="str">
            <v>Multiplan</v>
          </cell>
          <cell r="E620" t="str">
            <v>Multiplan</v>
          </cell>
          <cell r="AZ620">
            <v>15400</v>
          </cell>
        </row>
        <row r="621">
          <cell r="A621" t="str">
            <v>ETLCUST-05014</v>
          </cell>
          <cell r="B621" t="str">
            <v>FNF TECHNOLOGIES- E.ROAD</v>
          </cell>
          <cell r="C621" t="str">
            <v>Md. Rony Ahmed</v>
          </cell>
          <cell r="D621" t="str">
            <v>DHB</v>
          </cell>
          <cell r="E621" t="str">
            <v>DHB</v>
          </cell>
          <cell r="S621">
            <v>0</v>
          </cell>
          <cell r="T621">
            <v>3865150</v>
          </cell>
          <cell r="V621">
            <v>-450</v>
          </cell>
          <cell r="X621">
            <v>437500</v>
          </cell>
          <cell r="AL621">
            <v>593050</v>
          </cell>
          <cell r="AM621">
            <v>73000</v>
          </cell>
          <cell r="AV621">
            <v>18000</v>
          </cell>
          <cell r="BA621">
            <v>4337725</v>
          </cell>
        </row>
        <row r="622">
          <cell r="A622" t="str">
            <v>ETLCUST-05119</v>
          </cell>
          <cell r="B622" t="str">
            <v>FOCUS BROADBAND  NETWORK - NARAYANGANJ</v>
          </cell>
          <cell r="C622" t="str">
            <v>Arafat Hossain</v>
          </cell>
          <cell r="D622" t="str">
            <v>South Bengal</v>
          </cell>
          <cell r="E622" t="str">
            <v>South Bengal</v>
          </cell>
          <cell r="AM622">
            <v>103360</v>
          </cell>
          <cell r="BA622">
            <v>639285</v>
          </cell>
        </row>
        <row r="623">
          <cell r="A623" t="str">
            <v>ETLCUST-01070</v>
          </cell>
          <cell r="B623" t="str">
            <v>FOREVER TECHNOLOGY - CTG</v>
          </cell>
          <cell r="C623" t="str">
            <v>Md. Mamunur Rashid</v>
          </cell>
          <cell r="D623" t="str">
            <v>CTG</v>
          </cell>
          <cell r="E623" t="str">
            <v>CTG</v>
          </cell>
          <cell r="T623">
            <v>1160</v>
          </cell>
          <cell r="U623">
            <v>168000</v>
          </cell>
          <cell r="X623">
            <v>4380500</v>
          </cell>
          <cell r="Y623">
            <v>800000</v>
          </cell>
          <cell r="AM623">
            <v>99860</v>
          </cell>
          <cell r="AR623">
            <v>115500</v>
          </cell>
          <cell r="AV623">
            <v>431200</v>
          </cell>
          <cell r="BA623">
            <v>2874775</v>
          </cell>
        </row>
        <row r="624">
          <cell r="A624" t="str">
            <v>ETLCUST-00365</v>
          </cell>
          <cell r="B624" t="str">
            <v>FOTO CART - BANANI</v>
          </cell>
          <cell r="C624" t="str">
            <v>Jiku Saha</v>
          </cell>
          <cell r="D624" t="str">
            <v>Uttara</v>
          </cell>
          <cell r="E624" t="str">
            <v>Uttara</v>
          </cell>
          <cell r="Q624">
            <v>890</v>
          </cell>
          <cell r="U624">
            <v>64000</v>
          </cell>
          <cell r="X624">
            <v>61000</v>
          </cell>
          <cell r="AF624">
            <v>58000</v>
          </cell>
          <cell r="AM624">
            <v>105820</v>
          </cell>
          <cell r="AT624">
            <v>6250</v>
          </cell>
          <cell r="BA624">
            <v>1540765</v>
          </cell>
        </row>
        <row r="625">
          <cell r="A625" t="str">
            <v>ETLCUST-03861</v>
          </cell>
          <cell r="B625" t="str">
            <v>FOUR EYES SECURITY SOLUTION - MIRPUR</v>
          </cell>
          <cell r="C625" t="str">
            <v>Fajle Rabbi</v>
          </cell>
          <cell r="D625" t="str">
            <v>IDB</v>
          </cell>
          <cell r="E625" t="str">
            <v>IDB</v>
          </cell>
          <cell r="L625">
            <v>2000000</v>
          </cell>
          <cell r="T625">
            <v>3449400</v>
          </cell>
          <cell r="X625">
            <v>42890870</v>
          </cell>
          <cell r="AV625">
            <v>16200</v>
          </cell>
        </row>
        <row r="626">
          <cell r="A626" t="str">
            <v>ETLCUST-04603</v>
          </cell>
          <cell r="B626" t="str">
            <v>FOUR STAR IT - IDB</v>
          </cell>
          <cell r="C626" t="str">
            <v>Fajle Rabbi</v>
          </cell>
          <cell r="D626" t="str">
            <v>IDB</v>
          </cell>
          <cell r="E626" t="str">
            <v>IDB</v>
          </cell>
          <cell r="R626">
            <v>15000</v>
          </cell>
          <cell r="U626">
            <v>60400</v>
          </cell>
          <cell r="AF626">
            <v>1283300</v>
          </cell>
          <cell r="AJ626">
            <v>286025</v>
          </cell>
          <cell r="AK626">
            <v>68400</v>
          </cell>
          <cell r="AM626">
            <v>425</v>
          </cell>
          <cell r="AO626">
            <v>189000</v>
          </cell>
          <cell r="AR626">
            <v>35500</v>
          </cell>
          <cell r="BA626">
            <v>18250</v>
          </cell>
        </row>
        <row r="627">
          <cell r="A627" t="str">
            <v>ETLCUST-03495</v>
          </cell>
          <cell r="B627" t="str">
            <v>FOUR STAR IT - MULTIPLAN</v>
          </cell>
          <cell r="C627" t="str">
            <v>Pran Krishna Gosh</v>
          </cell>
          <cell r="D627" t="str">
            <v>Multiplan</v>
          </cell>
          <cell r="E627" t="str">
            <v>Multiplan</v>
          </cell>
          <cell r="AF627">
            <v>-11000</v>
          </cell>
        </row>
        <row r="628">
          <cell r="A628" t="str">
            <v>ETLCUST-04519</v>
          </cell>
          <cell r="B628" t="str">
            <v xml:space="preserve">FOYEZ ELECTRIC - SYLHT </v>
          </cell>
          <cell r="C628" t="str">
            <v>Sanwar Husen</v>
          </cell>
          <cell r="D628" t="str">
            <v>Sylhet</v>
          </cell>
          <cell r="E628" t="str">
            <v>Sylhet</v>
          </cell>
          <cell r="V628">
            <v>49950</v>
          </cell>
        </row>
        <row r="629">
          <cell r="A629" t="str">
            <v>ETLCUST-04231</v>
          </cell>
          <cell r="B629" t="str">
            <v>FR COMMUNICATION FRC - SIRAJGONJ</v>
          </cell>
          <cell r="C629" t="str">
            <v>Md. Raihan Shohag</v>
          </cell>
          <cell r="D629" t="str">
            <v>North Bengal</v>
          </cell>
          <cell r="E629" t="str">
            <v>North Bengal</v>
          </cell>
          <cell r="G629">
            <v>31000</v>
          </cell>
          <cell r="S629">
            <v>0</v>
          </cell>
          <cell r="AL629">
            <v>268650</v>
          </cell>
          <cell r="AM629">
            <v>181300</v>
          </cell>
          <cell r="AR629">
            <v>24750</v>
          </cell>
          <cell r="BA629">
            <v>286045</v>
          </cell>
        </row>
        <row r="630">
          <cell r="A630" t="str">
            <v>ETLCUST-03144</v>
          </cell>
          <cell r="B630" t="str">
            <v>FRIEND DIGITAL LINK -PURANA PALTAN</v>
          </cell>
          <cell r="C630" t="str">
            <v>Md. Sahedul Islam</v>
          </cell>
          <cell r="D630" t="str">
            <v>Motijheel</v>
          </cell>
          <cell r="E630" t="str">
            <v>Motijheel</v>
          </cell>
          <cell r="U630">
            <v>113200</v>
          </cell>
          <cell r="AL630">
            <v>200580</v>
          </cell>
          <cell r="AR630">
            <v>327500</v>
          </cell>
        </row>
        <row r="631">
          <cell r="A631" t="str">
            <v>ETLCUST-03702</v>
          </cell>
          <cell r="B631" t="str">
            <v>FRIENDS COMPUTER - JAMALPUR</v>
          </cell>
          <cell r="C631" t="str">
            <v>Md. Sujon Mia</v>
          </cell>
          <cell r="D631" t="str">
            <v>Mymensingh</v>
          </cell>
          <cell r="E631" t="str">
            <v>Mymensingh</v>
          </cell>
          <cell r="AL631">
            <v>48900</v>
          </cell>
          <cell r="AM631">
            <v>53985</v>
          </cell>
          <cell r="AO631">
            <v>53400</v>
          </cell>
          <cell r="BA631">
            <v>448670</v>
          </cell>
        </row>
        <row r="632">
          <cell r="A632" t="str">
            <v>ETLCUST-01415</v>
          </cell>
          <cell r="B632" t="str">
            <v>FRIENDS COMPUTER - KONABARI</v>
          </cell>
          <cell r="C632" t="str">
            <v>MD. Shipon Ali</v>
          </cell>
          <cell r="D632" t="str">
            <v>Uttara</v>
          </cell>
          <cell r="E632" t="str">
            <v>Uttara</v>
          </cell>
          <cell r="R632">
            <v>51520</v>
          </cell>
          <cell r="S632">
            <v>0</v>
          </cell>
          <cell r="V632">
            <v>2700</v>
          </cell>
          <cell r="X632">
            <v>18000</v>
          </cell>
          <cell r="AJ632">
            <v>18230</v>
          </cell>
          <cell r="AM632">
            <v>15680</v>
          </cell>
          <cell r="AO632">
            <v>7800</v>
          </cell>
          <cell r="AQ632">
            <v>0</v>
          </cell>
          <cell r="AZ632">
            <v>9450</v>
          </cell>
          <cell r="BA632">
            <v>367615</v>
          </cell>
        </row>
        <row r="633">
          <cell r="A633" t="str">
            <v>ETLCUST-03265</v>
          </cell>
          <cell r="B633" t="str">
            <v>FRIENDS COMPUTER - SYLHET</v>
          </cell>
          <cell r="C633" t="str">
            <v>Sanwar Husen</v>
          </cell>
          <cell r="D633" t="str">
            <v>Sylhet</v>
          </cell>
          <cell r="E633" t="str">
            <v>Sylhet</v>
          </cell>
          <cell r="L633">
            <v>10000</v>
          </cell>
          <cell r="P633">
            <v>265600</v>
          </cell>
          <cell r="R633">
            <v>112700</v>
          </cell>
          <cell r="T633">
            <v>2694850</v>
          </cell>
          <cell r="X633">
            <v>503400</v>
          </cell>
          <cell r="AK633">
            <v>100900</v>
          </cell>
        </row>
        <row r="634">
          <cell r="A634" t="str">
            <v>ETLCUST-00077</v>
          </cell>
          <cell r="B634" t="str">
            <v>FRIENDS INFORMATION TECHNOLOGY - SAVAR</v>
          </cell>
          <cell r="C634" t="str">
            <v>Biplop Kumar</v>
          </cell>
          <cell r="D634" t="str">
            <v>DHK-EXT</v>
          </cell>
          <cell r="E634" t="str">
            <v>DHK-EXT</v>
          </cell>
          <cell r="P634">
            <v>25600</v>
          </cell>
          <cell r="X634">
            <v>21500</v>
          </cell>
          <cell r="AJ634">
            <v>121050</v>
          </cell>
          <cell r="AO634">
            <v>26750</v>
          </cell>
        </row>
        <row r="635">
          <cell r="A635" t="str">
            <v>ETLCUST-02730</v>
          </cell>
          <cell r="B635" t="str">
            <v>FRIENDS KNITTING'S LTD.</v>
          </cell>
          <cell r="C635" t="str">
            <v>Ashraful Islam</v>
          </cell>
          <cell r="D635" t="str">
            <v>Corporate</v>
          </cell>
          <cell r="E635" t="str">
            <v>Corporate</v>
          </cell>
          <cell r="S635">
            <v>38020</v>
          </cell>
          <cell r="U635">
            <v>6000</v>
          </cell>
          <cell r="X635">
            <v>4100</v>
          </cell>
          <cell r="AB635">
            <v>261000</v>
          </cell>
          <cell r="AV635">
            <v>-81000</v>
          </cell>
        </row>
        <row r="636">
          <cell r="A636" t="str">
            <v>ETLCUST-01894</v>
          </cell>
          <cell r="B636" t="str">
            <v>FRIENDS TRADE INTERNATIONAL - BARISAL</v>
          </cell>
          <cell r="C636" t="str">
            <v>Shah Imran</v>
          </cell>
          <cell r="D636" t="str">
            <v>South Bengal</v>
          </cell>
          <cell r="E636" t="str">
            <v>South Bengal</v>
          </cell>
          <cell r="G636">
            <v>135300</v>
          </cell>
          <cell r="S636">
            <v>0</v>
          </cell>
          <cell r="T636">
            <v>179360</v>
          </cell>
          <cell r="U636">
            <v>40250</v>
          </cell>
          <cell r="X636">
            <v>1495970</v>
          </cell>
          <cell r="AL636">
            <v>51550</v>
          </cell>
          <cell r="AM636">
            <v>1275</v>
          </cell>
          <cell r="AP636">
            <v>13500</v>
          </cell>
          <cell r="BA636">
            <v>4006570</v>
          </cell>
        </row>
        <row r="637">
          <cell r="A637" t="str">
            <v>ETLCUST-01853</v>
          </cell>
          <cell r="B637" t="str">
            <v>FUJIKON COMPUTERS - MULTIPLAN</v>
          </cell>
          <cell r="C637" t="str">
            <v>Md Nur Karim Chowdhury</v>
          </cell>
          <cell r="D637" t="str">
            <v>Multiplan</v>
          </cell>
          <cell r="E637" t="str">
            <v>Multiplan</v>
          </cell>
          <cell r="P637">
            <v>163200</v>
          </cell>
          <cell r="T637">
            <v>533000</v>
          </cell>
          <cell r="X637">
            <v>147050</v>
          </cell>
          <cell r="AJ637">
            <v>6950</v>
          </cell>
          <cell r="AL637">
            <v>112350</v>
          </cell>
          <cell r="BA637">
            <v>567885</v>
          </cell>
        </row>
        <row r="638">
          <cell r="A638" t="str">
            <v>ETLCUST-03272</v>
          </cell>
          <cell r="B638" t="str">
            <v>FUSION IT - THAKURGAON</v>
          </cell>
          <cell r="C638" t="str">
            <v>Akramul Haque</v>
          </cell>
          <cell r="D638" t="str">
            <v>North Bengal</v>
          </cell>
          <cell r="E638" t="str">
            <v>North Bengal</v>
          </cell>
          <cell r="G638">
            <v>56000</v>
          </cell>
          <cell r="O638">
            <v>5500</v>
          </cell>
          <cell r="R638">
            <v>96000</v>
          </cell>
          <cell r="X638">
            <v>615075</v>
          </cell>
          <cell r="AL638">
            <v>6625</v>
          </cell>
          <cell r="AM638">
            <v>8360</v>
          </cell>
          <cell r="AQ638">
            <v>0</v>
          </cell>
          <cell r="BA638">
            <v>302795</v>
          </cell>
        </row>
        <row r="639">
          <cell r="A639" t="str">
            <v>ETLCUST-04890</v>
          </cell>
          <cell r="B639" t="str">
            <v>FUTURE COMPUTER - BARISHAL</v>
          </cell>
          <cell r="C639" t="str">
            <v>Md. Aminul Islam</v>
          </cell>
          <cell r="D639" t="str">
            <v>South Bengal</v>
          </cell>
          <cell r="E639" t="str">
            <v>South Bengal</v>
          </cell>
          <cell r="P639">
            <v>25600</v>
          </cell>
          <cell r="AK639">
            <v>25500</v>
          </cell>
          <cell r="AM639">
            <v>380</v>
          </cell>
          <cell r="BA639">
            <v>15450</v>
          </cell>
        </row>
        <row r="640">
          <cell r="A640" t="str">
            <v>ETLCUST-04691</v>
          </cell>
          <cell r="B640" t="str">
            <v>FUTURE IT - NARAYANGANJ</v>
          </cell>
          <cell r="C640" t="str">
            <v>Arafat Hossain</v>
          </cell>
          <cell r="D640" t="str">
            <v>South Bengal</v>
          </cell>
          <cell r="E640" t="str">
            <v>South Bengal</v>
          </cell>
          <cell r="O640">
            <v>14300</v>
          </cell>
          <cell r="P640">
            <v>38800</v>
          </cell>
          <cell r="S640">
            <v>0</v>
          </cell>
          <cell r="X640">
            <v>41100</v>
          </cell>
          <cell r="AM640">
            <v>101200</v>
          </cell>
          <cell r="AO640">
            <v>4500</v>
          </cell>
          <cell r="BA640">
            <v>846260</v>
          </cell>
        </row>
        <row r="641">
          <cell r="A641" t="str">
            <v>ETLCUST-05165</v>
          </cell>
          <cell r="B641" t="str">
            <v>FUTURE TECH - SYLHET</v>
          </cell>
          <cell r="C641" t="str">
            <v>Amit Das</v>
          </cell>
          <cell r="D641" t="str">
            <v>Sylhet</v>
          </cell>
          <cell r="E641" t="str">
            <v>Sylhet</v>
          </cell>
          <cell r="T641">
            <v>4400</v>
          </cell>
        </row>
        <row r="642">
          <cell r="A642" t="str">
            <v>ETLCUST-04013</v>
          </cell>
          <cell r="B642" t="str">
            <v>FUTURE TECH COMPUTER - BAGERHAT</v>
          </cell>
          <cell r="C642" t="str">
            <v>Imrul Rayhan</v>
          </cell>
          <cell r="D642" t="str">
            <v>Khulna</v>
          </cell>
          <cell r="E642" t="str">
            <v>Khulna</v>
          </cell>
          <cell r="G642">
            <v>25000</v>
          </cell>
          <cell r="Q642">
            <v>1350</v>
          </cell>
          <cell r="R642">
            <v>5200</v>
          </cell>
          <cell r="AM642">
            <v>31410</v>
          </cell>
          <cell r="BA642">
            <v>29680</v>
          </cell>
        </row>
        <row r="643">
          <cell r="A643" t="str">
            <v>ETLCUST-04350</v>
          </cell>
          <cell r="B643" t="str">
            <v>G10 INFOTECH LIMITED - MOHAMMADPUR</v>
          </cell>
          <cell r="C643" t="str">
            <v>Sadekur Rahman</v>
          </cell>
          <cell r="D643" t="str">
            <v>HO-SI</v>
          </cell>
          <cell r="E643" t="str">
            <v>HO-SI</v>
          </cell>
          <cell r="I643">
            <v>10760</v>
          </cell>
          <cell r="AA643">
            <v>60000</v>
          </cell>
        </row>
        <row r="644">
          <cell r="A644" t="str">
            <v>ETLCUST-04564</v>
          </cell>
          <cell r="B644" t="str">
            <v xml:space="preserve">GADGET &amp; GEAR </v>
          </cell>
          <cell r="C644" t="str">
            <v>Md. Ismail Hossen</v>
          </cell>
          <cell r="D644" t="str">
            <v>Ecommerce</v>
          </cell>
          <cell r="E644" t="str">
            <v>Ecommerce</v>
          </cell>
          <cell r="S644">
            <v>0</v>
          </cell>
          <cell r="BA644">
            <v>3357130</v>
          </cell>
        </row>
        <row r="645">
          <cell r="A645" t="str">
            <v>ETLCUST-04915</v>
          </cell>
          <cell r="B645" t="str">
            <v>GADGET FREAK - DHANMONDI</v>
          </cell>
          <cell r="C645" t="str">
            <v>Md. Rony Ahmed</v>
          </cell>
          <cell r="D645" t="str">
            <v>DHB</v>
          </cell>
          <cell r="E645" t="str">
            <v>DHB</v>
          </cell>
          <cell r="X645">
            <v>-13200</v>
          </cell>
        </row>
        <row r="646">
          <cell r="A646" t="str">
            <v>ETLCUST-05394</v>
          </cell>
          <cell r="B646" t="str">
            <v>GADGET GALLERY IT SHOP - MONGLA</v>
          </cell>
          <cell r="C646" t="str">
            <v>Imrul Rayhan</v>
          </cell>
          <cell r="D646" t="str">
            <v>Khulna</v>
          </cell>
          <cell r="E646" t="str">
            <v>Khulna</v>
          </cell>
          <cell r="BA646">
            <v>149505</v>
          </cell>
        </row>
        <row r="647">
          <cell r="A647" t="str">
            <v>ETLCUST-04453</v>
          </cell>
          <cell r="B647" t="str">
            <v>GADGET WORLD - RAJSHAHI</v>
          </cell>
          <cell r="C647" t="str">
            <v>Md Moniruzzaman Masum</v>
          </cell>
          <cell r="D647" t="str">
            <v>Rajshahi</v>
          </cell>
          <cell r="E647" t="str">
            <v>Rajshahi</v>
          </cell>
          <cell r="G647">
            <v>1325600</v>
          </cell>
          <cell r="O647">
            <v>550</v>
          </cell>
          <cell r="P647">
            <v>7400</v>
          </cell>
          <cell r="Q647">
            <v>1350</v>
          </cell>
          <cell r="R647">
            <v>7500</v>
          </cell>
          <cell r="S647">
            <v>0</v>
          </cell>
          <cell r="T647">
            <v>680600</v>
          </cell>
          <cell r="V647">
            <v>61500</v>
          </cell>
          <cell r="AL647">
            <v>215175</v>
          </cell>
          <cell r="AM647">
            <v>587320</v>
          </cell>
          <cell r="AO647">
            <v>466150</v>
          </cell>
          <cell r="AQ647">
            <v>0</v>
          </cell>
          <cell r="AR647">
            <v>11000</v>
          </cell>
          <cell r="AZ647">
            <v>103250</v>
          </cell>
          <cell r="BA647">
            <v>9146400</v>
          </cell>
        </row>
        <row r="648">
          <cell r="A648" t="str">
            <v>ETLCUST-03235</v>
          </cell>
          <cell r="B648" t="str">
            <v>GALAXY COMPUTER - BANESHWAR</v>
          </cell>
          <cell r="C648" t="str">
            <v>Md Moniruzzaman Masum</v>
          </cell>
          <cell r="D648" t="str">
            <v>Rajshahi</v>
          </cell>
          <cell r="E648" t="str">
            <v>Rajshahi</v>
          </cell>
          <cell r="G648">
            <v>476000</v>
          </cell>
          <cell r="P648">
            <v>12800</v>
          </cell>
          <cell r="R648">
            <v>10400</v>
          </cell>
          <cell r="S648">
            <v>0</v>
          </cell>
          <cell r="AL648">
            <v>49025</v>
          </cell>
          <cell r="AM648">
            <v>201380</v>
          </cell>
          <cell r="AO648">
            <v>25200</v>
          </cell>
          <cell r="BA648">
            <v>857270</v>
          </cell>
        </row>
        <row r="649">
          <cell r="A649" t="str">
            <v>ETLCUST-02984</v>
          </cell>
          <cell r="B649" t="str">
            <v>GAMES COMPUTER POINT - SATKHIRA</v>
          </cell>
          <cell r="C649" t="str">
            <v>Imrul Rayhan</v>
          </cell>
          <cell r="D649" t="str">
            <v>Khulna</v>
          </cell>
          <cell r="E649" t="str">
            <v>Khulna</v>
          </cell>
          <cell r="R649">
            <v>5200</v>
          </cell>
          <cell r="S649">
            <v>0</v>
          </cell>
          <cell r="T649">
            <v>30350</v>
          </cell>
          <cell r="X649">
            <v>21800</v>
          </cell>
          <cell r="BA649">
            <v>86635</v>
          </cell>
        </row>
        <row r="650">
          <cell r="A650" t="str">
            <v>ETLCUST-03974</v>
          </cell>
          <cell r="B650" t="str">
            <v>GAMO TECH - ISP MIRPUR</v>
          </cell>
          <cell r="C650" t="str">
            <v>Amit Sarker</v>
          </cell>
          <cell r="D650" t="str">
            <v>IDB</v>
          </cell>
          <cell r="E650" t="str">
            <v>IDB</v>
          </cell>
          <cell r="AJ650">
            <v>85100</v>
          </cell>
        </row>
        <row r="651">
          <cell r="A651" t="str">
            <v>ETLCUST-02170</v>
          </cell>
          <cell r="B651" t="str">
            <v>GATEWAY COMMUNICATION AND TECHNOLOGY</v>
          </cell>
          <cell r="C651" t="str">
            <v>Abu Zahid Sobuj</v>
          </cell>
          <cell r="D651" t="str">
            <v>Corporate</v>
          </cell>
          <cell r="E651" t="str">
            <v>Corporate</v>
          </cell>
          <cell r="H651">
            <v>116000</v>
          </cell>
          <cell r="U651">
            <v>133000</v>
          </cell>
          <cell r="AV651">
            <v>2973900</v>
          </cell>
        </row>
        <row r="652">
          <cell r="A652" t="str">
            <v>ETLCUST-01476</v>
          </cell>
          <cell r="B652" t="str">
            <v>GAZI COMPUTER - MADBARIA</v>
          </cell>
          <cell r="C652" t="str">
            <v>Md. Aminul Islam</v>
          </cell>
          <cell r="D652" t="str">
            <v>South Bengal</v>
          </cell>
          <cell r="E652" t="str">
            <v>South Bengal</v>
          </cell>
          <cell r="S652">
            <v>0</v>
          </cell>
          <cell r="BA652">
            <v>136030</v>
          </cell>
        </row>
        <row r="653">
          <cell r="A653" t="str">
            <v>ETLCUST-01421</v>
          </cell>
          <cell r="B653" t="str">
            <v>GAZIPUR ENTERPRISE - GAZIPUR</v>
          </cell>
          <cell r="C653" t="str">
            <v>Md. Rahad</v>
          </cell>
          <cell r="D653" t="str">
            <v>Uttara</v>
          </cell>
          <cell r="E653" t="str">
            <v>Uttara</v>
          </cell>
          <cell r="G653">
            <v>112000</v>
          </cell>
          <cell r="AM653">
            <v>192755</v>
          </cell>
          <cell r="BA653">
            <v>966390</v>
          </cell>
        </row>
        <row r="654">
          <cell r="A654" t="str">
            <v>ETLCUST-04176</v>
          </cell>
          <cell r="B654" t="str">
            <v>GEEBEE GARMENTS INDUSTRIES LTD.</v>
          </cell>
          <cell r="C654" t="str">
            <v>Sayed Golam Murtuza</v>
          </cell>
          <cell r="D654" t="str">
            <v>Corporate</v>
          </cell>
          <cell r="E654" t="str">
            <v>Corporate</v>
          </cell>
          <cell r="P654">
            <v>7400</v>
          </cell>
          <cell r="X654">
            <v>4800</v>
          </cell>
          <cell r="AF654">
            <v>10530</v>
          </cell>
        </row>
        <row r="655">
          <cell r="A655" t="str">
            <v>ETLCUST-04126</v>
          </cell>
          <cell r="B655" t="str">
            <v>GEET RECORDING &amp; TELECOME - BARISHAL</v>
          </cell>
          <cell r="C655" t="str">
            <v>Shah Imran</v>
          </cell>
          <cell r="D655" t="str">
            <v>South Bengal</v>
          </cell>
          <cell r="E655" t="str">
            <v>South Bengal</v>
          </cell>
          <cell r="X655">
            <v>101150</v>
          </cell>
        </row>
        <row r="656">
          <cell r="A656" t="str">
            <v>ETLCUST-05277</v>
          </cell>
          <cell r="B656" t="str">
            <v>GENERATION-NEXT IT SOLUTION LTD.</v>
          </cell>
          <cell r="C656" t="str">
            <v>Rafsan Jani</v>
          </cell>
          <cell r="D656" t="str">
            <v>Corporate</v>
          </cell>
          <cell r="E656" t="str">
            <v>Corporate</v>
          </cell>
          <cell r="Y656">
            <v>235000</v>
          </cell>
        </row>
        <row r="657">
          <cell r="A657" t="str">
            <v>ETLCUST-00169</v>
          </cell>
          <cell r="B657" t="str">
            <v>GENESIS COMPUTERS LTD - IDB</v>
          </cell>
          <cell r="C657" t="str">
            <v>Gaji Parvin Nesa</v>
          </cell>
          <cell r="D657" t="str">
            <v>IDB</v>
          </cell>
          <cell r="E657" t="str">
            <v>IDB</v>
          </cell>
          <cell r="AO657">
            <v>2590</v>
          </cell>
        </row>
        <row r="658">
          <cell r="A658" t="str">
            <v>ETLCUST-04162</v>
          </cell>
          <cell r="B658" t="str">
            <v>GENEX INFOSYS LTD.</v>
          </cell>
          <cell r="C658" t="str">
            <v>Sabbir Ahmed</v>
          </cell>
          <cell r="D658" t="str">
            <v>Corporate</v>
          </cell>
          <cell r="E658" t="str">
            <v>Corporate</v>
          </cell>
          <cell r="U658">
            <v>44400</v>
          </cell>
        </row>
        <row r="659">
          <cell r="A659" t="str">
            <v>ETLCUST-03228</v>
          </cell>
          <cell r="B659" t="str">
            <v>GENEX IT -MULTIPLAN</v>
          </cell>
          <cell r="C659" t="str">
            <v>Md. Anamul Hoque</v>
          </cell>
          <cell r="D659" t="str">
            <v>Multiplan</v>
          </cell>
          <cell r="E659" t="str">
            <v>Multiplan</v>
          </cell>
          <cell r="U659">
            <v>7500</v>
          </cell>
          <cell r="AF659">
            <v>-25500</v>
          </cell>
        </row>
        <row r="660">
          <cell r="A660" t="str">
            <v>ETLCUST-04645</v>
          </cell>
          <cell r="B660" t="str">
            <v>GENIUS COMPUTER - RAIPUR</v>
          </cell>
          <cell r="C660" t="str">
            <v>Reazuddin</v>
          </cell>
          <cell r="D660" t="str">
            <v>CTG</v>
          </cell>
          <cell r="E660" t="str">
            <v>CTG</v>
          </cell>
          <cell r="AQ660">
            <v>0</v>
          </cell>
        </row>
        <row r="661">
          <cell r="A661" t="str">
            <v>ETLCUST-00098</v>
          </cell>
          <cell r="B661" t="str">
            <v>GENIUS ICT SOURCE - UTTARA</v>
          </cell>
          <cell r="C661" t="str">
            <v>Dulal Sarker</v>
          </cell>
          <cell r="D661" t="str">
            <v>Uttara</v>
          </cell>
          <cell r="E661" t="str">
            <v>Uttara</v>
          </cell>
          <cell r="U661">
            <v>45800</v>
          </cell>
        </row>
        <row r="662">
          <cell r="A662" t="str">
            <v>ETLCUST-00261</v>
          </cell>
          <cell r="B662" t="str">
            <v>GENIUS TECHNOLOGY - SYLHET</v>
          </cell>
          <cell r="C662" t="str">
            <v>Kunjaraj Singha</v>
          </cell>
          <cell r="D662" t="str">
            <v>Sylhet</v>
          </cell>
          <cell r="E662" t="str">
            <v>Sylhet</v>
          </cell>
          <cell r="L662">
            <v>458900</v>
          </cell>
          <cell r="AO662">
            <v>11400</v>
          </cell>
          <cell r="BA662">
            <v>18000</v>
          </cell>
        </row>
        <row r="663">
          <cell r="A663" t="str">
            <v>ETLCUST-05181</v>
          </cell>
          <cell r="B663" t="str">
            <v>GENUINE COMPUTER  - BIRGANJ, DINAJPUR</v>
          </cell>
          <cell r="C663" t="str">
            <v>Akramul Haque</v>
          </cell>
          <cell r="D663" t="str">
            <v>North Bengal</v>
          </cell>
          <cell r="E663" t="str">
            <v>North Bengal</v>
          </cell>
          <cell r="G663">
            <v>25100</v>
          </cell>
          <cell r="S663">
            <v>0</v>
          </cell>
          <cell r="X663">
            <v>63500</v>
          </cell>
          <cell r="AQ663">
            <v>0</v>
          </cell>
          <cell r="BA663">
            <v>478420</v>
          </cell>
        </row>
        <row r="664">
          <cell r="A664" t="str">
            <v>ETLCUST-01068</v>
          </cell>
          <cell r="B664" t="str">
            <v>GENUINE TECHNOLOGY AND RESEARCH LIMITED - CTG</v>
          </cell>
          <cell r="C664" t="str">
            <v>Shahidul Alam Chowdhury</v>
          </cell>
          <cell r="D664" t="str">
            <v>CTG</v>
          </cell>
          <cell r="E664" t="str">
            <v>CTG</v>
          </cell>
          <cell r="X664">
            <v>70000</v>
          </cell>
          <cell r="BA664">
            <v>12400</v>
          </cell>
        </row>
        <row r="665">
          <cell r="A665" t="str">
            <v>ETLCUST-05112</v>
          </cell>
          <cell r="B665" t="str">
            <v>GHATAIL ONLINE - TANGAIL</v>
          </cell>
          <cell r="C665" t="str">
            <v>Niloy Ghosh</v>
          </cell>
          <cell r="D665" t="str">
            <v>DHK-EXT</v>
          </cell>
          <cell r="E665" t="str">
            <v>DHK-EXT</v>
          </cell>
          <cell r="G665">
            <v>149000</v>
          </cell>
        </row>
        <row r="666">
          <cell r="A666" t="str">
            <v>ETLCUST-01405</v>
          </cell>
          <cell r="B666" t="str">
            <v>GIGABYTE COMPUTER - TONGI</v>
          </cell>
          <cell r="C666" t="str">
            <v>Saifullah Akndah</v>
          </cell>
          <cell r="D666" t="str">
            <v>Uttara</v>
          </cell>
          <cell r="E666" t="str">
            <v>Uttara</v>
          </cell>
          <cell r="X666">
            <v>24200</v>
          </cell>
          <cell r="AQ666">
            <v>0</v>
          </cell>
          <cell r="AZ666">
            <v>159900</v>
          </cell>
        </row>
        <row r="667">
          <cell r="A667" t="str">
            <v>ETLCUST-00572</v>
          </cell>
          <cell r="B667" t="str">
            <v>GLOBAL BRAND PVT LTD</v>
          </cell>
          <cell r="C667" t="str">
            <v>Sabuj Das</v>
          </cell>
          <cell r="D667" t="str">
            <v>HO-SI</v>
          </cell>
          <cell r="E667" t="str">
            <v>HO-SI</v>
          </cell>
          <cell r="I667">
            <v>72000</v>
          </cell>
          <cell r="R667">
            <v>400000</v>
          </cell>
          <cell r="X667">
            <v>888750</v>
          </cell>
          <cell r="AF667">
            <v>472000</v>
          </cell>
          <cell r="AJ667">
            <v>4198000</v>
          </cell>
          <cell r="AR667">
            <v>8280000</v>
          </cell>
          <cell r="BA667">
            <v>1021200</v>
          </cell>
        </row>
        <row r="668">
          <cell r="A668" t="str">
            <v>ETLCUST-03777</v>
          </cell>
          <cell r="B668" t="str">
            <v>GLOBAL COMPUTER BD - FENI</v>
          </cell>
          <cell r="C668" t="str">
            <v>Reazuddin</v>
          </cell>
          <cell r="D668" t="str">
            <v>CTG</v>
          </cell>
          <cell r="E668" t="str">
            <v>CTG</v>
          </cell>
          <cell r="X668">
            <v>354514</v>
          </cell>
          <cell r="AF668">
            <v>14500</v>
          </cell>
          <cell r="AM668">
            <v>68330</v>
          </cell>
          <cell r="BA668">
            <v>1241150</v>
          </cell>
        </row>
        <row r="669">
          <cell r="A669" t="str">
            <v>ETLCUST-04441</v>
          </cell>
          <cell r="B669" t="str">
            <v>GLOBAL ENTERPRISE - ADABOR</v>
          </cell>
          <cell r="C669" t="str">
            <v>Md Tanjilur Rakib</v>
          </cell>
          <cell r="D669" t="str">
            <v>HO-SI</v>
          </cell>
          <cell r="E669" t="str">
            <v>HO-SI</v>
          </cell>
          <cell r="U669">
            <v>48000</v>
          </cell>
          <cell r="X669">
            <v>33000</v>
          </cell>
          <cell r="AJ669">
            <v>14000</v>
          </cell>
          <cell r="AO669">
            <v>7500</v>
          </cell>
        </row>
        <row r="670">
          <cell r="A670" t="str">
            <v>ETLCUST-03535</v>
          </cell>
          <cell r="B670" t="str">
            <v>GLOBAL INFORMATICS LIMITED - GULSHAN</v>
          </cell>
          <cell r="C670" t="str">
            <v>Md Tanjilur Rakib</v>
          </cell>
          <cell r="D670" t="str">
            <v>HO-SI</v>
          </cell>
          <cell r="E670" t="str">
            <v>HO-SI</v>
          </cell>
          <cell r="H670">
            <v>287000</v>
          </cell>
          <cell r="L670">
            <v>144000</v>
          </cell>
          <cell r="P670">
            <v>136500</v>
          </cell>
          <cell r="U670">
            <v>117300</v>
          </cell>
          <cell r="AJ670">
            <v>24500</v>
          </cell>
          <cell r="AR670">
            <v>211000</v>
          </cell>
          <cell r="AV670">
            <v>415000</v>
          </cell>
          <cell r="BA670">
            <v>28710</v>
          </cell>
        </row>
        <row r="671">
          <cell r="A671" t="str">
            <v>ETLCUST-03660</v>
          </cell>
          <cell r="B671" t="str">
            <v>GLOBAL IT - SAVAR</v>
          </cell>
          <cell r="C671" t="str">
            <v>Biplop Kumar</v>
          </cell>
          <cell r="D671" t="str">
            <v>DHK-EXT</v>
          </cell>
          <cell r="E671" t="str">
            <v>DHK-EXT</v>
          </cell>
          <cell r="BA671">
            <v>2450</v>
          </cell>
        </row>
        <row r="672">
          <cell r="A672" t="str">
            <v>ETLCUST-03131</v>
          </cell>
          <cell r="B672" t="str">
            <v>GLOBAL IT PARK INTERNATIONAL - BARISAL</v>
          </cell>
          <cell r="C672" t="str">
            <v>Md. Aminul Islam</v>
          </cell>
          <cell r="D672" t="str">
            <v>South Bengal</v>
          </cell>
          <cell r="E672" t="str">
            <v>South Bengal</v>
          </cell>
          <cell r="S672">
            <v>0</v>
          </cell>
          <cell r="AM672">
            <v>1140</v>
          </cell>
          <cell r="BA672">
            <v>331035</v>
          </cell>
        </row>
        <row r="673">
          <cell r="A673" t="str">
            <v>ETLCUST-03163</v>
          </cell>
          <cell r="B673" t="str">
            <v>GLOBAL LINK - SYLHET</v>
          </cell>
          <cell r="C673" t="str">
            <v>Kunjaraj Singha</v>
          </cell>
          <cell r="D673" t="str">
            <v>Sylhet</v>
          </cell>
          <cell r="E673" t="str">
            <v>Sylhet</v>
          </cell>
          <cell r="G673">
            <v>7178400</v>
          </cell>
          <cell r="AL673">
            <v>94175</v>
          </cell>
          <cell r="BA673">
            <v>15200</v>
          </cell>
        </row>
        <row r="674">
          <cell r="A674" t="str">
            <v>ETLCUST-05117</v>
          </cell>
          <cell r="B674" t="str">
            <v>GLOBAL TECHNOLOGY BD - E.ROAD</v>
          </cell>
          <cell r="C674" t="str">
            <v>Mohotasim Rana</v>
          </cell>
          <cell r="D674" t="str">
            <v>DHB</v>
          </cell>
          <cell r="E674" t="str">
            <v>DHB</v>
          </cell>
          <cell r="S674">
            <v>0</v>
          </cell>
          <cell r="T674">
            <v>155600</v>
          </cell>
          <cell r="X674">
            <v>442500</v>
          </cell>
        </row>
        <row r="675">
          <cell r="A675" t="str">
            <v>ETLCUST-01047</v>
          </cell>
          <cell r="B675" t="str">
            <v>GLOBAL TOUCH - CTG</v>
          </cell>
          <cell r="C675" t="str">
            <v>Shahidul Alam Chowdhury</v>
          </cell>
          <cell r="D675" t="str">
            <v>CTG</v>
          </cell>
          <cell r="E675" t="str">
            <v>CTG</v>
          </cell>
          <cell r="P675">
            <v>64000</v>
          </cell>
          <cell r="X675">
            <v>495950</v>
          </cell>
          <cell r="AK675">
            <v>249900</v>
          </cell>
          <cell r="AR675">
            <v>68000</v>
          </cell>
          <cell r="AV675">
            <v>75000</v>
          </cell>
          <cell r="BA675">
            <v>584220</v>
          </cell>
        </row>
        <row r="676">
          <cell r="A676" t="str">
            <v>ETLCUST-04854</v>
          </cell>
          <cell r="B676" t="str">
            <v>GLOBAL VIEW COMPUTER AND SECURITY - RAJSHAHI</v>
          </cell>
          <cell r="C676" t="str">
            <v>Ahmed Bulbul</v>
          </cell>
          <cell r="D676" t="str">
            <v>Rajshahi</v>
          </cell>
          <cell r="E676" t="str">
            <v>Rajshahi</v>
          </cell>
          <cell r="AM676">
            <v>16500</v>
          </cell>
          <cell r="BA676">
            <v>20000</v>
          </cell>
        </row>
        <row r="677">
          <cell r="A677" t="str">
            <v>ETLCUST-04975</v>
          </cell>
          <cell r="B677" t="str">
            <v>GLOBALTECH COMMUNICATIONS</v>
          </cell>
          <cell r="C677" t="str">
            <v>Sabbir Ahmed</v>
          </cell>
          <cell r="D677" t="str">
            <v>Corporate</v>
          </cell>
          <cell r="E677" t="str">
            <v>Corporate</v>
          </cell>
          <cell r="I677">
            <v>584800</v>
          </cell>
          <cell r="M677">
            <v>1800</v>
          </cell>
          <cell r="U677">
            <v>2465500</v>
          </cell>
          <cell r="BA677">
            <v>35000</v>
          </cell>
        </row>
        <row r="678">
          <cell r="A678" t="str">
            <v>ETLCUST-04753</v>
          </cell>
          <cell r="B678" t="str">
            <v>GLOBALTECH INFORMATION SYSTEM - CTG</v>
          </cell>
          <cell r="C678" t="str">
            <v>Titul Dutta</v>
          </cell>
          <cell r="D678" t="str">
            <v>CTG</v>
          </cell>
          <cell r="E678" t="str">
            <v>CTG</v>
          </cell>
          <cell r="R678">
            <v>17500</v>
          </cell>
          <cell r="X678">
            <v>26000</v>
          </cell>
          <cell r="AA678">
            <v>185000</v>
          </cell>
          <cell r="AR678">
            <v>22700</v>
          </cell>
          <cell r="BA678">
            <v>3300</v>
          </cell>
        </row>
        <row r="679">
          <cell r="A679" t="str">
            <v>ETLCUST-04951</v>
          </cell>
          <cell r="B679" t="str">
            <v>GLORIOUS TECHNOLOGY - BOGURA</v>
          </cell>
          <cell r="C679" t="str">
            <v>Md Shahidul Islam</v>
          </cell>
          <cell r="D679" t="str">
            <v>North Bengal</v>
          </cell>
          <cell r="E679" t="str">
            <v>North Bengal</v>
          </cell>
          <cell r="T679">
            <v>144000</v>
          </cell>
          <cell r="X679">
            <v>2332250</v>
          </cell>
          <cell r="BA679">
            <v>5240</v>
          </cell>
        </row>
        <row r="680">
          <cell r="A680" t="str">
            <v>ETLCUST-02960</v>
          </cell>
          <cell r="B680" t="str">
            <v>GOBINDO ELECTRONICS - KISHOREGANJ</v>
          </cell>
          <cell r="C680" t="str">
            <v>Md. Imran Miah Khandakar</v>
          </cell>
          <cell r="D680" t="str">
            <v>Sylhet</v>
          </cell>
          <cell r="E680" t="str">
            <v>Sylhet</v>
          </cell>
          <cell r="Q680">
            <v>890</v>
          </cell>
          <cell r="AL680">
            <v>82680</v>
          </cell>
          <cell r="AM680">
            <v>597305</v>
          </cell>
          <cell r="BA680">
            <v>1976130</v>
          </cell>
        </row>
        <row r="681">
          <cell r="A681" t="str">
            <v>ETLCUST-02631</v>
          </cell>
          <cell r="B681" t="str">
            <v>GOLDEN HARVEST INFOTECH LIMITED</v>
          </cell>
          <cell r="C681" t="str">
            <v>Md. Raihan Ali</v>
          </cell>
          <cell r="D681" t="str">
            <v>Corporate</v>
          </cell>
          <cell r="E681" t="str">
            <v>Corporate</v>
          </cell>
          <cell r="G681">
            <v>25780</v>
          </cell>
        </row>
        <row r="682">
          <cell r="A682" t="str">
            <v>ETLCUST-00889</v>
          </cell>
          <cell r="B682" t="str">
            <v>GOLDEN TECHNOLOGY - BHERAMARA</v>
          </cell>
          <cell r="C682" t="str">
            <v>Md Rakibul Islam</v>
          </cell>
          <cell r="D682" t="str">
            <v>South Bengal</v>
          </cell>
          <cell r="E682" t="str">
            <v>South Bengal</v>
          </cell>
          <cell r="G682">
            <v>106000</v>
          </cell>
          <cell r="V682">
            <v>5800</v>
          </cell>
          <cell r="X682">
            <v>7250</v>
          </cell>
        </row>
        <row r="683">
          <cell r="A683" t="str">
            <v>ETLCUST-00397</v>
          </cell>
          <cell r="B683" t="str">
            <v>GOMTI COMPUTER AND TECHNOLOGY - SHAHBAG</v>
          </cell>
          <cell r="C683" t="str">
            <v>Mohammad Mostofa</v>
          </cell>
          <cell r="D683" t="str">
            <v>Multiplan</v>
          </cell>
          <cell r="E683" t="str">
            <v>Multiplan</v>
          </cell>
          <cell r="V683">
            <v>15000</v>
          </cell>
          <cell r="AF683">
            <v>158000</v>
          </cell>
        </row>
        <row r="684">
          <cell r="A684" t="str">
            <v>ETLCUST-03411</v>
          </cell>
          <cell r="B684" t="str">
            <v>GONI COMPUTER AND ISP SOLUTIONS - NATORE</v>
          </cell>
          <cell r="C684" t="str">
            <v>Ahmed Bulbul</v>
          </cell>
          <cell r="D684" t="str">
            <v>Rajshahi</v>
          </cell>
          <cell r="E684" t="str">
            <v>Rajshahi</v>
          </cell>
        </row>
        <row r="685">
          <cell r="A685" t="str">
            <v>ETLCUST-00364</v>
          </cell>
          <cell r="B685" t="str">
            <v>GOOD LUCK STATIONERY - GULSHAN</v>
          </cell>
          <cell r="C685" t="str">
            <v>Jiku Saha</v>
          </cell>
          <cell r="D685" t="str">
            <v>Uttara</v>
          </cell>
          <cell r="E685" t="str">
            <v>Uttara</v>
          </cell>
          <cell r="P685">
            <v>32500</v>
          </cell>
          <cell r="AO685">
            <v>7500</v>
          </cell>
        </row>
        <row r="686">
          <cell r="A686" t="str">
            <v>ETLCUST-03359</v>
          </cell>
          <cell r="B686" t="str">
            <v>GOODLUCK IT -CHOWMUHANI</v>
          </cell>
          <cell r="C686" t="str">
            <v>Reazuddin</v>
          </cell>
          <cell r="D686" t="str">
            <v>CTG</v>
          </cell>
          <cell r="E686" t="str">
            <v>CTG</v>
          </cell>
          <cell r="X686">
            <v>823625</v>
          </cell>
        </row>
        <row r="687">
          <cell r="A687" t="str">
            <v>ETLCUST-02177</v>
          </cell>
          <cell r="B687" t="str">
            <v>GRAMEEN TELECOM TRUST</v>
          </cell>
          <cell r="C687" t="str">
            <v>Rafsan Jani</v>
          </cell>
          <cell r="D687" t="str">
            <v>Corporate</v>
          </cell>
          <cell r="E687" t="str">
            <v>Corporate</v>
          </cell>
          <cell r="F687">
            <v>330886.37</v>
          </cell>
          <cell r="S687">
            <v>7709.08</v>
          </cell>
          <cell r="U687">
            <v>9390.9</v>
          </cell>
          <cell r="AY687">
            <v>4000</v>
          </cell>
        </row>
        <row r="688">
          <cell r="A688" t="str">
            <v>ETLCUST-00688</v>
          </cell>
          <cell r="B688" t="str">
            <v>GRAPHICS SYSTEM - KHULNA</v>
          </cell>
          <cell r="C688" t="str">
            <v>Saidur Rahman Khokan</v>
          </cell>
          <cell r="D688" t="str">
            <v>Khulna</v>
          </cell>
          <cell r="E688" t="str">
            <v>Khulna</v>
          </cell>
          <cell r="R688">
            <v>19800</v>
          </cell>
          <cell r="X688">
            <v>166500</v>
          </cell>
        </row>
        <row r="689">
          <cell r="A689" t="str">
            <v>ETLCUST-04769</v>
          </cell>
          <cell r="B689" t="str">
            <v>GREEN BANGLA TECH - UTTARA</v>
          </cell>
          <cell r="C689" t="str">
            <v>Dulal Sarker</v>
          </cell>
          <cell r="D689" t="str">
            <v>Uttara</v>
          </cell>
          <cell r="E689" t="str">
            <v>Uttara</v>
          </cell>
          <cell r="L689">
            <v>49000</v>
          </cell>
          <cell r="T689">
            <v>851600</v>
          </cell>
          <cell r="X689">
            <v>3425650</v>
          </cell>
          <cell r="BA689">
            <v>7500</v>
          </cell>
        </row>
        <row r="690">
          <cell r="A690" t="str">
            <v>ETLCUST-05209</v>
          </cell>
          <cell r="B690" t="str">
            <v>GREEN COMPUTER - COX'S BAZAAR</v>
          </cell>
          <cell r="C690" t="str">
            <v>Md. Mamunur Rashid</v>
          </cell>
          <cell r="D690" t="str">
            <v>CTG</v>
          </cell>
          <cell r="E690" t="str">
            <v>CTG</v>
          </cell>
          <cell r="T690">
            <v>15700</v>
          </cell>
          <cell r="AL690">
            <v>11925</v>
          </cell>
          <cell r="AM690">
            <v>12600</v>
          </cell>
          <cell r="BA690">
            <v>7500</v>
          </cell>
        </row>
        <row r="691">
          <cell r="A691" t="str">
            <v>ETLCUST-01365</v>
          </cell>
          <cell r="B691" t="str">
            <v>GREEN IT - N.GONJ</v>
          </cell>
          <cell r="C691" t="str">
            <v>Arafat Hossain</v>
          </cell>
          <cell r="D691" t="str">
            <v>South Bengal</v>
          </cell>
          <cell r="E691" t="str">
            <v>South Bengal</v>
          </cell>
          <cell r="G691">
            <v>273000</v>
          </cell>
          <cell r="S691">
            <v>0</v>
          </cell>
          <cell r="X691">
            <v>36500</v>
          </cell>
          <cell r="AM691">
            <v>339620</v>
          </cell>
          <cell r="AO691">
            <v>18250</v>
          </cell>
          <cell r="BA691">
            <v>2429755</v>
          </cell>
        </row>
        <row r="692">
          <cell r="A692" t="str">
            <v>ETLCUST-01065</v>
          </cell>
          <cell r="B692" t="str">
            <v>GREEN TECH - CHITTAGONG</v>
          </cell>
          <cell r="C692" t="str">
            <v>Mohammad Mamunur Rashid</v>
          </cell>
          <cell r="D692" t="str">
            <v>CTG</v>
          </cell>
          <cell r="E692" t="str">
            <v>CTG</v>
          </cell>
          <cell r="P692">
            <v>76800</v>
          </cell>
          <cell r="T692">
            <v>3700</v>
          </cell>
          <cell r="X692">
            <v>6100</v>
          </cell>
          <cell r="AK692">
            <v>40200</v>
          </cell>
          <cell r="AL692">
            <v>7950</v>
          </cell>
          <cell r="AM692">
            <v>32840</v>
          </cell>
          <cell r="BA692">
            <v>34400</v>
          </cell>
        </row>
        <row r="693">
          <cell r="A693" t="str">
            <v>ETLCUST-00755</v>
          </cell>
          <cell r="B693" t="str">
            <v>GREEN TECH - E.ROAD</v>
          </cell>
          <cell r="C693" t="str">
            <v>Mohammad Mostofa</v>
          </cell>
          <cell r="D693" t="str">
            <v>Multiplan</v>
          </cell>
          <cell r="E693" t="str">
            <v>Multiplan</v>
          </cell>
          <cell r="P693">
            <v>46600</v>
          </cell>
          <cell r="V693">
            <v>116150</v>
          </cell>
          <cell r="X693">
            <v>32000</v>
          </cell>
          <cell r="AJ693">
            <v>362000</v>
          </cell>
          <cell r="AL693">
            <v>417660</v>
          </cell>
          <cell r="AO693">
            <v>104225</v>
          </cell>
        </row>
        <row r="694">
          <cell r="A694" t="str">
            <v>ETLCUST-05382</v>
          </cell>
          <cell r="B694" t="str">
            <v>GREEN TECH SOLUTIONS - CHANDPUR</v>
          </cell>
          <cell r="C694" t="str">
            <v>Nazmul Amin Sajib</v>
          </cell>
          <cell r="D694" t="str">
            <v>CTG</v>
          </cell>
          <cell r="E694" t="str">
            <v>CTG</v>
          </cell>
          <cell r="X694">
            <v>102500</v>
          </cell>
        </row>
        <row r="695">
          <cell r="A695" t="str">
            <v>ETLCUST-04177</v>
          </cell>
          <cell r="B695" t="str">
            <v>GREEN TECHNOLOGY - BARISHAL</v>
          </cell>
          <cell r="C695" t="str">
            <v>Shah Imran</v>
          </cell>
          <cell r="D695" t="str">
            <v>South Bengal</v>
          </cell>
          <cell r="E695" t="str">
            <v>South Bengal</v>
          </cell>
          <cell r="O695">
            <v>14300</v>
          </cell>
          <cell r="R695">
            <v>353640</v>
          </cell>
          <cell r="AT695">
            <v>4000</v>
          </cell>
          <cell r="AZ695">
            <v>8300</v>
          </cell>
        </row>
        <row r="696">
          <cell r="A696" t="str">
            <v>ETLCUST-02182</v>
          </cell>
          <cell r="B696" t="str">
            <v>GREEN TEXTILE LIMITED</v>
          </cell>
          <cell r="C696" t="str">
            <v>Ashraful Islam</v>
          </cell>
          <cell r="D696" t="str">
            <v>Corporate</v>
          </cell>
          <cell r="E696" t="str">
            <v>Corporate</v>
          </cell>
          <cell r="AY696">
            <v>1800</v>
          </cell>
        </row>
        <row r="697">
          <cell r="A697" t="str">
            <v>ETLCUST-02953</v>
          </cell>
          <cell r="B697" t="str">
            <v>GRIND TECH LTD.</v>
          </cell>
          <cell r="C697" t="str">
            <v>Ashraful Islam</v>
          </cell>
          <cell r="D697" t="str">
            <v>Corporate</v>
          </cell>
          <cell r="E697" t="str">
            <v>Corporate</v>
          </cell>
          <cell r="AY697">
            <v>1000</v>
          </cell>
        </row>
        <row r="698">
          <cell r="A698" t="str">
            <v>ETLCUST-04508</v>
          </cell>
          <cell r="B698" t="str">
            <v>GS COMPUTER AND ELECTRONICS - MYMENSINGH</v>
          </cell>
          <cell r="C698" t="str">
            <v>Rafiqul Islam Sumon</v>
          </cell>
          <cell r="D698" t="str">
            <v>Mymensingh</v>
          </cell>
          <cell r="E698" t="str">
            <v>Mymensingh</v>
          </cell>
          <cell r="O698">
            <v>14300</v>
          </cell>
          <cell r="R698">
            <v>78500</v>
          </cell>
          <cell r="AM698">
            <v>52830</v>
          </cell>
          <cell r="AO698">
            <v>30000</v>
          </cell>
          <cell r="BA698">
            <v>476285</v>
          </cell>
        </row>
        <row r="699">
          <cell r="A699" t="str">
            <v>ETLCUST-00066</v>
          </cell>
          <cell r="B699" t="str">
            <v>GSM IT - SAVAR</v>
          </cell>
          <cell r="C699" t="str">
            <v>Biplop Kumar</v>
          </cell>
          <cell r="D699" t="str">
            <v>DHK-EXT</v>
          </cell>
          <cell r="E699" t="str">
            <v>DHK-EXT</v>
          </cell>
          <cell r="P699">
            <v>12800</v>
          </cell>
          <cell r="X699">
            <v>14600</v>
          </cell>
          <cell r="AO699">
            <v>1900</v>
          </cell>
        </row>
        <row r="700">
          <cell r="A700" t="str">
            <v>ETLCUST-01329</v>
          </cell>
          <cell r="B700" t="str">
            <v>G-TECH- FENI</v>
          </cell>
          <cell r="C700" t="str">
            <v>Reazuddin</v>
          </cell>
          <cell r="D700" t="str">
            <v>CTG</v>
          </cell>
          <cell r="E700" t="str">
            <v>CTG</v>
          </cell>
          <cell r="S700">
            <v>0</v>
          </cell>
          <cell r="U700">
            <v>101000</v>
          </cell>
          <cell r="X700">
            <v>3780600</v>
          </cell>
          <cell r="AJ700">
            <v>20000</v>
          </cell>
          <cell r="AM700">
            <v>850</v>
          </cell>
          <cell r="AV700">
            <v>33400</v>
          </cell>
          <cell r="BA700">
            <v>2581900</v>
          </cell>
        </row>
        <row r="701">
          <cell r="A701" t="str">
            <v>ETLCUST-02621</v>
          </cell>
          <cell r="B701" t="str">
            <v>GUARDIAN LIFE INSURANCE LTD.</v>
          </cell>
          <cell r="C701" t="str">
            <v>Hasibul Hasan Symoon</v>
          </cell>
          <cell r="D701" t="str">
            <v>Corporate</v>
          </cell>
          <cell r="E701" t="str">
            <v>Corporate</v>
          </cell>
          <cell r="U701">
            <v>56843.64</v>
          </cell>
          <cell r="AJ701">
            <v>11053.65</v>
          </cell>
          <cell r="BA701">
            <v>3363.64</v>
          </cell>
        </row>
        <row r="702">
          <cell r="A702" t="str">
            <v>ETLCUST-04328</v>
          </cell>
          <cell r="B702" t="str">
            <v>GUARDIAN TECHNOLOGIES - MULTIPLAN</v>
          </cell>
          <cell r="C702" t="str">
            <v>Md Nur Karim Chowdhury</v>
          </cell>
          <cell r="D702" t="str">
            <v>Multiplan</v>
          </cell>
          <cell r="E702" t="str">
            <v>Multiplan</v>
          </cell>
          <cell r="U702">
            <v>70250</v>
          </cell>
          <cell r="AV702">
            <v>16600</v>
          </cell>
        </row>
        <row r="703">
          <cell r="A703" t="str">
            <v>ETLCUST-00959</v>
          </cell>
          <cell r="B703" t="str">
            <v>H.A. COMPUTER - GULISTAN</v>
          </cell>
          <cell r="C703" t="str">
            <v>Md Kamrul Hasan Sabuz</v>
          </cell>
          <cell r="D703" t="str">
            <v>Gulistan</v>
          </cell>
          <cell r="E703" t="str">
            <v>Gulistan</v>
          </cell>
          <cell r="T703">
            <v>143500</v>
          </cell>
          <cell r="V703">
            <v>30000</v>
          </cell>
          <cell r="X703">
            <v>88000</v>
          </cell>
          <cell r="AL703">
            <v>302970</v>
          </cell>
          <cell r="AO703">
            <v>553900</v>
          </cell>
        </row>
        <row r="704">
          <cell r="A704" t="str">
            <v>ETLCUST-01025</v>
          </cell>
          <cell r="B704" t="str">
            <v>H.H. ELECTRONICS BD. - CTG</v>
          </cell>
          <cell r="C704" t="str">
            <v>Shahidul Alam Chowdhury</v>
          </cell>
          <cell r="D704" t="str">
            <v>CTG</v>
          </cell>
          <cell r="E704" t="str">
            <v>CTG</v>
          </cell>
          <cell r="X704">
            <v>428400</v>
          </cell>
        </row>
        <row r="705">
          <cell r="A705" t="str">
            <v>ETLCUST-01440</v>
          </cell>
          <cell r="B705" t="str">
            <v>H.M ELECTRONICS - GAZIPUR</v>
          </cell>
          <cell r="C705" t="str">
            <v>Saifullah Akndah</v>
          </cell>
          <cell r="D705" t="str">
            <v>Uttara</v>
          </cell>
          <cell r="E705" t="str">
            <v>Uttara</v>
          </cell>
          <cell r="AZ705">
            <v>109350</v>
          </cell>
        </row>
        <row r="706">
          <cell r="A706" t="str">
            <v>ETLCUST-04630</v>
          </cell>
          <cell r="B706" t="str">
            <v>H.R. IT SOLUTION - KHULNA</v>
          </cell>
          <cell r="C706" t="str">
            <v>Md Husaun</v>
          </cell>
          <cell r="D706" t="str">
            <v>Khulna</v>
          </cell>
          <cell r="E706" t="str">
            <v>Khulna</v>
          </cell>
          <cell r="G706">
            <v>1035000</v>
          </cell>
          <cell r="S706">
            <v>0</v>
          </cell>
          <cell r="X706">
            <v>16900</v>
          </cell>
          <cell r="AM706">
            <v>248955</v>
          </cell>
          <cell r="AV706">
            <v>16700</v>
          </cell>
          <cell r="BA706">
            <v>2092495</v>
          </cell>
        </row>
        <row r="707">
          <cell r="A707" t="str">
            <v>ETLCUST-04679</v>
          </cell>
          <cell r="B707" t="str">
            <v>HABIB COMPUTER - NATORE</v>
          </cell>
          <cell r="C707" t="str">
            <v>Md. Abu Basar</v>
          </cell>
          <cell r="D707" t="str">
            <v>Rajshahi</v>
          </cell>
          <cell r="E707" t="str">
            <v>Rajshahi</v>
          </cell>
          <cell r="AO707">
            <v>11550</v>
          </cell>
          <cell r="AZ707">
            <v>17760</v>
          </cell>
        </row>
        <row r="708">
          <cell r="A708" t="str">
            <v>ETLCUST-03869</v>
          </cell>
          <cell r="B708" t="str">
            <v>HABIB TELECOM - TANGAIL</v>
          </cell>
          <cell r="C708" t="str">
            <v>Niloy Ghosh</v>
          </cell>
          <cell r="D708" t="str">
            <v>DHK-EXT</v>
          </cell>
          <cell r="E708" t="str">
            <v>DHK-EXT</v>
          </cell>
          <cell r="BA708">
            <v>15950</v>
          </cell>
        </row>
        <row r="709">
          <cell r="A709" t="str">
            <v>ETLCUST-01268</v>
          </cell>
          <cell r="B709" t="str">
            <v>HAFIZ COMPUTER - SHERPUR</v>
          </cell>
          <cell r="C709" t="str">
            <v>Md. Sujon Mia</v>
          </cell>
          <cell r="D709" t="str">
            <v>Mymensingh</v>
          </cell>
          <cell r="E709" t="str">
            <v>Mymensingh</v>
          </cell>
          <cell r="S709">
            <v>0</v>
          </cell>
          <cell r="AR709">
            <v>11000</v>
          </cell>
          <cell r="BA709">
            <v>198345</v>
          </cell>
        </row>
        <row r="710">
          <cell r="A710" t="str">
            <v>ETLCUST-01656</v>
          </cell>
          <cell r="B710" t="str">
            <v>HAJ CORPORATION - ASADGATE</v>
          </cell>
          <cell r="C710" t="str">
            <v>Md. Abdus Satter</v>
          </cell>
          <cell r="D710" t="str">
            <v>HO-SI</v>
          </cell>
          <cell r="E710" t="str">
            <v>HO-SI</v>
          </cell>
          <cell r="H710">
            <v>78000</v>
          </cell>
          <cell r="I710">
            <v>115310</v>
          </cell>
          <cell r="U710">
            <v>1539000</v>
          </cell>
          <cell r="Y710">
            <v>150000</v>
          </cell>
          <cell r="AR710">
            <v>43500</v>
          </cell>
          <cell r="AV710">
            <v>516200</v>
          </cell>
        </row>
        <row r="711">
          <cell r="A711" t="str">
            <v>ETLCUST-04081</v>
          </cell>
          <cell r="B711" t="str">
            <v>HAMDARD LABORATORIES (WAQF) BANGLADESH - BANGLAMOTOR</v>
          </cell>
          <cell r="C711" t="str">
            <v>Mohammad Jamil</v>
          </cell>
          <cell r="D711" t="str">
            <v>CSP</v>
          </cell>
          <cell r="E711" t="str">
            <v>CSP</v>
          </cell>
          <cell r="J711">
            <v>6400</v>
          </cell>
          <cell r="R711">
            <v>2900</v>
          </cell>
        </row>
        <row r="712">
          <cell r="A712" t="str">
            <v>ETLCUST-04065</v>
          </cell>
          <cell r="B712" t="str">
            <v>HAMS GROUP</v>
          </cell>
          <cell r="C712" t="str">
            <v>Rafsan Jani</v>
          </cell>
          <cell r="D712" t="str">
            <v>Corporate</v>
          </cell>
          <cell r="E712" t="str">
            <v>Corporate</v>
          </cell>
          <cell r="U712">
            <v>23300</v>
          </cell>
        </row>
        <row r="713">
          <cell r="A713" t="str">
            <v>ETLCUST-04055</v>
          </cell>
          <cell r="B713" t="str">
            <v>HANIF COMPUTER - NAOGAON</v>
          </cell>
          <cell r="C713" t="str">
            <v>Md. Abu Basar</v>
          </cell>
          <cell r="D713" t="str">
            <v>Rajshahi</v>
          </cell>
          <cell r="E713" t="str">
            <v>Rajshahi</v>
          </cell>
          <cell r="S713">
            <v>0</v>
          </cell>
          <cell r="T713">
            <v>8800</v>
          </cell>
          <cell r="X713">
            <v>27800</v>
          </cell>
          <cell r="AM713">
            <v>760</v>
          </cell>
          <cell r="AZ713">
            <v>26400</v>
          </cell>
          <cell r="BA713">
            <v>133375</v>
          </cell>
        </row>
        <row r="714">
          <cell r="A714" t="str">
            <v>ETLCUST-05203</v>
          </cell>
          <cell r="B714" t="str">
            <v>HANKO CORPORATION - GULISTAN</v>
          </cell>
          <cell r="C714" t="str">
            <v>Noor Hossain</v>
          </cell>
          <cell r="D714" t="str">
            <v>Gulistan</v>
          </cell>
          <cell r="E714" t="str">
            <v>Gulistan</v>
          </cell>
          <cell r="AK714">
            <v>0</v>
          </cell>
        </row>
        <row r="715">
          <cell r="A715" t="str">
            <v>ETLCUST-04772</v>
          </cell>
          <cell r="B715" t="str">
            <v>HAPPY MARS - MIRPUR</v>
          </cell>
          <cell r="C715" t="str">
            <v>Fajle Rabbi</v>
          </cell>
          <cell r="D715" t="str">
            <v>IDB</v>
          </cell>
          <cell r="E715" t="str">
            <v>IDB</v>
          </cell>
          <cell r="AM715">
            <v>850</v>
          </cell>
          <cell r="BA715">
            <v>47400</v>
          </cell>
        </row>
        <row r="716">
          <cell r="A716" t="str">
            <v>ETLCUST-01075</v>
          </cell>
          <cell r="B716" t="str">
            <v>HARD SOLS IT - MIRPUR</v>
          </cell>
          <cell r="C716" t="str">
            <v>Amit Sarker</v>
          </cell>
          <cell r="D716" t="str">
            <v>IDB</v>
          </cell>
          <cell r="E716" t="str">
            <v>IDB</v>
          </cell>
          <cell r="AD716">
            <v>132000</v>
          </cell>
          <cell r="AF716">
            <v>70215</v>
          </cell>
        </row>
        <row r="717">
          <cell r="A717" t="str">
            <v>ETLCUST-03730</v>
          </cell>
          <cell r="B717" t="str">
            <v>HASAN ELECTRIC  - RANGPUR</v>
          </cell>
          <cell r="C717" t="str">
            <v>Md. Arif Arman</v>
          </cell>
          <cell r="D717" t="str">
            <v>North Bengal</v>
          </cell>
          <cell r="E717" t="str">
            <v>North Bengal</v>
          </cell>
          <cell r="T717">
            <v>23500</v>
          </cell>
          <cell r="AM717">
            <v>248040</v>
          </cell>
          <cell r="AQ717">
            <v>0</v>
          </cell>
          <cell r="BA717">
            <v>3001065</v>
          </cell>
        </row>
        <row r="718">
          <cell r="A718" t="str">
            <v>ETLCUST-04620</v>
          </cell>
          <cell r="B718" t="str">
            <v>HASTEN BD - E. ROAD</v>
          </cell>
          <cell r="C718" t="str">
            <v>Md Nur Karim Chowdhury</v>
          </cell>
          <cell r="D718" t="str">
            <v>Multiplan</v>
          </cell>
          <cell r="E718" t="str">
            <v>Multiplan</v>
          </cell>
          <cell r="X718">
            <v>1095600</v>
          </cell>
          <cell r="AL718">
            <v>112350</v>
          </cell>
        </row>
        <row r="719">
          <cell r="A719" t="str">
            <v>ETLCUST-02187</v>
          </cell>
          <cell r="B719" t="str">
            <v>HATIL COMPLEX LIMITED</v>
          </cell>
          <cell r="C719" t="str">
            <v>Nazir Ahmod</v>
          </cell>
          <cell r="D719" t="str">
            <v>Corporate</v>
          </cell>
          <cell r="E719" t="str">
            <v>Corporate</v>
          </cell>
          <cell r="H719">
            <v>22526199.240000002</v>
          </cell>
          <cell r="K719">
            <v>2239580</v>
          </cell>
          <cell r="S719">
            <v>205796.69999999998</v>
          </cell>
          <cell r="X719">
            <v>1794450</v>
          </cell>
          <cell r="AV719">
            <v>10050000</v>
          </cell>
          <cell r="AY719">
            <v>359870.08999999997</v>
          </cell>
        </row>
        <row r="720">
          <cell r="A720" t="str">
            <v>ETLCUST-05242</v>
          </cell>
          <cell r="B720" t="str">
            <v>HAWLADER ELECTRIC - BARISAL</v>
          </cell>
          <cell r="C720" t="str">
            <v>Md. Aminul Islam</v>
          </cell>
          <cell r="D720" t="str">
            <v>South Bengal</v>
          </cell>
          <cell r="E720" t="str">
            <v>South Bengal</v>
          </cell>
          <cell r="AL720">
            <v>5830</v>
          </cell>
          <cell r="AM720">
            <v>10280</v>
          </cell>
          <cell r="BA720">
            <v>119590</v>
          </cell>
        </row>
        <row r="721">
          <cell r="A721" t="str">
            <v>ETLCUST-05341</v>
          </cell>
          <cell r="B721" t="str">
            <v>HAZARAT AMANAT SHAH SPINNING MILLS LTD.</v>
          </cell>
          <cell r="C721" t="str">
            <v>Abu Zahid Sobuj</v>
          </cell>
          <cell r="D721" t="str">
            <v>Corporate</v>
          </cell>
          <cell r="E721" t="str">
            <v>Corporate</v>
          </cell>
          <cell r="U721">
            <v>26250</v>
          </cell>
        </row>
        <row r="722">
          <cell r="A722" t="str">
            <v>ETLCUST-00310</v>
          </cell>
          <cell r="B722" t="str">
            <v>HAZI TECH - MULTIPLAN</v>
          </cell>
          <cell r="C722" t="str">
            <v>Md. Anamul Hoque</v>
          </cell>
          <cell r="D722" t="str">
            <v>Multiplan</v>
          </cell>
          <cell r="E722" t="str">
            <v>Multiplan</v>
          </cell>
          <cell r="R722">
            <v>274400</v>
          </cell>
          <cell r="AT722">
            <v>76400</v>
          </cell>
        </row>
        <row r="723">
          <cell r="A723" t="str">
            <v>ETLCUST-03038</v>
          </cell>
          <cell r="B723" t="str">
            <v>HAZI TRADERS - MOTIJHEEL</v>
          </cell>
          <cell r="C723" t="str">
            <v>Hridoy Chandra Das</v>
          </cell>
          <cell r="D723" t="str">
            <v>Motijheel</v>
          </cell>
          <cell r="E723" t="str">
            <v>Motijheel</v>
          </cell>
          <cell r="H723">
            <v>144000</v>
          </cell>
          <cell r="V723">
            <v>187500</v>
          </cell>
          <cell r="AD723">
            <v>101000</v>
          </cell>
          <cell r="AF723">
            <v>286000</v>
          </cell>
          <cell r="AK723">
            <v>12000</v>
          </cell>
          <cell r="AM723">
            <v>850</v>
          </cell>
          <cell r="AO723">
            <v>5400</v>
          </cell>
          <cell r="BA723">
            <v>48750</v>
          </cell>
        </row>
        <row r="724">
          <cell r="A724" t="str">
            <v>ETLCUST-04060</v>
          </cell>
          <cell r="B724" t="str">
            <v>HAZI TRADERS &amp; COMPUTER-NAZIPUR</v>
          </cell>
          <cell r="C724" t="str">
            <v>Md. Abu Basar</v>
          </cell>
          <cell r="D724" t="str">
            <v>Rajshahi</v>
          </cell>
          <cell r="E724" t="str">
            <v>Rajshahi</v>
          </cell>
          <cell r="G724">
            <v>202000</v>
          </cell>
          <cell r="R724">
            <v>216000</v>
          </cell>
          <cell r="S724">
            <v>0</v>
          </cell>
          <cell r="AM724">
            <v>345650</v>
          </cell>
          <cell r="AQ724">
            <v>0</v>
          </cell>
          <cell r="AZ724">
            <v>21400</v>
          </cell>
          <cell r="BA724">
            <v>1050460</v>
          </cell>
        </row>
        <row r="725">
          <cell r="A725" t="str">
            <v>ETLCUST-01379</v>
          </cell>
          <cell r="B725" t="str">
            <v>HEAVEN COMPUTER - N.GONJ</v>
          </cell>
          <cell r="C725" t="str">
            <v>Arafat Hossain</v>
          </cell>
          <cell r="D725" t="str">
            <v>South Bengal</v>
          </cell>
          <cell r="E725" t="str">
            <v>South Bengal</v>
          </cell>
          <cell r="G725">
            <v>50000</v>
          </cell>
          <cell r="O725">
            <v>14300</v>
          </cell>
          <cell r="R725">
            <v>127700</v>
          </cell>
          <cell r="S725">
            <v>0</v>
          </cell>
          <cell r="U725">
            <v>150350</v>
          </cell>
          <cell r="V725">
            <v>107375</v>
          </cell>
          <cell r="W725">
            <v>-2720</v>
          </cell>
          <cell r="X725">
            <v>1662150</v>
          </cell>
          <cell r="AJ725">
            <v>102450</v>
          </cell>
          <cell r="AM725">
            <v>1045535</v>
          </cell>
          <cell r="AQ725">
            <v>0</v>
          </cell>
          <cell r="AV725">
            <v>177300</v>
          </cell>
          <cell r="BA725">
            <v>5444625</v>
          </cell>
        </row>
        <row r="726">
          <cell r="A726" t="str">
            <v>ETLCUST-01553</v>
          </cell>
          <cell r="B726" t="str">
            <v>HELLO IT - COX'S BAZAR</v>
          </cell>
          <cell r="C726" t="str">
            <v>Md. Mamunur Rashid</v>
          </cell>
          <cell r="D726" t="str">
            <v>CTG</v>
          </cell>
          <cell r="E726" t="str">
            <v>CTG</v>
          </cell>
          <cell r="G726">
            <v>58000</v>
          </cell>
          <cell r="U726">
            <v>88500</v>
          </cell>
          <cell r="X726">
            <v>225000</v>
          </cell>
          <cell r="AM726">
            <v>425</v>
          </cell>
          <cell r="AO726">
            <v>20900</v>
          </cell>
          <cell r="AR726">
            <v>10000</v>
          </cell>
          <cell r="AV726">
            <v>116600</v>
          </cell>
          <cell r="BA726">
            <v>222800</v>
          </cell>
        </row>
        <row r="727">
          <cell r="A727" t="str">
            <v>ETLCUST-01408</v>
          </cell>
          <cell r="B727" t="str">
            <v>HEMAL TELECOM - TONGI</v>
          </cell>
          <cell r="C727" t="str">
            <v>Saifullah Akndah</v>
          </cell>
          <cell r="D727" t="str">
            <v>Uttara</v>
          </cell>
          <cell r="E727" t="str">
            <v>Uttara</v>
          </cell>
          <cell r="S727">
            <v>0</v>
          </cell>
          <cell r="AM727">
            <v>64700</v>
          </cell>
          <cell r="AT727">
            <v>9600</v>
          </cell>
          <cell r="AZ727">
            <v>24300</v>
          </cell>
          <cell r="BA727">
            <v>707640</v>
          </cell>
        </row>
        <row r="728">
          <cell r="A728" t="str">
            <v>ETLCUST-05225</v>
          </cell>
          <cell r="B728" t="str">
            <v>HERMAN TECH - NARAYANGANJ</v>
          </cell>
          <cell r="C728" t="str">
            <v>Sabuj Das</v>
          </cell>
          <cell r="D728" t="str">
            <v>HO-SI</v>
          </cell>
          <cell r="E728" t="str">
            <v>HO-SI</v>
          </cell>
          <cell r="U728">
            <v>25000</v>
          </cell>
        </row>
        <row r="729">
          <cell r="A729" t="str">
            <v>ETLCUST-02982</v>
          </cell>
          <cell r="B729" t="str">
            <v>HI TECH COMPUTER - SATKHIRA</v>
          </cell>
          <cell r="C729" t="str">
            <v>Imrul Rayhan</v>
          </cell>
          <cell r="D729" t="str">
            <v>Khulna</v>
          </cell>
          <cell r="E729" t="str">
            <v>Khulna</v>
          </cell>
          <cell r="G729">
            <v>56000</v>
          </cell>
          <cell r="S729">
            <v>0</v>
          </cell>
          <cell r="X729">
            <v>109000</v>
          </cell>
          <cell r="AQ729">
            <v>0</v>
          </cell>
          <cell r="BA729">
            <v>669495</v>
          </cell>
        </row>
        <row r="730">
          <cell r="A730" t="str">
            <v>ETLCUST-04877</v>
          </cell>
          <cell r="B730" t="str">
            <v>HIDDEN EYE</v>
          </cell>
          <cell r="C730" t="str">
            <v>Abu Zahid Sobuj</v>
          </cell>
          <cell r="D730" t="str">
            <v>Corporate</v>
          </cell>
          <cell r="E730" t="str">
            <v>Corporate</v>
          </cell>
          <cell r="L730">
            <v>7200960</v>
          </cell>
        </row>
        <row r="731">
          <cell r="A731" t="str">
            <v>ETLCUST-00260</v>
          </cell>
          <cell r="B731" t="str">
            <v>HI-FI COMPUTER - SYLHET</v>
          </cell>
          <cell r="C731" t="str">
            <v>Kunjaraj Singha</v>
          </cell>
          <cell r="D731" t="str">
            <v>Sylhet</v>
          </cell>
          <cell r="E731" t="str">
            <v>Sylhet</v>
          </cell>
          <cell r="H731">
            <v>98000</v>
          </cell>
          <cell r="L731">
            <v>191000</v>
          </cell>
          <cell r="R731">
            <v>1935500</v>
          </cell>
          <cell r="S731">
            <v>0</v>
          </cell>
          <cell r="AF731">
            <v>27300</v>
          </cell>
          <cell r="AJ731">
            <v>260520</v>
          </cell>
          <cell r="AL731">
            <v>223450</v>
          </cell>
          <cell r="AM731">
            <v>38050</v>
          </cell>
          <cell r="AR731">
            <v>38000</v>
          </cell>
          <cell r="AT731">
            <v>335600</v>
          </cell>
          <cell r="AZ731">
            <v>21900</v>
          </cell>
          <cell r="BA731">
            <v>2516455</v>
          </cell>
        </row>
        <row r="732">
          <cell r="A732" t="str">
            <v>ETLCUST-04671</v>
          </cell>
          <cell r="B732" t="str">
            <v>HI-FI TECHNOLOGY - SYLHET</v>
          </cell>
          <cell r="C732" t="str">
            <v>Kunjaraj Singha</v>
          </cell>
          <cell r="D732" t="str">
            <v>Sylhet</v>
          </cell>
          <cell r="E732" t="str">
            <v>Sylhet</v>
          </cell>
          <cell r="T732">
            <v>1310300</v>
          </cell>
          <cell r="X732">
            <v>3073500</v>
          </cell>
        </row>
        <row r="733">
          <cell r="A733" t="str">
            <v>ETLCUST-03899</v>
          </cell>
          <cell r="B733" t="str">
            <v>HIGH TECH - JAMUNA FUTURE PARK</v>
          </cell>
          <cell r="C733" t="str">
            <v>Jiku Saha</v>
          </cell>
          <cell r="D733" t="str">
            <v>Uttara</v>
          </cell>
          <cell r="E733" t="str">
            <v>Uttara</v>
          </cell>
          <cell r="AJ733">
            <v>555900</v>
          </cell>
          <cell r="AM733">
            <v>106400</v>
          </cell>
          <cell r="BA733">
            <v>1128975</v>
          </cell>
        </row>
        <row r="734">
          <cell r="A734" t="str">
            <v>ETLCUST-04628</v>
          </cell>
          <cell r="B734" t="str">
            <v>HIGH TECH SECURITIES - B. MUKARRAM</v>
          </cell>
          <cell r="C734" t="str">
            <v>Hridoy Chandra Das</v>
          </cell>
          <cell r="D734" t="str">
            <v>Motijheel</v>
          </cell>
          <cell r="E734" t="str">
            <v>Motijheel</v>
          </cell>
          <cell r="S734">
            <v>0</v>
          </cell>
          <cell r="X734">
            <v>4620950</v>
          </cell>
        </row>
        <row r="735">
          <cell r="A735" t="str">
            <v>ETLCUST-03063</v>
          </cell>
          <cell r="B735" t="str">
            <v>HIGHER TECHNOLOGY COMPUTER - MYMENSHINGH</v>
          </cell>
          <cell r="C735" t="str">
            <v>Rafiqul Islam Sumon</v>
          </cell>
          <cell r="D735" t="str">
            <v>Mymensingh</v>
          </cell>
          <cell r="E735" t="str">
            <v>Mymensingh</v>
          </cell>
          <cell r="T735">
            <v>22000</v>
          </cell>
          <cell r="X735">
            <v>553000</v>
          </cell>
          <cell r="AM735">
            <v>1185</v>
          </cell>
          <cell r="BA735">
            <v>48250</v>
          </cell>
        </row>
        <row r="736">
          <cell r="A736" t="str">
            <v>ETLCUST-03121</v>
          </cell>
          <cell r="B736" t="str">
            <v xml:space="preserve">HILL EXPRESS - KHAGRACHORI </v>
          </cell>
          <cell r="C736" t="str">
            <v>Md. Mamunur Rashid</v>
          </cell>
          <cell r="D736" t="str">
            <v>CTG</v>
          </cell>
          <cell r="E736" t="str">
            <v>CTG</v>
          </cell>
          <cell r="R736">
            <v>21000</v>
          </cell>
          <cell r="X736">
            <v>226250</v>
          </cell>
          <cell r="AL736">
            <v>42930</v>
          </cell>
        </row>
        <row r="737">
          <cell r="A737" t="str">
            <v>ETLCUST-04482</v>
          </cell>
          <cell r="B737" t="str">
            <v>HIMEL ELECTRONICS - RAJSHAHI</v>
          </cell>
          <cell r="C737" t="str">
            <v>Md Moniruzzaman Masum</v>
          </cell>
          <cell r="D737" t="str">
            <v>Rajshahi</v>
          </cell>
          <cell r="E737" t="str">
            <v>Rajshahi</v>
          </cell>
          <cell r="G737">
            <v>2000</v>
          </cell>
          <cell r="S737">
            <v>0</v>
          </cell>
          <cell r="AM737">
            <v>101650</v>
          </cell>
          <cell r="BA737">
            <v>497175</v>
          </cell>
        </row>
        <row r="738">
          <cell r="A738" t="str">
            <v>ETLCUST-03804</v>
          </cell>
          <cell r="B738" t="str">
            <v>HIMU COMPUTER - JURAIN</v>
          </cell>
          <cell r="C738" t="str">
            <v>Noor Hossain</v>
          </cell>
          <cell r="D738" t="str">
            <v>Gulistan</v>
          </cell>
          <cell r="E738" t="str">
            <v>Gulistan</v>
          </cell>
          <cell r="P738">
            <v>16000</v>
          </cell>
          <cell r="S738">
            <v>0</v>
          </cell>
          <cell r="AL738">
            <v>133075</v>
          </cell>
          <cell r="AM738">
            <v>471805</v>
          </cell>
          <cell r="AO738">
            <v>25250</v>
          </cell>
          <cell r="AQ738">
            <v>0</v>
          </cell>
          <cell r="BA738">
            <v>5320935</v>
          </cell>
        </row>
        <row r="739">
          <cell r="A739" t="str">
            <v>ETLCUST-00030</v>
          </cell>
          <cell r="B739" t="str">
            <v>HITECH COMPUTER - DINAJPUR</v>
          </cell>
          <cell r="C739" t="str">
            <v>Akramul Haque</v>
          </cell>
          <cell r="D739" t="str">
            <v>North Bengal</v>
          </cell>
          <cell r="E739" t="str">
            <v>North Bengal</v>
          </cell>
          <cell r="X739">
            <v>102000</v>
          </cell>
          <cell r="Y739">
            <v>280000</v>
          </cell>
          <cell r="AJ739">
            <v>20500</v>
          </cell>
          <cell r="AM739">
            <v>1520</v>
          </cell>
          <cell r="BA739">
            <v>49600</v>
          </cell>
        </row>
        <row r="740">
          <cell r="A740" t="str">
            <v>ETLCUST-00258</v>
          </cell>
          <cell r="B740" t="str">
            <v>HI-TECH COMPUTERS - SYLHET</v>
          </cell>
          <cell r="C740" t="str">
            <v>Kunjaraj Singha</v>
          </cell>
          <cell r="D740" t="str">
            <v>Sylhet</v>
          </cell>
          <cell r="E740" t="str">
            <v>Sylhet</v>
          </cell>
          <cell r="BA740">
            <v>17310</v>
          </cell>
        </row>
        <row r="741">
          <cell r="A741" t="str">
            <v>ETLCUST-00188</v>
          </cell>
          <cell r="B741" t="str">
            <v>HITECH PROFESSIONALS - IDB</v>
          </cell>
          <cell r="C741" t="str">
            <v>Gaji Parvin Nesa</v>
          </cell>
          <cell r="D741" t="str">
            <v>IDB</v>
          </cell>
          <cell r="E741" t="str">
            <v>IDB</v>
          </cell>
          <cell r="R741">
            <v>5500</v>
          </cell>
          <cell r="U741">
            <v>48000</v>
          </cell>
          <cell r="X741">
            <v>45090</v>
          </cell>
          <cell r="AF741">
            <v>0</v>
          </cell>
          <cell r="AM741">
            <v>6975</v>
          </cell>
          <cell r="AP741">
            <v>12800</v>
          </cell>
          <cell r="AR741">
            <v>121500</v>
          </cell>
          <cell r="AT741">
            <v>100000</v>
          </cell>
          <cell r="BA741">
            <v>1407760</v>
          </cell>
        </row>
        <row r="742">
          <cell r="A742" t="str">
            <v>ETLCUST-05168</v>
          </cell>
          <cell r="B742" t="str">
            <v>HI-TECH SPECIALIZED HOSPITAL PLC</v>
          </cell>
          <cell r="C742" t="str">
            <v>Al Imran Hasan</v>
          </cell>
          <cell r="D742" t="str">
            <v>Tender</v>
          </cell>
          <cell r="E742" t="str">
            <v>Tender</v>
          </cell>
          <cell r="O742">
            <v>3000</v>
          </cell>
          <cell r="R742">
            <v>68340</v>
          </cell>
          <cell r="S742">
            <v>0</v>
          </cell>
          <cell r="AV742">
            <v>31700</v>
          </cell>
        </row>
        <row r="743">
          <cell r="A743" t="str">
            <v>ETLCUST-05300</v>
          </cell>
          <cell r="B743" t="str">
            <v>HOLY FAMILY RED CRESCENT NURSING COLLEGE</v>
          </cell>
          <cell r="C743" t="str">
            <v>Md. Zakaria</v>
          </cell>
          <cell r="D743" t="str">
            <v>Tender</v>
          </cell>
          <cell r="E743" t="str">
            <v>Tender</v>
          </cell>
          <cell r="R743">
            <v>22454.55</v>
          </cell>
          <cell r="BA743">
            <v>26251.38</v>
          </cell>
        </row>
        <row r="744">
          <cell r="A744" t="str">
            <v>ETLCUST-01325</v>
          </cell>
          <cell r="B744" t="str">
            <v>HOSSAIN ELECTRONICS AND COMPUTER - COMILLA</v>
          </cell>
          <cell r="C744" t="str">
            <v>Nazmul Amin Sajib</v>
          </cell>
          <cell r="D744" t="str">
            <v>CTG</v>
          </cell>
          <cell r="E744" t="str">
            <v>CTG</v>
          </cell>
          <cell r="R744">
            <v>118100</v>
          </cell>
          <cell r="S744">
            <v>0</v>
          </cell>
          <cell r="T744">
            <v>103700</v>
          </cell>
          <cell r="AL744">
            <v>17900</v>
          </cell>
          <cell r="AM744">
            <v>55090</v>
          </cell>
          <cell r="AQ744">
            <v>0</v>
          </cell>
          <cell r="BA744">
            <v>361125</v>
          </cell>
        </row>
        <row r="745">
          <cell r="A745" t="str">
            <v>ETLCUST-05406</v>
          </cell>
          <cell r="B745" t="str">
            <v>HOWLADER TELECOM - BARISAL</v>
          </cell>
          <cell r="C745" t="str">
            <v>Shah Imran</v>
          </cell>
          <cell r="D745" t="str">
            <v>South Bengal</v>
          </cell>
          <cell r="E745" t="str">
            <v>South Bengal</v>
          </cell>
          <cell r="S745">
            <v>0</v>
          </cell>
          <cell r="X745">
            <v>57280</v>
          </cell>
          <cell r="AL745">
            <v>26570</v>
          </cell>
          <cell r="AQ745">
            <v>0</v>
          </cell>
          <cell r="AZ745">
            <v>50400</v>
          </cell>
          <cell r="BA745">
            <v>195150</v>
          </cell>
        </row>
        <row r="746">
          <cell r="A746" t="str">
            <v>ETLCUST-05147</v>
          </cell>
          <cell r="B746" t="str">
            <v>HR TECHNOLOGY-E. ROAD</v>
          </cell>
          <cell r="C746" t="str">
            <v>Md. Razan Hossain</v>
          </cell>
          <cell r="D746" t="str">
            <v>DHK-EXT</v>
          </cell>
          <cell r="E746" t="str">
            <v>DHK-EXT</v>
          </cell>
          <cell r="U746">
            <v>25900</v>
          </cell>
        </row>
        <row r="747">
          <cell r="A747" t="str">
            <v>ETLCUST-04480</v>
          </cell>
          <cell r="B747" t="str">
            <v>HS TECHNOLOGY - MAHAKHALI</v>
          </cell>
          <cell r="C747" t="str">
            <v>Jiku Saha</v>
          </cell>
          <cell r="D747" t="str">
            <v>Uttara</v>
          </cell>
          <cell r="E747" t="str">
            <v>Uttara</v>
          </cell>
          <cell r="AV747">
            <v>208780</v>
          </cell>
        </row>
        <row r="748">
          <cell r="A748" t="str">
            <v>ETLCUST-04621</v>
          </cell>
          <cell r="B748" t="str">
            <v>HSB CORPORATION - CHATTOGRAM</v>
          </cell>
          <cell r="C748" t="str">
            <v>Md. Mamunur Rashid</v>
          </cell>
          <cell r="D748" t="str">
            <v>CTG</v>
          </cell>
          <cell r="E748" t="str">
            <v>CTG</v>
          </cell>
          <cell r="T748">
            <v>27400</v>
          </cell>
          <cell r="X748">
            <v>6475</v>
          </cell>
          <cell r="AO748">
            <v>1500</v>
          </cell>
          <cell r="BA748">
            <v>1950</v>
          </cell>
        </row>
        <row r="749">
          <cell r="A749" t="str">
            <v>ETLCUST-05129</v>
          </cell>
          <cell r="B749" t="str">
            <v xml:space="preserve">HTZ TECHNOLOGY - UTTARA </v>
          </cell>
          <cell r="C749" t="str">
            <v>Md. Abdus Satter</v>
          </cell>
          <cell r="D749" t="str">
            <v>HO-SI</v>
          </cell>
          <cell r="E749" t="str">
            <v>HO-SI</v>
          </cell>
          <cell r="X749">
            <v>32000</v>
          </cell>
        </row>
        <row r="750">
          <cell r="A750" t="str">
            <v>ETLCUST-04265</v>
          </cell>
          <cell r="B750" t="str">
            <v>HUAWEI TECHNOLOGIES (BANGLADESH) LIMITED.</v>
          </cell>
          <cell r="C750" t="str">
            <v>Md Saim Ali Rezvy</v>
          </cell>
          <cell r="D750" t="str">
            <v>Corporate</v>
          </cell>
          <cell r="E750" t="str">
            <v>Corporate</v>
          </cell>
          <cell r="AA750">
            <v>11580</v>
          </cell>
        </row>
        <row r="751">
          <cell r="A751" t="str">
            <v>ETLCUST-01049</v>
          </cell>
          <cell r="B751" t="str">
            <v>HUMAYUN ELECTRONICS - CTG</v>
          </cell>
          <cell r="C751" t="str">
            <v>Manjurul Huda Parvez</v>
          </cell>
          <cell r="D751" t="str">
            <v>CTG</v>
          </cell>
          <cell r="E751" t="str">
            <v>CTG</v>
          </cell>
          <cell r="S751">
            <v>0</v>
          </cell>
          <cell r="AL751">
            <v>662960</v>
          </cell>
          <cell r="AM751">
            <v>801130</v>
          </cell>
          <cell r="AO751">
            <v>56000</v>
          </cell>
          <cell r="AZ751">
            <v>116000</v>
          </cell>
          <cell r="BA751">
            <v>13335970</v>
          </cell>
        </row>
        <row r="752">
          <cell r="A752" t="str">
            <v>ETLCUST-05358</v>
          </cell>
          <cell r="B752" t="str">
            <v>I &amp; E TECHNOLOGY - UTTARA</v>
          </cell>
          <cell r="C752" t="str">
            <v>Dulal Sarker</v>
          </cell>
          <cell r="D752" t="str">
            <v>Uttara</v>
          </cell>
          <cell r="E752" t="str">
            <v>Uttara</v>
          </cell>
          <cell r="U752">
            <v>68000</v>
          </cell>
        </row>
        <row r="753">
          <cell r="A753" t="str">
            <v>ETLCUST-00895</v>
          </cell>
          <cell r="B753" t="str">
            <v>I COMPUTER - CHUADANGA</v>
          </cell>
          <cell r="C753" t="str">
            <v>Md. Hasanuzzaman</v>
          </cell>
          <cell r="D753" t="str">
            <v>South Bengal</v>
          </cell>
          <cell r="E753" t="str">
            <v>South Bengal</v>
          </cell>
          <cell r="O753">
            <v>5500</v>
          </cell>
          <cell r="X753">
            <v>24000</v>
          </cell>
          <cell r="AK753">
            <v>34000</v>
          </cell>
          <cell r="AM753">
            <v>11925</v>
          </cell>
          <cell r="AO753">
            <v>8450</v>
          </cell>
          <cell r="AQ753">
            <v>0</v>
          </cell>
          <cell r="BA753">
            <v>193340</v>
          </cell>
        </row>
        <row r="754">
          <cell r="A754" t="str">
            <v>ETLCUST-04881</v>
          </cell>
          <cell r="B754" t="str">
            <v>I TECH SOLUTION - MADARIPUR</v>
          </cell>
          <cell r="C754" t="str">
            <v>Hanif shek</v>
          </cell>
          <cell r="D754" t="str">
            <v>South Bengal</v>
          </cell>
          <cell r="E754" t="str">
            <v>South Bengal</v>
          </cell>
          <cell r="S754">
            <v>0</v>
          </cell>
          <cell r="T754">
            <v>213700</v>
          </cell>
          <cell r="X754">
            <v>231700</v>
          </cell>
          <cell r="AM754">
            <v>94695</v>
          </cell>
          <cell r="AQ754">
            <v>0</v>
          </cell>
          <cell r="AZ754">
            <v>118900</v>
          </cell>
          <cell r="BA754">
            <v>1355125</v>
          </cell>
        </row>
        <row r="755">
          <cell r="A755" t="str">
            <v>ETLCUST-03034</v>
          </cell>
          <cell r="B755" t="str">
            <v>ICON COMPUTER - MULTIPLAN</v>
          </cell>
          <cell r="C755" t="str">
            <v>Mohammad Mostofa</v>
          </cell>
          <cell r="D755" t="str">
            <v>Multiplan</v>
          </cell>
          <cell r="E755" t="str">
            <v>Multiplan</v>
          </cell>
          <cell r="AJ755">
            <v>808000</v>
          </cell>
          <cell r="AO755">
            <v>2950</v>
          </cell>
        </row>
        <row r="756">
          <cell r="A756" t="str">
            <v>ETLCUST-03123</v>
          </cell>
          <cell r="B756" t="str">
            <v>ICON COMPUTERS - KONABARI</v>
          </cell>
          <cell r="C756" t="str">
            <v>MD. Shipon Ali</v>
          </cell>
          <cell r="D756" t="str">
            <v>Uttara</v>
          </cell>
          <cell r="E756" t="str">
            <v>Uttara</v>
          </cell>
          <cell r="Q756">
            <v>2700</v>
          </cell>
          <cell r="AO756">
            <v>450660</v>
          </cell>
          <cell r="BA756">
            <v>146955</v>
          </cell>
        </row>
        <row r="757">
          <cell r="A757" t="str">
            <v>ETLCUST-01058</v>
          </cell>
          <cell r="B757" t="str">
            <v>ICONPUTER - CTG</v>
          </cell>
          <cell r="C757" t="str">
            <v>Manjurul Huda Parvez</v>
          </cell>
          <cell r="D757" t="str">
            <v>CTG</v>
          </cell>
          <cell r="E757" t="str">
            <v>CTG</v>
          </cell>
          <cell r="P757">
            <v>64400</v>
          </cell>
          <cell r="X757">
            <v>24000</v>
          </cell>
          <cell r="AO757">
            <v>2400</v>
          </cell>
          <cell r="BA757">
            <v>9075</v>
          </cell>
        </row>
        <row r="758">
          <cell r="A758" t="str">
            <v>ETLCUST-02204</v>
          </cell>
          <cell r="B758" t="str">
            <v>ICT SOLUTION BD</v>
          </cell>
          <cell r="C758" t="str">
            <v>Abu Zahid Sobuj</v>
          </cell>
          <cell r="D758" t="str">
            <v>Corporate</v>
          </cell>
          <cell r="E758" t="str">
            <v>Corporate</v>
          </cell>
          <cell r="U758">
            <v>505000</v>
          </cell>
          <cell r="AA758">
            <v>393200</v>
          </cell>
          <cell r="AR758">
            <v>112600</v>
          </cell>
          <cell r="AV758">
            <v>150000</v>
          </cell>
          <cell r="BA758">
            <v>16750</v>
          </cell>
        </row>
        <row r="759">
          <cell r="A759" t="str">
            <v>ETLCUST-03478</v>
          </cell>
          <cell r="B759" t="str">
            <v>ICT WORLD - JAMALPUR</v>
          </cell>
          <cell r="C759" t="str">
            <v>Md. Sujon Mia</v>
          </cell>
          <cell r="D759" t="str">
            <v>Mymensingh</v>
          </cell>
          <cell r="E759" t="str">
            <v>Mymensingh</v>
          </cell>
          <cell r="G759">
            <v>117000</v>
          </cell>
          <cell r="R759">
            <v>118080</v>
          </cell>
          <cell r="T759">
            <v>62250</v>
          </cell>
          <cell r="V759">
            <v>157500</v>
          </cell>
          <cell r="AM759">
            <v>850</v>
          </cell>
          <cell r="AO759">
            <v>18500</v>
          </cell>
          <cell r="AZ759">
            <v>23250</v>
          </cell>
          <cell r="BA759">
            <v>125695</v>
          </cell>
        </row>
        <row r="760">
          <cell r="A760" t="str">
            <v>ETLCUST-01478</v>
          </cell>
          <cell r="B760" t="str">
            <v>IDEA COMPUTER SYSTEM - GOURNODI,BARISHAL</v>
          </cell>
          <cell r="C760" t="str">
            <v>Md. Aminul Islam</v>
          </cell>
          <cell r="D760" t="str">
            <v>South Bengal</v>
          </cell>
          <cell r="E760" t="str">
            <v>South Bengal</v>
          </cell>
          <cell r="R760">
            <v>90660</v>
          </cell>
          <cell r="T760">
            <v>39000</v>
          </cell>
          <cell r="X760">
            <v>126750</v>
          </cell>
          <cell r="AM760">
            <v>26340</v>
          </cell>
          <cell r="BA760">
            <v>213470</v>
          </cell>
        </row>
        <row r="761">
          <cell r="A761" t="str">
            <v>ETLCUST-04320</v>
          </cell>
          <cell r="B761" t="str">
            <v>IDEAL COMMUNICATIONS NETWORK - ISHWARDI</v>
          </cell>
          <cell r="C761" t="str">
            <v>Forhad Rubel</v>
          </cell>
          <cell r="D761" t="str">
            <v>North Bengal</v>
          </cell>
          <cell r="E761" t="str">
            <v>North Bengal</v>
          </cell>
          <cell r="G761">
            <v>56500</v>
          </cell>
        </row>
        <row r="762">
          <cell r="A762" t="str">
            <v>ETLCUST-03650</v>
          </cell>
          <cell r="B762" t="str">
            <v>IDEAL COMPUTER - NARAYANGANJ</v>
          </cell>
          <cell r="C762" t="str">
            <v>Arafat Hossain</v>
          </cell>
          <cell r="D762" t="str">
            <v>South Bengal</v>
          </cell>
          <cell r="E762" t="str">
            <v>South Bengal</v>
          </cell>
          <cell r="O762">
            <v>14300</v>
          </cell>
          <cell r="S762">
            <v>0</v>
          </cell>
          <cell r="V762">
            <v>-1850</v>
          </cell>
          <cell r="AM762">
            <v>234800</v>
          </cell>
          <cell r="AO762">
            <v>46125</v>
          </cell>
          <cell r="BA762">
            <v>1540265</v>
          </cell>
        </row>
        <row r="763">
          <cell r="A763" t="str">
            <v>ETLCUST-00056</v>
          </cell>
          <cell r="B763" t="str">
            <v>IDEAL COMPUTERS - ASHULIA</v>
          </cell>
          <cell r="C763" t="str">
            <v>Biplop Kumar</v>
          </cell>
          <cell r="D763" t="str">
            <v>DHK-EXT</v>
          </cell>
          <cell r="E763" t="str">
            <v>DHK-EXT</v>
          </cell>
          <cell r="R763">
            <v>20560</v>
          </cell>
          <cell r="S763">
            <v>0</v>
          </cell>
          <cell r="AM763">
            <v>71415</v>
          </cell>
          <cell r="AP763">
            <v>3000</v>
          </cell>
          <cell r="BA763">
            <v>136225</v>
          </cell>
        </row>
        <row r="764">
          <cell r="A764" t="str">
            <v>ETLCUST-01469</v>
          </cell>
          <cell r="B764" t="str">
            <v>IDEAL COMPUTERS SYSTEM - BARISAL</v>
          </cell>
          <cell r="C764" t="str">
            <v>Md. Aminul Islam</v>
          </cell>
          <cell r="D764" t="str">
            <v>South Bengal</v>
          </cell>
          <cell r="E764" t="str">
            <v>South Bengal</v>
          </cell>
          <cell r="T764">
            <v>8500</v>
          </cell>
          <cell r="BA764">
            <v>151030</v>
          </cell>
        </row>
        <row r="765">
          <cell r="A765" t="str">
            <v>ETLCUST-04271</v>
          </cell>
          <cell r="B765" t="str">
            <v>IFRAH TECHNOLOGY - STADIUM</v>
          </cell>
          <cell r="C765" t="str">
            <v>Md. Sahedul Islam</v>
          </cell>
          <cell r="D765" t="str">
            <v>Motijheel</v>
          </cell>
          <cell r="E765" t="str">
            <v>Motijheel</v>
          </cell>
          <cell r="T765">
            <v>1566250</v>
          </cell>
          <cell r="X765">
            <v>22653450</v>
          </cell>
          <cell r="AK765">
            <v>174000</v>
          </cell>
        </row>
        <row r="766">
          <cell r="A766" t="str">
            <v>ETLCUST-01880</v>
          </cell>
          <cell r="B766" t="str">
            <v>IHP CORPORATION - PALTAN</v>
          </cell>
          <cell r="C766" t="str">
            <v>Md. Akram Rashid</v>
          </cell>
          <cell r="D766" t="str">
            <v>Motijheel</v>
          </cell>
          <cell r="E766" t="str">
            <v>Motijheel</v>
          </cell>
          <cell r="R766">
            <v>435500</v>
          </cell>
          <cell r="AT766">
            <v>43500</v>
          </cell>
        </row>
        <row r="767">
          <cell r="A767" t="str">
            <v>ETLCUST-01371</v>
          </cell>
          <cell r="B767" t="str">
            <v>IMAGE ELECTRONICS - MADARIPUR</v>
          </cell>
          <cell r="C767" t="str">
            <v>Hanif shek</v>
          </cell>
          <cell r="D767" t="str">
            <v>South Bengal</v>
          </cell>
          <cell r="E767" t="str">
            <v>South Bengal</v>
          </cell>
          <cell r="T767">
            <v>91450</v>
          </cell>
          <cell r="X767">
            <v>103175</v>
          </cell>
          <cell r="BA767">
            <v>657010</v>
          </cell>
        </row>
        <row r="768">
          <cell r="A768" t="str">
            <v>ETLCUST-00806</v>
          </cell>
          <cell r="B768" t="str">
            <v>IMAGINE COMPUTER AND SOLUTION - RAJSHAHI</v>
          </cell>
          <cell r="C768" t="str">
            <v>Ahmed Bulbul</v>
          </cell>
          <cell r="D768" t="str">
            <v>Rajshahi</v>
          </cell>
          <cell r="E768" t="str">
            <v>Rajshahi</v>
          </cell>
          <cell r="P768">
            <v>64000</v>
          </cell>
          <cell r="R768">
            <v>2130720</v>
          </cell>
          <cell r="T768">
            <v>35250</v>
          </cell>
          <cell r="U768">
            <v>15000</v>
          </cell>
          <cell r="V768">
            <v>146200</v>
          </cell>
          <cell r="AF768">
            <v>1430600</v>
          </cell>
          <cell r="AK768">
            <v>25500</v>
          </cell>
          <cell r="AM768">
            <v>425</v>
          </cell>
          <cell r="AO768">
            <v>17425</v>
          </cell>
          <cell r="AR768">
            <v>9200</v>
          </cell>
          <cell r="AT768">
            <v>59400</v>
          </cell>
          <cell r="AZ768">
            <v>13150</v>
          </cell>
          <cell r="BA768">
            <v>101320</v>
          </cell>
        </row>
        <row r="769">
          <cell r="A769" t="str">
            <v>ETLCUST-05195</v>
          </cell>
          <cell r="B769" t="str">
            <v>IMARAH TECHNOLOGIES BD- LABORATORY ROAD</v>
          </cell>
          <cell r="C769" t="str">
            <v>Md. Razan Hossain</v>
          </cell>
          <cell r="D769" t="str">
            <v>DHB</v>
          </cell>
          <cell r="E769" t="str">
            <v>DHB</v>
          </cell>
          <cell r="O769">
            <v>2750</v>
          </cell>
          <cell r="P769">
            <v>6400</v>
          </cell>
          <cell r="AO769">
            <v>16375</v>
          </cell>
        </row>
        <row r="770">
          <cell r="A770" t="str">
            <v>ETLCUST-00987</v>
          </cell>
          <cell r="B770" t="str">
            <v>IN TECH COMPUTER - ULLAPARA</v>
          </cell>
          <cell r="C770" t="str">
            <v>Md Shahidul Islam</v>
          </cell>
          <cell r="D770" t="str">
            <v>North Bengal</v>
          </cell>
          <cell r="E770" t="str">
            <v>North Bengal</v>
          </cell>
          <cell r="G770">
            <v>100000</v>
          </cell>
          <cell r="S770">
            <v>0</v>
          </cell>
          <cell r="AL770">
            <v>47700</v>
          </cell>
          <cell r="AM770">
            <v>206650</v>
          </cell>
          <cell r="BA770">
            <v>1750750</v>
          </cell>
        </row>
        <row r="771">
          <cell r="A771" t="str">
            <v>ETLCUST-02208</v>
          </cell>
          <cell r="B771" t="str">
            <v>INCEPTA PHARMACEUTICALS LIMITED</v>
          </cell>
          <cell r="C771" t="str">
            <v>Sabbir Ahmed</v>
          </cell>
          <cell r="D771" t="str">
            <v>Corporate</v>
          </cell>
          <cell r="E771" t="str">
            <v>Corporate</v>
          </cell>
          <cell r="R771">
            <v>71000</v>
          </cell>
          <cell r="AV771">
            <v>1968000</v>
          </cell>
          <cell r="BA771">
            <v>6948</v>
          </cell>
        </row>
        <row r="772">
          <cell r="A772" t="str">
            <v>ETLCUST-04223</v>
          </cell>
          <cell r="B772" t="str">
            <v>INCOM IT SOLUTION LTD - GULSHAN</v>
          </cell>
          <cell r="C772" t="str">
            <v>Md. Abdus Satter</v>
          </cell>
          <cell r="D772" t="str">
            <v>HO-SI</v>
          </cell>
          <cell r="E772" t="str">
            <v>HO-SI</v>
          </cell>
          <cell r="U772">
            <v>166100</v>
          </cell>
          <cell r="BA772">
            <v>332500</v>
          </cell>
        </row>
        <row r="773">
          <cell r="A773" t="str">
            <v>ETLCUST-05247</v>
          </cell>
          <cell r="B773" t="str">
            <v>Independent Tech BD - E.Road</v>
          </cell>
          <cell r="C773" t="str">
            <v>Mohammad Mostofa</v>
          </cell>
          <cell r="D773" t="str">
            <v>Multiplan</v>
          </cell>
          <cell r="E773" t="str">
            <v>Multiplan</v>
          </cell>
          <cell r="P773">
            <v>323200</v>
          </cell>
          <cell r="U773">
            <v>8650</v>
          </cell>
        </row>
        <row r="774">
          <cell r="A774" t="str">
            <v>ETLCUST-04908</v>
          </cell>
          <cell r="B774" t="str">
            <v>INDEX COMPUTER - NARAYANGANJ</v>
          </cell>
          <cell r="C774" t="str">
            <v>Arafat Hossain</v>
          </cell>
          <cell r="D774" t="str">
            <v>South Bengal</v>
          </cell>
          <cell r="E774" t="str">
            <v>South Bengal</v>
          </cell>
          <cell r="P774">
            <v>32000</v>
          </cell>
          <cell r="Q774">
            <v>1350</v>
          </cell>
          <cell r="S774">
            <v>0</v>
          </cell>
          <cell r="X774">
            <v>413600</v>
          </cell>
          <cell r="AM774">
            <v>132185</v>
          </cell>
          <cell r="BA774">
            <v>647150</v>
          </cell>
        </row>
        <row r="775">
          <cell r="A775" t="str">
            <v>ETLCUST-03862</v>
          </cell>
          <cell r="B775" t="str">
            <v>INDUSTRY SYS LIMITED - MIRPUR</v>
          </cell>
          <cell r="C775" t="str">
            <v>Liton Biswas</v>
          </cell>
          <cell r="D775" t="str">
            <v>HO-SI</v>
          </cell>
          <cell r="E775" t="str">
            <v>HO-SI</v>
          </cell>
          <cell r="BA775">
            <v>2790</v>
          </cell>
        </row>
        <row r="776">
          <cell r="A776" t="str">
            <v>ETLCUST-05191</v>
          </cell>
          <cell r="B776" t="str">
            <v>I-NETWORK BD</v>
          </cell>
          <cell r="C776" t="str">
            <v>Ashraful Islam</v>
          </cell>
          <cell r="D776" t="str">
            <v>Corporate</v>
          </cell>
          <cell r="E776" t="str">
            <v>Corporate</v>
          </cell>
          <cell r="M776">
            <v>220000</v>
          </cell>
          <cell r="AR776">
            <v>14400</v>
          </cell>
          <cell r="AV776">
            <v>1287000</v>
          </cell>
          <cell r="BA776">
            <v>17475</v>
          </cell>
        </row>
        <row r="777">
          <cell r="A777" t="str">
            <v>ETLCUST-03724</v>
          </cell>
          <cell r="B777" t="str">
            <v>INFINITY SOLUTION - MOTIJHEEL</v>
          </cell>
          <cell r="C777" t="str">
            <v>Md. Sahedul Islam</v>
          </cell>
          <cell r="D777" t="str">
            <v>Motijheel</v>
          </cell>
          <cell r="E777" t="str">
            <v>Motijheel</v>
          </cell>
          <cell r="S777">
            <v>0</v>
          </cell>
          <cell r="AM777">
            <v>8017900</v>
          </cell>
          <cell r="AQ777">
            <v>0</v>
          </cell>
          <cell r="AR777">
            <v>213700</v>
          </cell>
          <cell r="BA777">
            <v>64907290</v>
          </cell>
        </row>
        <row r="778">
          <cell r="A778" t="str">
            <v>ETLCUST-01670</v>
          </cell>
          <cell r="B778" t="str">
            <v>INFINITY TECHNOLOGY - PALTAN</v>
          </cell>
          <cell r="C778" t="str">
            <v>Md. Sahedul Islam</v>
          </cell>
          <cell r="D778" t="str">
            <v>Motijheel</v>
          </cell>
          <cell r="E778" t="str">
            <v>Motijheel</v>
          </cell>
          <cell r="H778">
            <v>143500</v>
          </cell>
          <cell r="T778">
            <v>21000</v>
          </cell>
        </row>
        <row r="779">
          <cell r="A779" t="str">
            <v>ETLCUST-00259</v>
          </cell>
          <cell r="B779" t="str">
            <v>INFO TECH - MOULVIBAZAR</v>
          </cell>
          <cell r="C779" t="str">
            <v>Amit Das</v>
          </cell>
          <cell r="D779" t="str">
            <v>Sylhet</v>
          </cell>
          <cell r="E779" t="str">
            <v>Sylhet</v>
          </cell>
          <cell r="L779">
            <v>19998</v>
          </cell>
          <cell r="P779">
            <v>12800</v>
          </cell>
          <cell r="R779">
            <v>22500</v>
          </cell>
          <cell r="AM779">
            <v>11550</v>
          </cell>
          <cell r="AO779">
            <v>12375</v>
          </cell>
          <cell r="AZ779">
            <v>4725</v>
          </cell>
          <cell r="BA779">
            <v>79575</v>
          </cell>
        </row>
        <row r="780">
          <cell r="A780" t="str">
            <v>ETLCUST-05024</v>
          </cell>
          <cell r="B780" t="str">
            <v>INFO TECH NET- CTG</v>
          </cell>
          <cell r="C780" t="str">
            <v>Md. Mamunur Rashid</v>
          </cell>
          <cell r="D780" t="str">
            <v>CTG</v>
          </cell>
          <cell r="E780" t="str">
            <v>CTG</v>
          </cell>
          <cell r="AL780">
            <v>3975</v>
          </cell>
          <cell r="AM780">
            <v>24140</v>
          </cell>
          <cell r="AV780">
            <v>31600</v>
          </cell>
          <cell r="BA780">
            <v>54990</v>
          </cell>
        </row>
        <row r="781">
          <cell r="A781" t="str">
            <v>ETLCUST-03591</v>
          </cell>
          <cell r="B781" t="str">
            <v>INFOSONIK SYSTEMS LIMITED</v>
          </cell>
          <cell r="C781" t="str">
            <v>Abu Zahid Sobuj</v>
          </cell>
          <cell r="D781" t="str">
            <v>Corporate</v>
          </cell>
          <cell r="E781" t="str">
            <v>Corporate</v>
          </cell>
          <cell r="X781">
            <v>1361100</v>
          </cell>
          <cell r="AJ781">
            <v>371000</v>
          </cell>
        </row>
        <row r="782">
          <cell r="A782" t="str">
            <v>ETLCUST-05206</v>
          </cell>
          <cell r="B782" t="str">
            <v>INFOSYSTECH</v>
          </cell>
          <cell r="C782" t="str">
            <v>Md. Anisur Rahman</v>
          </cell>
          <cell r="D782" t="str">
            <v>Corporate</v>
          </cell>
          <cell r="E782" t="str">
            <v>Corporate</v>
          </cell>
          <cell r="R782">
            <v>18600</v>
          </cell>
          <cell r="S782">
            <v>0</v>
          </cell>
          <cell r="Y782">
            <v>14000</v>
          </cell>
          <cell r="AS782">
            <v>503000</v>
          </cell>
        </row>
        <row r="783">
          <cell r="A783" t="str">
            <v>ETLCUST-05151</v>
          </cell>
          <cell r="B783" t="str">
            <v>INNOVATIVE ONLINE LTD. - PANCHLAIS</v>
          </cell>
          <cell r="C783" t="str">
            <v>Md. Mamunur Rashid</v>
          </cell>
          <cell r="D783" t="str">
            <v>CTG</v>
          </cell>
          <cell r="E783" t="str">
            <v>CTG</v>
          </cell>
          <cell r="G783">
            <v>269000</v>
          </cell>
          <cell r="AT783">
            <v>24000</v>
          </cell>
        </row>
        <row r="784">
          <cell r="A784" t="str">
            <v>ETLCUST-03314</v>
          </cell>
          <cell r="B784" t="str">
            <v>INNOVATIVE SOFT - KALABAGAN</v>
          </cell>
          <cell r="C784" t="str">
            <v>Md Tanjilur Rakib</v>
          </cell>
          <cell r="D784" t="str">
            <v>HO-SI</v>
          </cell>
          <cell r="E784" t="str">
            <v>HO-SI</v>
          </cell>
          <cell r="AA784">
            <v>94500</v>
          </cell>
          <cell r="AJ784">
            <v>1826000</v>
          </cell>
          <cell r="AR784">
            <v>26000</v>
          </cell>
        </row>
        <row r="785">
          <cell r="A785" t="str">
            <v>ETLCUST-04842</v>
          </cell>
          <cell r="B785" t="str">
            <v>INNOVATIVE TECHNOLOGIES - SYLHET</v>
          </cell>
          <cell r="C785" t="str">
            <v>Sanwar Husen</v>
          </cell>
          <cell r="D785" t="str">
            <v>Sylhet</v>
          </cell>
          <cell r="E785" t="str">
            <v>Sylhet</v>
          </cell>
          <cell r="R785">
            <v>41000</v>
          </cell>
          <cell r="T785">
            <v>28630</v>
          </cell>
          <cell r="AO785">
            <v>450</v>
          </cell>
          <cell r="BA785">
            <v>7340</v>
          </cell>
        </row>
        <row r="786">
          <cell r="A786" t="str">
            <v>ETLCUST-00493</v>
          </cell>
          <cell r="B786" t="str">
            <v>INPACE MANAGMENT SERVICES LTD - IDB</v>
          </cell>
          <cell r="C786" t="str">
            <v>Gaji Parvin Nesa</v>
          </cell>
          <cell r="D786" t="str">
            <v>IDB</v>
          </cell>
          <cell r="E786" t="str">
            <v>IDB</v>
          </cell>
          <cell r="AV786">
            <v>150300</v>
          </cell>
        </row>
        <row r="787">
          <cell r="A787" t="str">
            <v>ETLCUST-02738</v>
          </cell>
          <cell r="B787" t="str">
            <v>INSAF COMPUTER - MULTIPLAN</v>
          </cell>
          <cell r="C787" t="str">
            <v>Md. Anamul Hoque</v>
          </cell>
          <cell r="D787" t="str">
            <v>Multiplan</v>
          </cell>
          <cell r="E787" t="str">
            <v>Multiplan</v>
          </cell>
          <cell r="H787">
            <v>24000</v>
          </cell>
          <cell r="P787">
            <v>339200</v>
          </cell>
          <cell r="R787">
            <v>51400</v>
          </cell>
          <cell r="U787">
            <v>8600</v>
          </cell>
          <cell r="V787">
            <v>17100</v>
          </cell>
          <cell r="AS787">
            <v>74000</v>
          </cell>
        </row>
        <row r="788">
          <cell r="A788" t="str">
            <v>ETLCUST-00001</v>
          </cell>
          <cell r="B788" t="str">
            <v>INSPIRE - NILPHAMARI</v>
          </cell>
          <cell r="C788" t="str">
            <v>Akramul Haque</v>
          </cell>
          <cell r="D788" t="str">
            <v>North Bengal</v>
          </cell>
          <cell r="E788" t="str">
            <v>North Bengal</v>
          </cell>
          <cell r="S788">
            <v>0</v>
          </cell>
          <cell r="X788">
            <v>132100</v>
          </cell>
          <cell r="AM788">
            <v>7000</v>
          </cell>
          <cell r="AO788">
            <v>21500</v>
          </cell>
          <cell r="BA788">
            <v>240100</v>
          </cell>
        </row>
        <row r="789">
          <cell r="A789" t="str">
            <v>ETLCUST-00760</v>
          </cell>
          <cell r="B789" t="str">
            <v>INSPIRE COMPUTER AND TECHNOLOGY - E.ROAD</v>
          </cell>
          <cell r="C789" t="str">
            <v>Mohammad Mostofa</v>
          </cell>
          <cell r="D789" t="str">
            <v>Multiplan</v>
          </cell>
          <cell r="E789" t="str">
            <v>Multiplan</v>
          </cell>
          <cell r="P789">
            <v>112000</v>
          </cell>
          <cell r="X789">
            <v>75000</v>
          </cell>
          <cell r="AD789">
            <v>8500</v>
          </cell>
        </row>
        <row r="790">
          <cell r="A790" t="str">
            <v>ETLCUST-05440</v>
          </cell>
          <cell r="B790" t="str">
            <v>INSTITUTE OF WATER MODELLING - CONSULTANCY</v>
          </cell>
          <cell r="C790" t="str">
            <v>Liton Biswas</v>
          </cell>
          <cell r="D790" t="str">
            <v>HO-SI</v>
          </cell>
          <cell r="E790" t="str">
            <v>HO-SI</v>
          </cell>
          <cell r="AY790">
            <v>471750</v>
          </cell>
        </row>
        <row r="791">
          <cell r="A791" t="str">
            <v>ETLCUST-00130</v>
          </cell>
          <cell r="B791" t="str">
            <v>INTEGRATED COMPUTER ANDCOMMUNICATIONS LTD - UTTARA</v>
          </cell>
          <cell r="C791" t="str">
            <v>Dulal Sarker</v>
          </cell>
          <cell r="D791" t="str">
            <v>Uttara</v>
          </cell>
          <cell r="E791" t="str">
            <v>Uttara</v>
          </cell>
          <cell r="G791">
            <v>224000</v>
          </cell>
          <cell r="U791">
            <v>140000</v>
          </cell>
        </row>
        <row r="792">
          <cell r="A792" t="str">
            <v>ETLCUST-04575</v>
          </cell>
          <cell r="B792" t="str">
            <v xml:space="preserve">INTELLIGENT SOLUTIONS LIMITED -MIRPUR </v>
          </cell>
          <cell r="C792" t="str">
            <v>Md Tanjilur Rakib</v>
          </cell>
          <cell r="D792" t="str">
            <v>HO-SI</v>
          </cell>
          <cell r="E792" t="str">
            <v>HO-SI</v>
          </cell>
          <cell r="U792">
            <v>111250</v>
          </cell>
          <cell r="AV792">
            <v>64800</v>
          </cell>
        </row>
        <row r="793">
          <cell r="A793" t="str">
            <v>ETLCUST-00711</v>
          </cell>
          <cell r="B793" t="str">
            <v>INTER WAVE COMPUTERS - KHULNA</v>
          </cell>
          <cell r="C793" t="str">
            <v>Md Husaun</v>
          </cell>
          <cell r="D793" t="str">
            <v>Khulna</v>
          </cell>
          <cell r="E793" t="str">
            <v>Khulna</v>
          </cell>
          <cell r="R793">
            <v>-14500</v>
          </cell>
          <cell r="AM793">
            <v>760</v>
          </cell>
          <cell r="AR793">
            <v>22400</v>
          </cell>
          <cell r="BA793">
            <v>330525</v>
          </cell>
        </row>
        <row r="794">
          <cell r="A794" t="str">
            <v>ETLCUST-02050</v>
          </cell>
          <cell r="B794" t="str">
            <v>INTERNATIONAL CENTRE FOR DIARRHOEAL DISEASE RESEARCH, BANGLADESH-ICDDR,B</v>
          </cell>
          <cell r="C794" t="str">
            <v>Sabbir Ahmed</v>
          </cell>
          <cell r="D794" t="str">
            <v>Corporate</v>
          </cell>
          <cell r="E794" t="str">
            <v>Corporate</v>
          </cell>
          <cell r="U794">
            <v>100800</v>
          </cell>
          <cell r="AD794">
            <v>17894.54</v>
          </cell>
        </row>
        <row r="795">
          <cell r="A795" t="str">
            <v>ETLCUST-05189</v>
          </cell>
          <cell r="B795" t="str">
            <v>INTERNATIONAL HOLDINGS LIMITED</v>
          </cell>
          <cell r="C795" t="str">
            <v>Md. Anisur Rahman</v>
          </cell>
          <cell r="D795" t="str">
            <v>Corporate</v>
          </cell>
          <cell r="E795" t="str">
            <v>Corporate</v>
          </cell>
          <cell r="K795">
            <v>1042105</v>
          </cell>
        </row>
        <row r="796">
          <cell r="A796" t="str">
            <v>ETLCUST-05351</v>
          </cell>
          <cell r="B796" t="str">
            <v>INTERNATIONAL ISLAMIC UNIVERSITY CHITTAGONG</v>
          </cell>
          <cell r="C796" t="str">
            <v>Md. Anisur Rahman</v>
          </cell>
          <cell r="D796" t="str">
            <v>Corporate</v>
          </cell>
          <cell r="E796" t="str">
            <v>Corporate</v>
          </cell>
          <cell r="S796">
            <v>0</v>
          </cell>
          <cell r="AN796">
            <v>220500</v>
          </cell>
          <cell r="AS796">
            <v>223500</v>
          </cell>
        </row>
        <row r="797">
          <cell r="A797" t="str">
            <v>ETLCUST-05262</v>
          </cell>
          <cell r="B797" t="str">
            <v>INTERNATIONAL OFFICE SOLUTION - CHATTOGRAM</v>
          </cell>
          <cell r="C797" t="str">
            <v>Manjurul Huda Parvez</v>
          </cell>
          <cell r="D797" t="str">
            <v>CTG</v>
          </cell>
          <cell r="E797" t="str">
            <v>CTG</v>
          </cell>
          <cell r="R797">
            <v>62920</v>
          </cell>
        </row>
        <row r="798">
          <cell r="A798" t="str">
            <v>ETLCUST-02663</v>
          </cell>
          <cell r="B798" t="str">
            <v>INTERNATIONAL TRADING SERVICE LIMITED</v>
          </cell>
          <cell r="C798" t="str">
            <v>Hasibul Hasan Symoon</v>
          </cell>
          <cell r="D798" t="str">
            <v>Corporate</v>
          </cell>
          <cell r="E798" t="str">
            <v>Corporate</v>
          </cell>
          <cell r="R798">
            <v>6600</v>
          </cell>
        </row>
        <row r="799">
          <cell r="A799" t="str">
            <v>ETLCUST-03618</v>
          </cell>
          <cell r="B799" t="str">
            <v>INTERSTOFF GROUP</v>
          </cell>
          <cell r="C799" t="str">
            <v>Abu Zahid Sobuj</v>
          </cell>
          <cell r="D799" t="str">
            <v>Corporate</v>
          </cell>
          <cell r="E799" t="str">
            <v>Corporate</v>
          </cell>
          <cell r="U799">
            <v>365000</v>
          </cell>
          <cell r="X799">
            <v>1330000</v>
          </cell>
          <cell r="AV799">
            <v>233400</v>
          </cell>
          <cell r="AY799">
            <v>7800</v>
          </cell>
        </row>
        <row r="800">
          <cell r="A800" t="str">
            <v>ETLCUST-01871</v>
          </cell>
          <cell r="B800" t="str">
            <v>INTIMACY COMPUTER AND SOLUTIONS - MOTIJHEEL</v>
          </cell>
          <cell r="C800" t="str">
            <v>Hridoy Chandra Das</v>
          </cell>
          <cell r="D800" t="str">
            <v>Motijheel</v>
          </cell>
          <cell r="E800" t="str">
            <v>Motijheel</v>
          </cell>
          <cell r="P800">
            <v>660000</v>
          </cell>
        </row>
        <row r="801">
          <cell r="A801" t="str">
            <v>ETLCUST-03080</v>
          </cell>
          <cell r="B801" t="str">
            <v>INVENT POINT COMPUTER - MULTIPLAN</v>
          </cell>
          <cell r="C801" t="str">
            <v>Sadekur Rahman</v>
          </cell>
          <cell r="D801" t="str">
            <v>HO-SI</v>
          </cell>
          <cell r="E801" t="str">
            <v>HO-SI</v>
          </cell>
          <cell r="H801">
            <v>330000</v>
          </cell>
        </row>
        <row r="802">
          <cell r="A802" t="str">
            <v>ETLCUST-04074</v>
          </cell>
          <cell r="B802" t="str">
            <v>IPCO DEVELOPMENTS (BANGLADESH) LIMITED - GULSHAN</v>
          </cell>
          <cell r="C802" t="str">
            <v>Liton Biswas</v>
          </cell>
          <cell r="D802" t="str">
            <v>HO-SI</v>
          </cell>
          <cell r="E802" t="str">
            <v>HO-SI</v>
          </cell>
          <cell r="I802">
            <v>404208</v>
          </cell>
          <cell r="X802">
            <v>456836.01</v>
          </cell>
          <cell r="AY802">
            <v>30000</v>
          </cell>
        </row>
        <row r="803">
          <cell r="A803" t="str">
            <v>ETLCUST-04674</v>
          </cell>
          <cell r="B803" t="str">
            <v>IPCO HOTELS LIMITED - GULSHAN</v>
          </cell>
          <cell r="C803" t="str">
            <v>Liton Biswas</v>
          </cell>
          <cell r="D803" t="str">
            <v>HO-SI</v>
          </cell>
          <cell r="E803" t="str">
            <v>HO-SI</v>
          </cell>
          <cell r="AY803">
            <v>24120</v>
          </cell>
        </row>
        <row r="804">
          <cell r="A804" t="str">
            <v>ETLCUST-05238</v>
          </cell>
          <cell r="B804" t="str">
            <v>IPS MART - MIRPUR</v>
          </cell>
          <cell r="C804" t="str">
            <v>Amit Sarker</v>
          </cell>
          <cell r="D804" t="str">
            <v>IDB</v>
          </cell>
          <cell r="E804" t="str">
            <v>IDB</v>
          </cell>
          <cell r="AK804">
            <v>88000</v>
          </cell>
        </row>
        <row r="805">
          <cell r="A805" t="str">
            <v>ETLCUST-05295</v>
          </cell>
          <cell r="B805" t="str">
            <v>IPS POINT AND ELECTRONICS - PATUATULI</v>
          </cell>
          <cell r="C805" t="str">
            <v>Noor Hossain</v>
          </cell>
          <cell r="D805" t="str">
            <v>Gulistan</v>
          </cell>
          <cell r="E805" t="str">
            <v>Gulistan</v>
          </cell>
          <cell r="AK805">
            <v>26000</v>
          </cell>
        </row>
        <row r="806">
          <cell r="A806" t="str">
            <v>ETLCUST-05099</v>
          </cell>
          <cell r="B806" t="str">
            <v>IQ TECHNOLOGY - CTG</v>
          </cell>
          <cell r="C806" t="str">
            <v>Shahidul Alam Chowdhury</v>
          </cell>
          <cell r="D806" t="str">
            <v>CTG</v>
          </cell>
          <cell r="E806" t="str">
            <v>CTG</v>
          </cell>
          <cell r="BA806">
            <v>16000</v>
          </cell>
        </row>
        <row r="807">
          <cell r="A807" t="str">
            <v>ETLCUST-03753</v>
          </cell>
          <cell r="B807" t="str">
            <v xml:space="preserve">IR TECHNOLOGIES &amp; SOLUTION  LTD-MALIBAGH </v>
          </cell>
          <cell r="C807" t="str">
            <v>Md. Abdus Satter</v>
          </cell>
          <cell r="D807" t="str">
            <v>HO-SI</v>
          </cell>
          <cell r="E807" t="str">
            <v>HO-SI</v>
          </cell>
          <cell r="U807">
            <v>785200</v>
          </cell>
          <cell r="BA807">
            <v>39800</v>
          </cell>
        </row>
        <row r="808">
          <cell r="A808" t="str">
            <v>ETLCUST-05118</v>
          </cell>
          <cell r="B808" t="str">
            <v>IRFAN COMPUTER - SHERPUR</v>
          </cell>
          <cell r="C808" t="str">
            <v>Md. Sujon Mia</v>
          </cell>
          <cell r="D808" t="str">
            <v>Mymensingh</v>
          </cell>
          <cell r="E808" t="str">
            <v>Mymensingh</v>
          </cell>
          <cell r="P808">
            <v>12800</v>
          </cell>
          <cell r="T808">
            <v>41500</v>
          </cell>
          <cell r="V808">
            <v>22440</v>
          </cell>
          <cell r="AM808">
            <v>2370</v>
          </cell>
          <cell r="AO808">
            <v>15000</v>
          </cell>
          <cell r="AZ808">
            <v>14200</v>
          </cell>
          <cell r="BA808">
            <v>5900</v>
          </cell>
        </row>
        <row r="809">
          <cell r="A809" t="str">
            <v>ETLCUST-04582</v>
          </cell>
          <cell r="B809" t="str">
            <v>ISHTIAQ CABLE - NATORE</v>
          </cell>
          <cell r="C809" t="str">
            <v>Md. Abu Basar</v>
          </cell>
          <cell r="D809" t="str">
            <v>Rajshahi</v>
          </cell>
          <cell r="E809" t="str">
            <v>Rajshahi</v>
          </cell>
          <cell r="G809">
            <v>30000</v>
          </cell>
          <cell r="AM809">
            <v>32380</v>
          </cell>
          <cell r="AQ809">
            <v>0</v>
          </cell>
          <cell r="BA809">
            <v>542220</v>
          </cell>
        </row>
        <row r="810">
          <cell r="A810" t="str">
            <v>ETLCUST-03204</v>
          </cell>
          <cell r="B810" t="str">
            <v xml:space="preserve">ISLAM COMPUTER - GAZIPUR </v>
          </cell>
          <cell r="C810" t="str">
            <v>Md. Rahad</v>
          </cell>
          <cell r="D810" t="str">
            <v>Uttara</v>
          </cell>
          <cell r="E810" t="str">
            <v>Uttara</v>
          </cell>
          <cell r="AK810">
            <v>14500</v>
          </cell>
          <cell r="AO810">
            <v>6000</v>
          </cell>
        </row>
        <row r="811">
          <cell r="A811" t="str">
            <v>ETLCUST-00444</v>
          </cell>
          <cell r="B811" t="str">
            <v>ISLAM COMPUTER - TANGAIL</v>
          </cell>
          <cell r="C811" t="str">
            <v>Niloy Ghosh</v>
          </cell>
          <cell r="D811" t="str">
            <v>DHK-EXT</v>
          </cell>
          <cell r="E811" t="str">
            <v>DHK-EXT</v>
          </cell>
          <cell r="G811">
            <v>100000</v>
          </cell>
          <cell r="I811">
            <v>85000</v>
          </cell>
          <cell r="L811">
            <v>330000</v>
          </cell>
          <cell r="R811">
            <v>765500</v>
          </cell>
          <cell r="S811">
            <v>0</v>
          </cell>
          <cell r="T811">
            <v>1323850</v>
          </cell>
          <cell r="X811">
            <v>2079325</v>
          </cell>
          <cell r="Y811">
            <v>635000</v>
          </cell>
          <cell r="AJ811">
            <v>289500</v>
          </cell>
          <cell r="AK811">
            <v>704680</v>
          </cell>
          <cell r="AM811">
            <v>265390</v>
          </cell>
          <cell r="AO811">
            <v>51750</v>
          </cell>
          <cell r="AQ811">
            <v>0</v>
          </cell>
          <cell r="AR811">
            <v>17000</v>
          </cell>
          <cell r="AT811">
            <v>9500</v>
          </cell>
          <cell r="AV811">
            <v>33400</v>
          </cell>
          <cell r="BA811">
            <v>3771165</v>
          </cell>
        </row>
        <row r="812">
          <cell r="A812" t="str">
            <v>ETLCUST-00355</v>
          </cell>
          <cell r="B812" t="str">
            <v>ISLAM ENTERPRISE - GULSHAN</v>
          </cell>
          <cell r="C812" t="str">
            <v>Jiku Saha</v>
          </cell>
          <cell r="D812" t="str">
            <v>Uttara</v>
          </cell>
          <cell r="E812" t="str">
            <v>Uttara</v>
          </cell>
          <cell r="X812">
            <v>36500</v>
          </cell>
          <cell r="AF812">
            <v>34700</v>
          </cell>
          <cell r="AJ812">
            <v>964140</v>
          </cell>
          <cell r="AR812">
            <v>21600</v>
          </cell>
          <cell r="BA812">
            <v>1246700</v>
          </cell>
        </row>
        <row r="813">
          <cell r="A813" t="str">
            <v>ETLCUST-02225</v>
          </cell>
          <cell r="B813" t="str">
            <v>ISLAMI BANK BANGLADESH PLC.</v>
          </cell>
          <cell r="C813" t="str">
            <v>Rafsan Jani</v>
          </cell>
          <cell r="D813" t="str">
            <v>Corporate</v>
          </cell>
          <cell r="E813" t="str">
            <v>Corporate</v>
          </cell>
          <cell r="U813">
            <v>150000</v>
          </cell>
        </row>
        <row r="814">
          <cell r="A814" t="str">
            <v>ETLCUST-03919</v>
          </cell>
          <cell r="B814" t="str">
            <v>ISLAMI BANK FOUNDATION</v>
          </cell>
          <cell r="C814" t="str">
            <v>Abu Zahid Sobuj</v>
          </cell>
          <cell r="D814" t="str">
            <v>Corporate</v>
          </cell>
          <cell r="E814" t="str">
            <v>Corporate</v>
          </cell>
          <cell r="U814">
            <v>60909.1</v>
          </cell>
          <cell r="AR814">
            <v>354545.48999999993</v>
          </cell>
          <cell r="AV814">
            <v>85454.55</v>
          </cell>
          <cell r="BA814">
            <v>0</v>
          </cell>
        </row>
        <row r="815">
          <cell r="A815" t="str">
            <v>ETLCUST-02880</v>
          </cell>
          <cell r="B815" t="str">
            <v>ISLAMIA COMPUTER TECHNOLOGY - SUVASTU</v>
          </cell>
          <cell r="C815" t="str">
            <v>Md Shamim Miah</v>
          </cell>
          <cell r="D815" t="str">
            <v>DHB</v>
          </cell>
          <cell r="E815" t="str">
            <v>DHB</v>
          </cell>
          <cell r="AO815">
            <v>314950</v>
          </cell>
          <cell r="AV815">
            <v>195000</v>
          </cell>
        </row>
        <row r="816">
          <cell r="A816" t="str">
            <v>ETLCUST-03598</v>
          </cell>
          <cell r="B816" t="str">
            <v>ISLAMIC RELIEF BANGLADESH</v>
          </cell>
          <cell r="C816" t="str">
            <v>Shakil Ahmed</v>
          </cell>
          <cell r="D816" t="str">
            <v>Corporate</v>
          </cell>
          <cell r="E816" t="str">
            <v>Corporate</v>
          </cell>
          <cell r="BA816">
            <v>20100</v>
          </cell>
        </row>
        <row r="817">
          <cell r="A817" t="str">
            <v>ETLCUST-02230</v>
          </cell>
          <cell r="B817" t="str">
            <v>ISPAHANI FOODS LIMITED</v>
          </cell>
          <cell r="C817" t="str">
            <v>Md Saim Ali Rezvy</v>
          </cell>
          <cell r="D817" t="str">
            <v>Corporate</v>
          </cell>
          <cell r="E817" t="str">
            <v>Corporate</v>
          </cell>
          <cell r="R817">
            <v>29954.450000000004</v>
          </cell>
          <cell r="AD817">
            <v>44363.64</v>
          </cell>
          <cell r="AY817">
            <v>5100</v>
          </cell>
        </row>
        <row r="818">
          <cell r="A818" t="str">
            <v>ETLCUST-02231</v>
          </cell>
          <cell r="B818" t="str">
            <v>ISPAHANI ISLAMIA EYE INSTITUTE AND HOSPITAL</v>
          </cell>
          <cell r="C818" t="str">
            <v>Md Saim Ali Rezvy</v>
          </cell>
          <cell r="D818" t="str">
            <v>Corporate</v>
          </cell>
          <cell r="E818" t="str">
            <v>Corporate</v>
          </cell>
          <cell r="U818">
            <v>170772.72</v>
          </cell>
          <cell r="X818">
            <v>106272.68</v>
          </cell>
          <cell r="AS818">
            <v>80000</v>
          </cell>
        </row>
        <row r="819">
          <cell r="A819" t="str">
            <v>ETLCUST-05328</v>
          </cell>
          <cell r="B819" t="str">
            <v>IT BAZAR  BSL - BARISHAL</v>
          </cell>
          <cell r="C819" t="str">
            <v>Md. Aminul Islam</v>
          </cell>
          <cell r="D819" t="str">
            <v>South Bengal</v>
          </cell>
          <cell r="E819" t="str">
            <v>South Bengal</v>
          </cell>
          <cell r="P819">
            <v>25600</v>
          </cell>
          <cell r="R819">
            <v>84500</v>
          </cell>
          <cell r="T819">
            <v>4700</v>
          </cell>
          <cell r="X819">
            <v>130150</v>
          </cell>
          <cell r="AJ819">
            <v>7450</v>
          </cell>
          <cell r="AO819">
            <v>5825</v>
          </cell>
          <cell r="AT819">
            <v>11000</v>
          </cell>
        </row>
        <row r="820">
          <cell r="A820" t="str">
            <v>ETLCUST-00227</v>
          </cell>
          <cell r="B820" t="str">
            <v>IT BAZAR DOT NET - SUVASTU</v>
          </cell>
          <cell r="C820" t="str">
            <v>Md Shamim Miah</v>
          </cell>
          <cell r="D820" t="str">
            <v>DHB</v>
          </cell>
          <cell r="E820" t="str">
            <v>DHB</v>
          </cell>
          <cell r="U820">
            <v>28100</v>
          </cell>
          <cell r="AK820">
            <v>16380</v>
          </cell>
          <cell r="AO820">
            <v>1625</v>
          </cell>
          <cell r="BA820">
            <v>9800</v>
          </cell>
        </row>
        <row r="821">
          <cell r="A821" t="str">
            <v>ETLCUST-00110</v>
          </cell>
          <cell r="B821" t="str">
            <v>IT CORNER - HM PLAZA</v>
          </cell>
          <cell r="C821" t="str">
            <v>Dulal Sarker</v>
          </cell>
          <cell r="D821" t="str">
            <v>Uttara</v>
          </cell>
          <cell r="E821" t="str">
            <v>Uttara</v>
          </cell>
          <cell r="O821">
            <v>14300</v>
          </cell>
          <cell r="U821">
            <v>19200</v>
          </cell>
          <cell r="AV821">
            <v>15000</v>
          </cell>
        </row>
        <row r="822">
          <cell r="A822" t="str">
            <v>ETLCUST-00129</v>
          </cell>
          <cell r="B822" t="str">
            <v>IT CORNER - SYED GRAND</v>
          </cell>
          <cell r="C822" t="str">
            <v>Dulal Sarker</v>
          </cell>
          <cell r="D822" t="str">
            <v>Uttara</v>
          </cell>
          <cell r="E822" t="str">
            <v>Uttara</v>
          </cell>
          <cell r="AM822">
            <v>13400</v>
          </cell>
        </row>
        <row r="823">
          <cell r="A823" t="str">
            <v>ETLCUST-00099</v>
          </cell>
          <cell r="B823" t="str">
            <v>IT FAIR AND ELECTRONICS - UTTARA</v>
          </cell>
          <cell r="C823" t="str">
            <v>Dulal Sarker</v>
          </cell>
          <cell r="D823" t="str">
            <v>Uttara</v>
          </cell>
          <cell r="E823" t="str">
            <v>Uttara</v>
          </cell>
          <cell r="AM823">
            <v>1150</v>
          </cell>
          <cell r="BA823">
            <v>4975</v>
          </cell>
        </row>
        <row r="824">
          <cell r="A824" t="str">
            <v>ETLCUST-01055</v>
          </cell>
          <cell r="B824" t="str">
            <v>IT GHOR - HATHAZARI</v>
          </cell>
          <cell r="C824" t="str">
            <v>Md. Mamunur Rashid</v>
          </cell>
          <cell r="D824" t="str">
            <v>CTG</v>
          </cell>
          <cell r="E824" t="str">
            <v>CTG</v>
          </cell>
          <cell r="BA824">
            <v>6290</v>
          </cell>
        </row>
        <row r="825">
          <cell r="A825" t="str">
            <v>ETLCUST-04454</v>
          </cell>
          <cell r="B825" t="str">
            <v>IT LAB - HABIGANJ</v>
          </cell>
          <cell r="C825" t="str">
            <v>Md. Imran Miah Khandakar</v>
          </cell>
          <cell r="D825" t="str">
            <v>Sylhet</v>
          </cell>
          <cell r="E825" t="str">
            <v>Sylhet</v>
          </cell>
          <cell r="R825">
            <v>20400</v>
          </cell>
          <cell r="S825">
            <v>0</v>
          </cell>
          <cell r="T825">
            <v>215850</v>
          </cell>
          <cell r="V825">
            <v>37500</v>
          </cell>
          <cell r="X825">
            <v>2257550</v>
          </cell>
          <cell r="AL825">
            <v>151755</v>
          </cell>
          <cell r="AM825">
            <v>316780</v>
          </cell>
          <cell r="BA825">
            <v>2280995</v>
          </cell>
        </row>
        <row r="826">
          <cell r="A826" t="str">
            <v>ETLCUST-03306</v>
          </cell>
          <cell r="B826" t="str">
            <v>IT MART - MULTIPLAN</v>
          </cell>
          <cell r="C826" t="str">
            <v>Md. Anamul Hoque</v>
          </cell>
          <cell r="D826" t="str">
            <v>Multiplan</v>
          </cell>
          <cell r="E826" t="str">
            <v>Multiplan</v>
          </cell>
          <cell r="P826">
            <v>77000</v>
          </cell>
          <cell r="S826">
            <v>0</v>
          </cell>
          <cell r="U826">
            <v>3950</v>
          </cell>
          <cell r="X826">
            <v>87800</v>
          </cell>
          <cell r="AF826">
            <v>35000</v>
          </cell>
          <cell r="AQ826">
            <v>0</v>
          </cell>
          <cell r="AV826">
            <v>116300</v>
          </cell>
          <cell r="BA826">
            <v>1981550</v>
          </cell>
        </row>
        <row r="827">
          <cell r="A827" t="str">
            <v>ETLCUST-00359</v>
          </cell>
          <cell r="B827" t="str">
            <v>IT NEWS COMPUTER - UTTARA</v>
          </cell>
          <cell r="C827" t="str">
            <v>Jiku Saha</v>
          </cell>
          <cell r="D827" t="str">
            <v>Uttara</v>
          </cell>
          <cell r="E827" t="str">
            <v>Uttara</v>
          </cell>
          <cell r="I827">
            <v>237600</v>
          </cell>
          <cell r="AJ827">
            <v>300275</v>
          </cell>
          <cell r="AM827">
            <v>54160</v>
          </cell>
          <cell r="AV827">
            <v>38250</v>
          </cell>
          <cell r="BA827">
            <v>317760</v>
          </cell>
        </row>
        <row r="828">
          <cell r="A828" t="str">
            <v>ETLCUST-01318</v>
          </cell>
          <cell r="B828" t="str">
            <v>IT PALACE - COMILLA</v>
          </cell>
          <cell r="C828" t="str">
            <v>Nazmul Amin Sajib</v>
          </cell>
          <cell r="D828" t="str">
            <v>CTG</v>
          </cell>
          <cell r="E828" t="str">
            <v>CTG</v>
          </cell>
          <cell r="I828">
            <v>450</v>
          </cell>
          <cell r="R828">
            <v>22500</v>
          </cell>
          <cell r="S828">
            <v>0</v>
          </cell>
          <cell r="T828">
            <v>426550</v>
          </cell>
          <cell r="X828">
            <v>107650</v>
          </cell>
          <cell r="AJ828">
            <v>3500</v>
          </cell>
          <cell r="AL828">
            <v>150325</v>
          </cell>
          <cell r="AM828">
            <v>81090</v>
          </cell>
          <cell r="AQ828">
            <v>0</v>
          </cell>
          <cell r="AV828">
            <v>18500</v>
          </cell>
          <cell r="BA828">
            <v>1223930</v>
          </cell>
        </row>
        <row r="829">
          <cell r="A829" t="str">
            <v>ETLCUST-01029</v>
          </cell>
          <cell r="B829" t="str">
            <v>IT PALACE - CTG</v>
          </cell>
          <cell r="C829" t="str">
            <v>Md. Mamunur Rashid</v>
          </cell>
          <cell r="D829" t="str">
            <v>CTG</v>
          </cell>
          <cell r="E829" t="str">
            <v>CTG</v>
          </cell>
          <cell r="P829">
            <v>282700</v>
          </cell>
          <cell r="R829">
            <v>162550</v>
          </cell>
          <cell r="X829">
            <v>36600</v>
          </cell>
          <cell r="AF829">
            <v>19000</v>
          </cell>
          <cell r="AK829">
            <v>30150</v>
          </cell>
          <cell r="AM829">
            <v>380</v>
          </cell>
          <cell r="AT829">
            <v>41400</v>
          </cell>
          <cell r="BA829">
            <v>35900</v>
          </cell>
        </row>
        <row r="830">
          <cell r="A830" t="str">
            <v>ETLCUST-02600</v>
          </cell>
          <cell r="B830" t="str">
            <v>IT PARK - KHULNA</v>
          </cell>
          <cell r="C830" t="str">
            <v>Imrul Rayhan</v>
          </cell>
          <cell r="D830" t="str">
            <v>Khulna</v>
          </cell>
          <cell r="E830" t="str">
            <v>Khulna</v>
          </cell>
          <cell r="AZ830">
            <v>1600</v>
          </cell>
        </row>
        <row r="831">
          <cell r="A831" t="str">
            <v>ETLCUST-00127</v>
          </cell>
          <cell r="B831" t="str">
            <v>IT PARK AND NETWORKING - UTTARA</v>
          </cell>
          <cell r="C831" t="str">
            <v>Dulal Sarker</v>
          </cell>
          <cell r="D831" t="str">
            <v>Uttara</v>
          </cell>
          <cell r="E831" t="str">
            <v>Uttara</v>
          </cell>
          <cell r="T831">
            <v>47250</v>
          </cell>
          <cell r="X831">
            <v>30000</v>
          </cell>
          <cell r="AM831">
            <v>850</v>
          </cell>
          <cell r="AO831">
            <v>51100</v>
          </cell>
          <cell r="BA831">
            <v>381150</v>
          </cell>
        </row>
        <row r="832">
          <cell r="A832" t="str">
            <v>ETLCUST-02732</v>
          </cell>
          <cell r="B832" t="str">
            <v>IT PARK-FENI</v>
          </cell>
          <cell r="C832" t="str">
            <v>Reazuddin</v>
          </cell>
          <cell r="D832" t="str">
            <v>CTG</v>
          </cell>
          <cell r="E832" t="str">
            <v>CTG</v>
          </cell>
          <cell r="AJ832">
            <v>16000</v>
          </cell>
          <cell r="AL832">
            <v>59000</v>
          </cell>
          <cell r="BA832">
            <v>42490</v>
          </cell>
        </row>
        <row r="833">
          <cell r="A833" t="str">
            <v>ETLCUST-03672</v>
          </cell>
          <cell r="B833" t="str">
            <v>IT PLACE - MULTIPLAN</v>
          </cell>
          <cell r="C833" t="str">
            <v>Md. Anamul Hoque</v>
          </cell>
          <cell r="D833" t="str">
            <v>Multiplan</v>
          </cell>
          <cell r="E833" t="str">
            <v>Multiplan</v>
          </cell>
          <cell r="P833">
            <v>16000</v>
          </cell>
        </row>
        <row r="834">
          <cell r="A834" t="str">
            <v>ETLCUST-00252</v>
          </cell>
          <cell r="B834" t="str">
            <v>IT RELATION - SYLHET</v>
          </cell>
          <cell r="C834" t="str">
            <v>Amit Das</v>
          </cell>
          <cell r="D834" t="str">
            <v>Sylhet</v>
          </cell>
          <cell r="E834" t="str">
            <v>Sylhet</v>
          </cell>
          <cell r="AK834">
            <v>26000</v>
          </cell>
          <cell r="AL834">
            <v>11000</v>
          </cell>
          <cell r="AM834">
            <v>1140</v>
          </cell>
          <cell r="BA834">
            <v>31000</v>
          </cell>
        </row>
        <row r="835">
          <cell r="A835" t="str">
            <v>ETLCUST-05397</v>
          </cell>
          <cell r="B835" t="str">
            <v>IT SECEERITY - THAKURGAON</v>
          </cell>
          <cell r="C835" t="str">
            <v>Akramul Haque</v>
          </cell>
          <cell r="D835" t="str">
            <v>North Bengal</v>
          </cell>
          <cell r="E835" t="str">
            <v>North Bengal</v>
          </cell>
          <cell r="X835">
            <v>256550</v>
          </cell>
        </row>
        <row r="836">
          <cell r="A836" t="str">
            <v>ETLCUST-01328</v>
          </cell>
          <cell r="B836" t="str">
            <v>IT SOLUTION COMPUTER AND TECHNOLOGY - FENI</v>
          </cell>
          <cell r="C836" t="str">
            <v>Reazuddin</v>
          </cell>
          <cell r="D836" t="str">
            <v>CTG</v>
          </cell>
          <cell r="E836" t="str">
            <v>CTG</v>
          </cell>
          <cell r="X836">
            <v>1980900</v>
          </cell>
        </row>
        <row r="837">
          <cell r="A837" t="str">
            <v>ETLCUST-01444</v>
          </cell>
          <cell r="B837" t="str">
            <v>IT SOURCE - GAZIPUR</v>
          </cell>
          <cell r="C837" t="str">
            <v>Md. Rahad</v>
          </cell>
          <cell r="D837" t="str">
            <v>Uttara</v>
          </cell>
          <cell r="E837" t="str">
            <v>Uttara</v>
          </cell>
          <cell r="P837">
            <v>12800</v>
          </cell>
        </row>
        <row r="838">
          <cell r="A838" t="str">
            <v>ETLCUST-00010</v>
          </cell>
          <cell r="B838" t="str">
            <v>IT SPACE - THAKURGAON</v>
          </cell>
          <cell r="C838" t="str">
            <v>Akramul Haque</v>
          </cell>
          <cell r="D838" t="str">
            <v>North Bengal</v>
          </cell>
          <cell r="E838" t="str">
            <v>North Bengal</v>
          </cell>
          <cell r="G838">
            <v>43000</v>
          </cell>
          <cell r="P838">
            <v>30300</v>
          </cell>
          <cell r="R838">
            <v>312000</v>
          </cell>
          <cell r="AK838">
            <v>13000</v>
          </cell>
          <cell r="AL838">
            <v>39750</v>
          </cell>
          <cell r="AM838">
            <v>29000</v>
          </cell>
          <cell r="AO838">
            <v>52550</v>
          </cell>
          <cell r="BA838">
            <v>626980</v>
          </cell>
        </row>
        <row r="839">
          <cell r="A839" t="str">
            <v>ETLCUST-03801</v>
          </cell>
          <cell r="B839" t="str">
            <v>IT STORE - GULSHAN</v>
          </cell>
          <cell r="C839" t="str">
            <v>Jiku Saha</v>
          </cell>
          <cell r="D839" t="str">
            <v>Uttara</v>
          </cell>
          <cell r="E839" t="str">
            <v>Uttara</v>
          </cell>
          <cell r="AZ839">
            <v>15400</v>
          </cell>
          <cell r="BA839">
            <v>266710</v>
          </cell>
        </row>
        <row r="840">
          <cell r="A840" t="str">
            <v>ETLCUST-01341</v>
          </cell>
          <cell r="B840" t="str">
            <v>IT VILLAGE - CUMILLA</v>
          </cell>
          <cell r="C840" t="str">
            <v>Nazmul Amin Sajib</v>
          </cell>
          <cell r="D840" t="str">
            <v>CTG</v>
          </cell>
          <cell r="E840" t="str">
            <v>CTG</v>
          </cell>
          <cell r="AM840">
            <v>120175</v>
          </cell>
          <cell r="AQ840">
            <v>0</v>
          </cell>
          <cell r="BA840">
            <v>687220</v>
          </cell>
        </row>
        <row r="841">
          <cell r="A841" t="str">
            <v>ETLCUST-00139</v>
          </cell>
          <cell r="B841" t="str">
            <v>IT VISTA - UTTARA</v>
          </cell>
          <cell r="C841" t="str">
            <v>Dulal Sarker</v>
          </cell>
          <cell r="D841" t="str">
            <v>Uttara</v>
          </cell>
          <cell r="E841" t="str">
            <v>Uttara</v>
          </cell>
          <cell r="H841">
            <v>119000</v>
          </cell>
          <cell r="I841">
            <v>51000</v>
          </cell>
          <cell r="P841">
            <v>115500</v>
          </cell>
          <cell r="Q841">
            <v>1780</v>
          </cell>
          <cell r="R841">
            <v>53500</v>
          </cell>
          <cell r="S841">
            <v>0</v>
          </cell>
          <cell r="U841">
            <v>121100</v>
          </cell>
          <cell r="X841">
            <v>104300</v>
          </cell>
          <cell r="AA841">
            <v>-29000</v>
          </cell>
          <cell r="AL841">
            <v>19900</v>
          </cell>
          <cell r="AR841">
            <v>166500</v>
          </cell>
          <cell r="AV841">
            <v>75900</v>
          </cell>
          <cell r="BA841">
            <v>523400</v>
          </cell>
        </row>
        <row r="842">
          <cell r="A842" t="str">
            <v>ETLCUST-03746</v>
          </cell>
          <cell r="B842" t="str">
            <v>IT WORLD - RAJBARI</v>
          </cell>
          <cell r="C842" t="str">
            <v>Hanif shek</v>
          </cell>
          <cell r="D842" t="str">
            <v>South Bengal</v>
          </cell>
          <cell r="E842" t="str">
            <v>South Bengal</v>
          </cell>
          <cell r="G842">
            <v>20400</v>
          </cell>
          <cell r="L842">
            <v>99100</v>
          </cell>
          <cell r="P842">
            <v>38400</v>
          </cell>
          <cell r="R842">
            <v>115300</v>
          </cell>
          <cell r="V842">
            <v>55000</v>
          </cell>
          <cell r="AJ842">
            <v>54050</v>
          </cell>
          <cell r="AQ842">
            <v>0</v>
          </cell>
          <cell r="BA842">
            <v>914590</v>
          </cell>
        </row>
        <row r="843">
          <cell r="A843" t="str">
            <v>ETLCUST-02900</v>
          </cell>
          <cell r="B843" t="str">
            <v>IT'S SIMPLE COMPUTER HOUSE - SHERPUR</v>
          </cell>
          <cell r="C843" t="str">
            <v>Md. Raihan Shohag</v>
          </cell>
          <cell r="D843" t="str">
            <v>North Bengal</v>
          </cell>
          <cell r="E843" t="str">
            <v>North Bengal</v>
          </cell>
          <cell r="X843">
            <v>12000</v>
          </cell>
          <cell r="BA843">
            <v>8200</v>
          </cell>
        </row>
        <row r="844">
          <cell r="A844" t="str">
            <v>ETLCUST-05010</v>
          </cell>
          <cell r="B844" t="str">
            <v>IT-WALA - MOTIJHEEL</v>
          </cell>
          <cell r="C844" t="str">
            <v>Hridoy Chandra Das</v>
          </cell>
          <cell r="D844" t="str">
            <v>Motijheel</v>
          </cell>
          <cell r="E844" t="str">
            <v>Motijheel</v>
          </cell>
          <cell r="U844">
            <v>22500</v>
          </cell>
          <cell r="X844">
            <v>72800</v>
          </cell>
          <cell r="AV844">
            <v>15000</v>
          </cell>
        </row>
        <row r="845">
          <cell r="A845" t="str">
            <v>ETLCUST-00069</v>
          </cell>
          <cell r="B845" t="str">
            <v>J.B ELECTRONICS - SAVAR</v>
          </cell>
          <cell r="C845" t="str">
            <v>Biplop Kumar</v>
          </cell>
          <cell r="D845" t="str">
            <v>DHK-EXT</v>
          </cell>
          <cell r="E845" t="str">
            <v>DHK-EXT</v>
          </cell>
          <cell r="AM845">
            <v>282690</v>
          </cell>
          <cell r="AZ845">
            <v>14200</v>
          </cell>
          <cell r="BA845">
            <v>2253945</v>
          </cell>
        </row>
        <row r="846">
          <cell r="A846" t="str">
            <v>ETLCUST-03893</v>
          </cell>
          <cell r="B846" t="str">
            <v>J.B IT - MOTIJHEEL</v>
          </cell>
          <cell r="C846" t="str">
            <v>Hridoy Chandra Das</v>
          </cell>
          <cell r="D846" t="str">
            <v>Motijheel</v>
          </cell>
          <cell r="E846" t="str">
            <v>Motijheel</v>
          </cell>
          <cell r="AP846">
            <v>11500</v>
          </cell>
        </row>
        <row r="847">
          <cell r="A847" t="str">
            <v>ETLCUST-03681</v>
          </cell>
          <cell r="B847" t="str">
            <v>J.B.L ELECTRIC - BHANDARIA</v>
          </cell>
          <cell r="C847" t="str">
            <v>Md. Aminul Islam</v>
          </cell>
          <cell r="D847" t="str">
            <v>South Bengal</v>
          </cell>
          <cell r="E847" t="str">
            <v>South Bengal</v>
          </cell>
          <cell r="G847">
            <v>101400</v>
          </cell>
          <cell r="Z847">
            <v>50000</v>
          </cell>
          <cell r="AM847">
            <v>28200</v>
          </cell>
          <cell r="BA847">
            <v>481760</v>
          </cell>
        </row>
        <row r="848">
          <cell r="A848" t="str">
            <v>ETLCUST-04303</v>
          </cell>
          <cell r="B848" t="str">
            <v>J.K ELECTRONICS - JESSORE</v>
          </cell>
          <cell r="C848" t="str">
            <v>Md Husaun</v>
          </cell>
          <cell r="D848" t="str">
            <v>Khulna</v>
          </cell>
          <cell r="E848" t="str">
            <v>Khulna</v>
          </cell>
          <cell r="G848">
            <v>500000</v>
          </cell>
          <cell r="S848">
            <v>0</v>
          </cell>
          <cell r="T848">
            <v>339250</v>
          </cell>
          <cell r="AL848">
            <v>265320</v>
          </cell>
          <cell r="AM848">
            <v>421180</v>
          </cell>
          <cell r="AQ848">
            <v>0</v>
          </cell>
          <cell r="AZ848">
            <v>103600</v>
          </cell>
          <cell r="BA848">
            <v>5107055</v>
          </cell>
        </row>
        <row r="849">
          <cell r="A849" t="str">
            <v>ETLCUST-04856</v>
          </cell>
          <cell r="B849" t="str">
            <v xml:space="preserve">J.M INTERNATIONAL - Motijheel </v>
          </cell>
          <cell r="C849" t="str">
            <v>Hridoy Chandra Das</v>
          </cell>
          <cell r="D849" t="str">
            <v>Motijheel</v>
          </cell>
          <cell r="E849" t="str">
            <v>Motijheel</v>
          </cell>
          <cell r="T849">
            <v>1348650</v>
          </cell>
          <cell r="X849">
            <v>7828550</v>
          </cell>
        </row>
        <row r="850">
          <cell r="A850" t="str">
            <v>ETLCUST-00312</v>
          </cell>
          <cell r="B850" t="str">
            <v>J.N COMPUTER - MULTIPLAN</v>
          </cell>
          <cell r="C850" t="str">
            <v>Mohammad Mostofa</v>
          </cell>
          <cell r="D850" t="str">
            <v>Multiplan</v>
          </cell>
          <cell r="E850" t="str">
            <v>Multiplan</v>
          </cell>
          <cell r="R850">
            <v>12500</v>
          </cell>
        </row>
        <row r="851">
          <cell r="A851" t="str">
            <v>ETLCUST-01277</v>
          </cell>
          <cell r="B851" t="str">
            <v>J.S COMPUTER - MYMENSINGH</v>
          </cell>
          <cell r="C851" t="str">
            <v>Rafiqul Islam Sumon</v>
          </cell>
          <cell r="D851" t="str">
            <v>Mymensingh</v>
          </cell>
          <cell r="E851" t="str">
            <v>Mymensingh</v>
          </cell>
          <cell r="R851">
            <v>36800</v>
          </cell>
          <cell r="S851">
            <v>0</v>
          </cell>
          <cell r="AM851">
            <v>425</v>
          </cell>
          <cell r="AR851">
            <v>36500</v>
          </cell>
          <cell r="BA851">
            <v>347235</v>
          </cell>
        </row>
        <row r="852">
          <cell r="A852" t="str">
            <v>ETLCUST-00468</v>
          </cell>
          <cell r="B852" t="str">
            <v>JAFRIN ENTERPRISE - GULISTAN</v>
          </cell>
          <cell r="C852" t="str">
            <v>Md Kamrul Hasan Sabuz</v>
          </cell>
          <cell r="D852" t="str">
            <v>Gulistan</v>
          </cell>
          <cell r="E852" t="str">
            <v>Gulistan</v>
          </cell>
          <cell r="AZ852">
            <v>2652950</v>
          </cell>
        </row>
        <row r="853">
          <cell r="A853" t="str">
            <v>ETLCUST-04919</v>
          </cell>
          <cell r="B853" t="str">
            <v>JAHANARA ENTERPRISE - GULISTAN</v>
          </cell>
          <cell r="C853" t="str">
            <v>Noor Hossain</v>
          </cell>
          <cell r="D853" t="str">
            <v>Gulistan</v>
          </cell>
          <cell r="E853" t="str">
            <v>Gulistan</v>
          </cell>
          <cell r="G853">
            <v>224000</v>
          </cell>
          <cell r="X853">
            <v>54000</v>
          </cell>
        </row>
        <row r="854">
          <cell r="A854" t="str">
            <v>ETLCUST-00912</v>
          </cell>
          <cell r="B854" t="str">
            <v>JAHANGIR COMPUTER - KUSHTIA</v>
          </cell>
          <cell r="C854" t="str">
            <v>Md Rakibul Islam</v>
          </cell>
          <cell r="D854" t="str">
            <v>South Bengal</v>
          </cell>
          <cell r="E854" t="str">
            <v>South Bengal</v>
          </cell>
          <cell r="G854">
            <v>288300</v>
          </cell>
          <cell r="R854">
            <v>15600</v>
          </cell>
          <cell r="S854">
            <v>0</v>
          </cell>
          <cell r="V854">
            <v>5000</v>
          </cell>
          <cell r="X854">
            <v>597250</v>
          </cell>
          <cell r="AM854">
            <v>87885</v>
          </cell>
          <cell r="AQ854">
            <v>0</v>
          </cell>
          <cell r="BA854">
            <v>789135</v>
          </cell>
        </row>
        <row r="855">
          <cell r="A855" t="str">
            <v>ETLCUST-01539</v>
          </cell>
          <cell r="B855" t="str">
            <v>JANANI COMPUTER - KHAGRACHARI</v>
          </cell>
          <cell r="C855" t="str">
            <v>Md. Mamunur Rashid</v>
          </cell>
          <cell r="D855" t="str">
            <v>CTG</v>
          </cell>
          <cell r="E855" t="str">
            <v>CTG</v>
          </cell>
          <cell r="AM855">
            <v>380</v>
          </cell>
          <cell r="AO855">
            <v>62775</v>
          </cell>
          <cell r="AR855">
            <v>7500</v>
          </cell>
          <cell r="BA855">
            <v>124920</v>
          </cell>
        </row>
        <row r="856">
          <cell r="A856" t="str">
            <v>ETLCUST-01041</v>
          </cell>
          <cell r="B856" t="str">
            <v>JANANI COMPUTERS - CTG</v>
          </cell>
          <cell r="C856" t="str">
            <v>Manjurul Huda Parvez</v>
          </cell>
          <cell r="D856" t="str">
            <v>CTG</v>
          </cell>
          <cell r="E856" t="str">
            <v>CTG</v>
          </cell>
          <cell r="H856">
            <v>48000</v>
          </cell>
          <cell r="P856">
            <v>404500</v>
          </cell>
          <cell r="R856">
            <v>272500</v>
          </cell>
          <cell r="S856">
            <v>0</v>
          </cell>
          <cell r="T856">
            <v>4800</v>
          </cell>
          <cell r="U856">
            <v>46860</v>
          </cell>
          <cell r="V856">
            <v>3400</v>
          </cell>
          <cell r="X856">
            <v>452400</v>
          </cell>
          <cell r="Y856">
            <v>295000</v>
          </cell>
          <cell r="AF856">
            <v>49100</v>
          </cell>
          <cell r="AJ856">
            <v>11650</v>
          </cell>
          <cell r="AL856">
            <v>156850</v>
          </cell>
          <cell r="AM856">
            <v>487140</v>
          </cell>
          <cell r="AO856">
            <v>7850</v>
          </cell>
          <cell r="AP856">
            <v>17500</v>
          </cell>
          <cell r="AR856">
            <v>34400</v>
          </cell>
          <cell r="AT856">
            <v>8800</v>
          </cell>
          <cell r="AV856">
            <v>314450</v>
          </cell>
          <cell r="BA856">
            <v>2648235</v>
          </cell>
        </row>
        <row r="857">
          <cell r="A857" t="str">
            <v>ETLCUST-05252</v>
          </cell>
          <cell r="B857" t="str">
            <v>JANATA BANK PLC.</v>
          </cell>
          <cell r="C857" t="str">
            <v>Md. Zakaria</v>
          </cell>
          <cell r="D857" t="str">
            <v>Tender</v>
          </cell>
          <cell r="E857" t="str">
            <v>Tender</v>
          </cell>
          <cell r="S857">
            <v>2194500</v>
          </cell>
          <cell r="U857">
            <v>68113.649999999994</v>
          </cell>
          <cell r="AF857">
            <v>5803290.6500000004</v>
          </cell>
        </row>
        <row r="858">
          <cell r="A858" t="str">
            <v>ETLCUST-05202</v>
          </cell>
          <cell r="B858" t="str">
            <v xml:space="preserve">JAPAN SOLAR &amp; ELECTRIC - GULISTAN </v>
          </cell>
          <cell r="C858" t="str">
            <v>Md Kamrul Hasan Sabuz</v>
          </cell>
          <cell r="D858" t="str">
            <v>Gulistan</v>
          </cell>
          <cell r="E858" t="str">
            <v>Gulistan</v>
          </cell>
          <cell r="S858">
            <v>0</v>
          </cell>
          <cell r="AK858">
            <v>459100</v>
          </cell>
        </row>
        <row r="859">
          <cell r="A859" t="str">
            <v>ETLCUST-00998</v>
          </cell>
          <cell r="B859" t="str">
            <v>JAZZ TECH COMPUTER - BOGRA</v>
          </cell>
          <cell r="C859" t="str">
            <v>Md Shahidul Islam</v>
          </cell>
          <cell r="D859" t="str">
            <v>North Bengal</v>
          </cell>
          <cell r="E859" t="str">
            <v>North Bengal</v>
          </cell>
          <cell r="G859">
            <v>100000</v>
          </cell>
          <cell r="R859">
            <v>1750900</v>
          </cell>
          <cell r="S859">
            <v>0</v>
          </cell>
          <cell r="AM859">
            <v>90165</v>
          </cell>
          <cell r="AR859">
            <v>54000</v>
          </cell>
          <cell r="BA859">
            <v>2747555</v>
          </cell>
        </row>
        <row r="860">
          <cell r="A860" t="str">
            <v>ETLCUST-00101</v>
          </cell>
          <cell r="B860" t="str">
            <v>J-ELECTRONICS AND WATCH - UTTARA</v>
          </cell>
          <cell r="C860" t="str">
            <v>Dulal Sarker</v>
          </cell>
          <cell r="D860" t="str">
            <v>Uttara</v>
          </cell>
          <cell r="E860" t="str">
            <v>Uttara</v>
          </cell>
          <cell r="Q860">
            <v>1350</v>
          </cell>
          <cell r="S860">
            <v>0</v>
          </cell>
          <cell r="X860">
            <v>302900</v>
          </cell>
          <cell r="AL860">
            <v>16165</v>
          </cell>
          <cell r="AM860">
            <v>3985</v>
          </cell>
          <cell r="BA860">
            <v>496525</v>
          </cell>
        </row>
        <row r="861">
          <cell r="A861" t="str">
            <v>ETLCUST-05144</v>
          </cell>
          <cell r="B861" t="str">
            <v>JF&amp;I PACKAGING (BD) LTD.</v>
          </cell>
          <cell r="C861" t="str">
            <v>Hasibul Hasan Symoon</v>
          </cell>
          <cell r="D861" t="str">
            <v>Corporate</v>
          </cell>
          <cell r="E861" t="str">
            <v>Corporate</v>
          </cell>
          <cell r="V861">
            <v>10000</v>
          </cell>
          <cell r="Y861">
            <v>295263</v>
          </cell>
        </row>
        <row r="862">
          <cell r="A862" t="str">
            <v>ETLCUST-03824</v>
          </cell>
          <cell r="B862" t="str">
            <v>JI TRADING CORPORATION - KAKRAIL</v>
          </cell>
          <cell r="C862" t="str">
            <v>Sabuj Das</v>
          </cell>
          <cell r="D862" t="str">
            <v>HO-SI</v>
          </cell>
          <cell r="E862" t="str">
            <v>HO-SI</v>
          </cell>
          <cell r="U862">
            <v>78300</v>
          </cell>
          <cell r="X862">
            <v>107500</v>
          </cell>
          <cell r="AJ862">
            <v>15000</v>
          </cell>
          <cell r="AR862">
            <v>149100</v>
          </cell>
          <cell r="AV862">
            <v>100200</v>
          </cell>
          <cell r="BA862">
            <v>18800</v>
          </cell>
        </row>
        <row r="863">
          <cell r="A863" t="str">
            <v>ETLCUST-04624</v>
          </cell>
          <cell r="B863" t="str">
            <v>JILANI TECHNOLOGIES - CHATTAGRAM</v>
          </cell>
          <cell r="C863" t="str">
            <v>Md. Mamunur Rashid</v>
          </cell>
          <cell r="D863" t="str">
            <v>CTG</v>
          </cell>
          <cell r="E863" t="str">
            <v>CTG</v>
          </cell>
          <cell r="X863">
            <v>21900</v>
          </cell>
          <cell r="AJ863">
            <v>20000</v>
          </cell>
          <cell r="AK863">
            <v>265860</v>
          </cell>
          <cell r="AL863">
            <v>17900</v>
          </cell>
          <cell r="AR863">
            <v>17000</v>
          </cell>
          <cell r="BA863">
            <v>181220</v>
          </cell>
        </row>
        <row r="864">
          <cell r="A864" t="str">
            <v>ETLCUST-04106</v>
          </cell>
          <cell r="B864" t="str">
            <v>JM COMPUTER - MULTIPLAN</v>
          </cell>
          <cell r="C864" t="str">
            <v>Md Mokshed Ali</v>
          </cell>
          <cell r="D864" t="str">
            <v>Multiplan</v>
          </cell>
          <cell r="E864" t="str">
            <v>Multiplan</v>
          </cell>
          <cell r="P864">
            <v>19200</v>
          </cell>
        </row>
        <row r="865">
          <cell r="A865" t="str">
            <v>ETLCUST-03572</v>
          </cell>
          <cell r="B865" t="str">
            <v>JM SYSTEM TECHNOLOGY - MYMENSINGH</v>
          </cell>
          <cell r="C865" t="str">
            <v>Rafiqul Islam Sumon</v>
          </cell>
          <cell r="D865" t="str">
            <v>Mymensingh</v>
          </cell>
          <cell r="E865" t="str">
            <v>Mymensingh</v>
          </cell>
          <cell r="G865">
            <v>106000</v>
          </cell>
          <cell r="Q865">
            <v>890</v>
          </cell>
          <cell r="S865">
            <v>0</v>
          </cell>
          <cell r="AL865">
            <v>37390</v>
          </cell>
          <cell r="AM865">
            <v>187900</v>
          </cell>
          <cell r="BA865">
            <v>1723575</v>
          </cell>
        </row>
        <row r="866">
          <cell r="A866" t="str">
            <v>ETLCUST-03679</v>
          </cell>
          <cell r="B866" t="str">
            <v>JMS TECHNOLOGY - MULTIPLAN</v>
          </cell>
          <cell r="C866" t="str">
            <v>Md Nur Karim Chowdhury</v>
          </cell>
          <cell r="D866" t="str">
            <v>Multiplan</v>
          </cell>
          <cell r="E866" t="str">
            <v>Multiplan</v>
          </cell>
          <cell r="AV866">
            <v>31400</v>
          </cell>
        </row>
        <row r="867">
          <cell r="A867" t="str">
            <v>ETLCUST-04258</v>
          </cell>
          <cell r="B867" t="str">
            <v>JNJ GLOBAL TECHNOLOGY LIMITED - DHANMONDI</v>
          </cell>
          <cell r="C867" t="str">
            <v>Md Tanjilur Rakib</v>
          </cell>
          <cell r="D867" t="str">
            <v>HO-SI</v>
          </cell>
          <cell r="E867" t="str">
            <v>HO-SI</v>
          </cell>
          <cell r="BA867">
            <v>787500</v>
          </cell>
        </row>
        <row r="868">
          <cell r="A868" t="str">
            <v>ETLCUST-01212</v>
          </cell>
          <cell r="B868" t="str">
            <v>JOYTI ELECTRONICS - B. MUKARRAM</v>
          </cell>
          <cell r="C868" t="str">
            <v>Noor Hossain</v>
          </cell>
          <cell r="D868" t="str">
            <v>Gulistan</v>
          </cell>
          <cell r="E868" t="str">
            <v>Gulistan</v>
          </cell>
          <cell r="AZ868">
            <v>369300</v>
          </cell>
        </row>
        <row r="869">
          <cell r="A869" t="str">
            <v>ETLCUST-04468</v>
          </cell>
          <cell r="B869" t="str">
            <v>JRB ENTERPRISE  - SREEPUR</v>
          </cell>
          <cell r="C869" t="str">
            <v>MD. Shipon Ali</v>
          </cell>
          <cell r="D869" t="str">
            <v>Uttara</v>
          </cell>
          <cell r="E869" t="str">
            <v>Uttara</v>
          </cell>
          <cell r="AM869">
            <v>55850</v>
          </cell>
          <cell r="AZ869">
            <v>604650</v>
          </cell>
          <cell r="BA869">
            <v>169270</v>
          </cell>
        </row>
        <row r="870">
          <cell r="A870" t="str">
            <v>ETLCUST-04725</v>
          </cell>
          <cell r="B870" t="str">
            <v>JRM TECHNOLOGY - CUMILLA</v>
          </cell>
          <cell r="C870" t="str">
            <v>Nazmul Amin Sajib</v>
          </cell>
          <cell r="D870" t="str">
            <v>CTG</v>
          </cell>
          <cell r="E870" t="str">
            <v>CTG</v>
          </cell>
          <cell r="P870">
            <v>12800</v>
          </cell>
          <cell r="T870">
            <v>605000</v>
          </cell>
          <cell r="X870">
            <v>3290436</v>
          </cell>
          <cell r="AL870">
            <v>30060</v>
          </cell>
          <cell r="AM870">
            <v>41950</v>
          </cell>
          <cell r="BA870">
            <v>154390</v>
          </cell>
        </row>
        <row r="871">
          <cell r="A871" t="str">
            <v>ETLCUST-02947</v>
          </cell>
          <cell r="B871" t="str">
            <v>JSL COMPUTER - JAMALPUR</v>
          </cell>
          <cell r="C871" t="str">
            <v>Md. Sujon Mia</v>
          </cell>
          <cell r="D871" t="str">
            <v>Mymensingh</v>
          </cell>
          <cell r="E871" t="str">
            <v>Mymensingh</v>
          </cell>
          <cell r="R871">
            <v>56400</v>
          </cell>
          <cell r="T871">
            <v>96410</v>
          </cell>
          <cell r="X871">
            <v>12500</v>
          </cell>
          <cell r="AZ871">
            <v>102000</v>
          </cell>
          <cell r="BA871">
            <v>16640</v>
          </cell>
        </row>
        <row r="872">
          <cell r="A872" t="str">
            <v>ETLCUST-03407</v>
          </cell>
          <cell r="B872" t="str">
            <v>JUHI COMPUTER - GAIBANDHA</v>
          </cell>
          <cell r="C872" t="str">
            <v>Md Abdullah Al Mamun</v>
          </cell>
          <cell r="D872" t="str">
            <v>North Bengal</v>
          </cell>
          <cell r="E872" t="str">
            <v>North Bengal</v>
          </cell>
          <cell r="AO872">
            <v>750</v>
          </cell>
        </row>
        <row r="873">
          <cell r="A873" t="str">
            <v>ETLCUST-04784</v>
          </cell>
          <cell r="B873" t="str">
            <v>K R COMPUTER - PATUAKHALI</v>
          </cell>
          <cell r="C873" t="str">
            <v>Shah Imran</v>
          </cell>
          <cell r="D873" t="str">
            <v>South Bengal</v>
          </cell>
          <cell r="E873" t="str">
            <v>South Bengal</v>
          </cell>
          <cell r="T873">
            <v>760</v>
          </cell>
          <cell r="X873">
            <v>466510</v>
          </cell>
          <cell r="AJ873">
            <v>13500</v>
          </cell>
          <cell r="AM873">
            <v>760</v>
          </cell>
          <cell r="AT873">
            <v>52500</v>
          </cell>
          <cell r="BA873">
            <v>250590</v>
          </cell>
        </row>
        <row r="874">
          <cell r="A874" t="str">
            <v>ETLCUST-04735</v>
          </cell>
          <cell r="B874" t="str">
            <v>K.R TECHNOLOGY - CTG</v>
          </cell>
          <cell r="C874" t="str">
            <v>Shahidul Alam Chowdhury</v>
          </cell>
          <cell r="D874" t="str">
            <v>CTG</v>
          </cell>
          <cell r="E874" t="str">
            <v>CTG</v>
          </cell>
          <cell r="P874">
            <v>38400</v>
          </cell>
          <cell r="AJ874">
            <v>2400</v>
          </cell>
          <cell r="BA874">
            <v>7450</v>
          </cell>
        </row>
        <row r="875">
          <cell r="A875" t="str">
            <v>ETLCUST-03880</v>
          </cell>
          <cell r="B875" t="str">
            <v>KA KHA COMPUTER - SHARIATPUR</v>
          </cell>
          <cell r="C875" t="str">
            <v>Hanif shek</v>
          </cell>
          <cell r="D875" t="str">
            <v>South Bengal</v>
          </cell>
          <cell r="E875" t="str">
            <v>South Bengal</v>
          </cell>
          <cell r="G875">
            <v>144500</v>
          </cell>
          <cell r="R875">
            <v>160000</v>
          </cell>
          <cell r="S875">
            <v>0</v>
          </cell>
          <cell r="X875">
            <v>465750</v>
          </cell>
          <cell r="AJ875">
            <v>7000</v>
          </cell>
          <cell r="AM875">
            <v>805</v>
          </cell>
          <cell r="BA875">
            <v>697400</v>
          </cell>
        </row>
        <row r="876">
          <cell r="A876" t="str">
            <v>ETLCUST-03009</v>
          </cell>
          <cell r="B876" t="str">
            <v>KAMAL ELECTRONICS - GULISTAN</v>
          </cell>
          <cell r="C876" t="str">
            <v>Md Kamrul Hasan Sabuz</v>
          </cell>
          <cell r="D876" t="str">
            <v>Gulistan</v>
          </cell>
          <cell r="E876" t="str">
            <v>Gulistan</v>
          </cell>
          <cell r="AZ876">
            <v>1214500</v>
          </cell>
        </row>
        <row r="877">
          <cell r="A877" t="str">
            <v>ETLCUST-04709</v>
          </cell>
          <cell r="B877" t="str">
            <v>KAMRUL TELECOM AND DISTRIBUTION - BARGUNA</v>
          </cell>
          <cell r="C877" t="str">
            <v>Shah Imran</v>
          </cell>
          <cell r="D877" t="str">
            <v>South Bengal</v>
          </cell>
          <cell r="E877" t="str">
            <v>South Bengal</v>
          </cell>
          <cell r="G877">
            <v>7140</v>
          </cell>
          <cell r="S877">
            <v>0</v>
          </cell>
          <cell r="AL877">
            <v>37710</v>
          </cell>
          <cell r="AM877">
            <v>30550</v>
          </cell>
          <cell r="AQ877">
            <v>0</v>
          </cell>
          <cell r="BA877">
            <v>227205</v>
          </cell>
        </row>
        <row r="878">
          <cell r="A878" t="str">
            <v>ETLCUST-04937</v>
          </cell>
          <cell r="B878" t="str">
            <v>KARATOA GLOBAL TECHNOLOGY - BOGURA</v>
          </cell>
          <cell r="C878" t="str">
            <v>Md Shahidul Islam</v>
          </cell>
          <cell r="D878" t="str">
            <v>North Bengal</v>
          </cell>
          <cell r="E878" t="str">
            <v>North Bengal</v>
          </cell>
          <cell r="R878">
            <v>7000</v>
          </cell>
        </row>
        <row r="879">
          <cell r="A879" t="str">
            <v>ETLCUST-04755</v>
          </cell>
          <cell r="B879" t="str">
            <v>KARNAPHULI SHOES INDUSTRIES LTD.</v>
          </cell>
          <cell r="C879" t="str">
            <v>Akter Hossen Nishan</v>
          </cell>
          <cell r="D879" t="str">
            <v>Corporate</v>
          </cell>
          <cell r="E879" t="str">
            <v>Corporate</v>
          </cell>
          <cell r="U879">
            <v>144750</v>
          </cell>
        </row>
        <row r="880">
          <cell r="A880" t="str">
            <v>ETLCUST-00804</v>
          </cell>
          <cell r="B880" t="str">
            <v>KAZI BROTHERS - RAJSHAHI</v>
          </cell>
          <cell r="C880" t="str">
            <v>Ahmed Bulbul</v>
          </cell>
          <cell r="D880" t="str">
            <v>Rajshahi</v>
          </cell>
          <cell r="E880" t="str">
            <v>Rajshahi</v>
          </cell>
          <cell r="R880">
            <v>873800</v>
          </cell>
          <cell r="AT880">
            <v>21600</v>
          </cell>
        </row>
        <row r="881">
          <cell r="A881" t="str">
            <v>ETLCUST-03501</v>
          </cell>
          <cell r="B881" t="str">
            <v>KAZI COMPUTER AND TECHNOLOGY - MULTIPLAN</v>
          </cell>
          <cell r="C881" t="str">
            <v>Mohammad Mostofa</v>
          </cell>
          <cell r="D881" t="str">
            <v>Multiplan</v>
          </cell>
          <cell r="E881" t="str">
            <v>Multiplan</v>
          </cell>
          <cell r="P881">
            <v>128000</v>
          </cell>
          <cell r="R881">
            <v>287760</v>
          </cell>
          <cell r="X881">
            <v>91200</v>
          </cell>
          <cell r="AJ881">
            <v>4070855</v>
          </cell>
          <cell r="AO881">
            <v>144050</v>
          </cell>
        </row>
        <row r="882">
          <cell r="A882" t="str">
            <v>ETLCUST-02637</v>
          </cell>
          <cell r="B882" t="str">
            <v>KAZI FARMS LTD.</v>
          </cell>
          <cell r="C882" t="str">
            <v>Shakil Ahmed</v>
          </cell>
          <cell r="D882" t="str">
            <v>Corporate</v>
          </cell>
          <cell r="E882" t="str">
            <v>Corporate</v>
          </cell>
          <cell r="M882">
            <v>9090.91</v>
          </cell>
          <cell r="U882">
            <v>138250</v>
          </cell>
        </row>
        <row r="883">
          <cell r="A883" t="str">
            <v>ETLCUST-04169</v>
          </cell>
          <cell r="B883" t="str">
            <v>KAZI HOLDINGS - BARISHAL</v>
          </cell>
          <cell r="C883" t="str">
            <v>Md. Aminul Islam</v>
          </cell>
          <cell r="D883" t="str">
            <v>South Bengal</v>
          </cell>
          <cell r="E883" t="str">
            <v>South Bengal</v>
          </cell>
          <cell r="S883">
            <v>0</v>
          </cell>
          <cell r="T883">
            <v>164350</v>
          </cell>
          <cell r="X883">
            <v>90750</v>
          </cell>
          <cell r="AL883">
            <v>4770</v>
          </cell>
          <cell r="BA883">
            <v>118500</v>
          </cell>
        </row>
        <row r="884">
          <cell r="A884" t="str">
            <v>ETLCUST-05312</v>
          </cell>
          <cell r="B884" t="str">
            <v>KB PETROCHEMICALS LTD.</v>
          </cell>
          <cell r="C884" t="str">
            <v>Md. Anisur Rahman</v>
          </cell>
          <cell r="D884" t="str">
            <v>Corporate</v>
          </cell>
          <cell r="E884" t="str">
            <v>Corporate</v>
          </cell>
          <cell r="U884">
            <v>82100</v>
          </cell>
        </row>
        <row r="885">
          <cell r="A885" t="str">
            <v>ETLCUST-03082</v>
          </cell>
          <cell r="B885" t="str">
            <v>KENPARK BANGLADESH APPAREL (PVT) LIMITED</v>
          </cell>
          <cell r="C885" t="str">
            <v>Sayed Golam Murtuza</v>
          </cell>
          <cell r="D885" t="str">
            <v>Corporate</v>
          </cell>
          <cell r="E885" t="str">
            <v>Corporate</v>
          </cell>
          <cell r="M885">
            <v>10500</v>
          </cell>
          <cell r="R885">
            <v>44210</v>
          </cell>
          <cell r="S885">
            <v>288820</v>
          </cell>
          <cell r="U885">
            <v>356082</v>
          </cell>
          <cell r="X885">
            <v>225850</v>
          </cell>
          <cell r="AR885">
            <v>7450</v>
          </cell>
          <cell r="AU885">
            <v>6320</v>
          </cell>
          <cell r="AW885">
            <v>0</v>
          </cell>
          <cell r="AY885">
            <v>39517.979999999996</v>
          </cell>
        </row>
        <row r="886">
          <cell r="A886" t="str">
            <v>ETLCUST-04075</v>
          </cell>
          <cell r="B886" t="str">
            <v>KHADIM CERAMICS LTD.</v>
          </cell>
          <cell r="C886" t="str">
            <v>Ashraful Islam</v>
          </cell>
          <cell r="D886" t="str">
            <v>Corporate</v>
          </cell>
          <cell r="E886" t="str">
            <v>Corporate</v>
          </cell>
          <cell r="U886">
            <v>4150</v>
          </cell>
        </row>
        <row r="887">
          <cell r="A887" t="str">
            <v>ETLCUST-04522</v>
          </cell>
          <cell r="B887" t="str">
            <v>KHAN &amp; SONS - STADIUM MARKET</v>
          </cell>
          <cell r="C887" t="str">
            <v>Shamim Hossain</v>
          </cell>
          <cell r="D887" t="str">
            <v>Gulistan</v>
          </cell>
          <cell r="E887" t="str">
            <v>Gulistan</v>
          </cell>
          <cell r="AZ887">
            <v>607200</v>
          </cell>
        </row>
        <row r="888">
          <cell r="A888" t="str">
            <v>ETLCUST-00991</v>
          </cell>
          <cell r="B888" t="str">
            <v>KHAN COMPUTER - BOGRA</v>
          </cell>
          <cell r="C888" t="str">
            <v>Md Shahidul Islam</v>
          </cell>
          <cell r="D888" t="str">
            <v>North Bengal</v>
          </cell>
          <cell r="E888" t="str">
            <v>North Bengal</v>
          </cell>
          <cell r="G888">
            <v>448000</v>
          </cell>
          <cell r="L888">
            <v>980000</v>
          </cell>
          <cell r="R888">
            <v>1011000</v>
          </cell>
          <cell r="AF888">
            <v>27500</v>
          </cell>
          <cell r="AL888">
            <v>52350</v>
          </cell>
          <cell r="AM888">
            <v>605990</v>
          </cell>
          <cell r="AN888">
            <v>140000</v>
          </cell>
          <cell r="AO888">
            <v>204450</v>
          </cell>
          <cell r="BA888">
            <v>8071700</v>
          </cell>
        </row>
        <row r="889">
          <cell r="A889" t="str">
            <v>ETLCUST-03780</v>
          </cell>
          <cell r="B889" t="str">
            <v>KHAN COMPUTER CC CAMERA AND LAPTOP CENTER - NETRAKONA</v>
          </cell>
          <cell r="C889" t="str">
            <v>Rafiqul Islam Sumon</v>
          </cell>
          <cell r="D889" t="str">
            <v>Mymensingh</v>
          </cell>
          <cell r="E889" t="str">
            <v>Mymensingh</v>
          </cell>
          <cell r="AM889">
            <v>21950</v>
          </cell>
          <cell r="BA889">
            <v>91990</v>
          </cell>
        </row>
        <row r="890">
          <cell r="A890" t="str">
            <v>ETLCUST-04264</v>
          </cell>
          <cell r="B890" t="str">
            <v>KHAN ELECTRONICS - BOGURA</v>
          </cell>
          <cell r="C890" t="str">
            <v>Md. Raihan Shohag</v>
          </cell>
          <cell r="D890" t="str">
            <v>North Bengal</v>
          </cell>
          <cell r="E890" t="str">
            <v>North Bengal</v>
          </cell>
          <cell r="G890">
            <v>297000</v>
          </cell>
          <cell r="X890">
            <v>17000</v>
          </cell>
          <cell r="AL890">
            <v>39750</v>
          </cell>
          <cell r="AM890">
            <v>379840</v>
          </cell>
          <cell r="BA890">
            <v>803595</v>
          </cell>
        </row>
        <row r="891">
          <cell r="A891" t="str">
            <v>ETLCUST-05190</v>
          </cell>
          <cell r="B891" t="str">
            <v>KHAN IT PARK - JHALOKATHI</v>
          </cell>
          <cell r="C891" t="str">
            <v>Md. Aminul Islam</v>
          </cell>
          <cell r="D891" t="str">
            <v>South Bengal</v>
          </cell>
          <cell r="E891" t="str">
            <v>South Bengal</v>
          </cell>
          <cell r="BA891">
            <v>2450</v>
          </cell>
        </row>
        <row r="892">
          <cell r="A892" t="str">
            <v>ETLCUST-03189</v>
          </cell>
          <cell r="B892" t="str">
            <v>KHANIKA SMART GALLERY -BARISHAL</v>
          </cell>
          <cell r="C892" t="str">
            <v>Shah Imran</v>
          </cell>
          <cell r="D892" t="str">
            <v>South Bengal</v>
          </cell>
          <cell r="E892" t="str">
            <v>South Bengal</v>
          </cell>
          <cell r="AM892">
            <v>2000</v>
          </cell>
        </row>
        <row r="893">
          <cell r="A893" t="str">
            <v>ETLCUST-03160</v>
          </cell>
          <cell r="B893" t="str">
            <v>KHONDOKAR COMPUTER - PABNA</v>
          </cell>
          <cell r="C893" t="str">
            <v>Forhad Rubel</v>
          </cell>
          <cell r="D893" t="str">
            <v>North Bengal</v>
          </cell>
          <cell r="E893" t="str">
            <v>North Bengal</v>
          </cell>
          <cell r="P893">
            <v>67200</v>
          </cell>
          <cell r="X893">
            <v>24200</v>
          </cell>
          <cell r="AL893">
            <v>9275</v>
          </cell>
          <cell r="BA893">
            <v>38210</v>
          </cell>
        </row>
        <row r="894">
          <cell r="A894" t="str">
            <v>ETLCUST-03287</v>
          </cell>
          <cell r="B894" t="str">
            <v>KHULNA ONLINE - KHULNA</v>
          </cell>
          <cell r="C894" t="str">
            <v>Imrul Rayhan</v>
          </cell>
          <cell r="D894" t="str">
            <v>Khulna</v>
          </cell>
          <cell r="E894" t="str">
            <v>Khulna</v>
          </cell>
          <cell r="BA894">
            <v>5000</v>
          </cell>
        </row>
        <row r="895">
          <cell r="A895" t="str">
            <v>ETLCUST-05436</v>
          </cell>
          <cell r="B895" t="str">
            <v>KIRON ENTERPRISE - SYLHET</v>
          </cell>
          <cell r="C895" t="str">
            <v>Md. Khurshed Alam</v>
          </cell>
          <cell r="D895" t="str">
            <v>DIGITAL LIFESTYLE</v>
          </cell>
          <cell r="E895" t="str">
            <v>DIGITAL LIFESTYLE</v>
          </cell>
          <cell r="AO895">
            <v>35850</v>
          </cell>
        </row>
        <row r="896">
          <cell r="A896" t="str">
            <v>ETLCUST-00029</v>
          </cell>
          <cell r="B896" t="str">
            <v>KNIGHT ELECTRONICS - DINAJPUR</v>
          </cell>
          <cell r="C896" t="str">
            <v>Akramul Haque</v>
          </cell>
          <cell r="D896" t="str">
            <v>North Bengal</v>
          </cell>
          <cell r="E896" t="str">
            <v>North Bengal</v>
          </cell>
          <cell r="G896">
            <v>1787120</v>
          </cell>
          <cell r="T896">
            <v>859400</v>
          </cell>
          <cell r="X896">
            <v>849500</v>
          </cell>
          <cell r="AL896">
            <v>47700</v>
          </cell>
          <cell r="AM896">
            <v>996660</v>
          </cell>
          <cell r="AQ896">
            <v>0</v>
          </cell>
          <cell r="BA896">
            <v>6235565</v>
          </cell>
        </row>
        <row r="897">
          <cell r="A897" t="str">
            <v>ETLCUST-01272</v>
          </cell>
          <cell r="B897" t="str">
            <v>KONA COMPUTER - JAMALPUR</v>
          </cell>
          <cell r="C897" t="str">
            <v>Md. Sujon Mia</v>
          </cell>
          <cell r="D897" t="str">
            <v>Mymensingh</v>
          </cell>
          <cell r="E897" t="str">
            <v>Mymensingh</v>
          </cell>
          <cell r="R897">
            <v>52000</v>
          </cell>
          <cell r="S897">
            <v>0</v>
          </cell>
          <cell r="T897">
            <v>42000</v>
          </cell>
          <cell r="V897">
            <v>24000</v>
          </cell>
          <cell r="AM897">
            <v>850</v>
          </cell>
          <cell r="AQ897">
            <v>0</v>
          </cell>
          <cell r="AR897">
            <v>22200</v>
          </cell>
          <cell r="BA897">
            <v>974785</v>
          </cell>
        </row>
        <row r="898">
          <cell r="A898" t="str">
            <v>ETLCUST-00273</v>
          </cell>
          <cell r="B898" t="str">
            <v>K-ONE TECHNOLOGIES - SYLHET</v>
          </cell>
          <cell r="C898" t="str">
            <v>Kunjaraj Singha</v>
          </cell>
          <cell r="D898" t="str">
            <v>Sylhet</v>
          </cell>
          <cell r="E898" t="str">
            <v>Sylhet</v>
          </cell>
          <cell r="P898">
            <v>387000</v>
          </cell>
          <cell r="S898">
            <v>0</v>
          </cell>
          <cell r="T898">
            <v>2471150</v>
          </cell>
          <cell r="V898">
            <v>100000</v>
          </cell>
          <cell r="X898">
            <v>6006050</v>
          </cell>
          <cell r="AJ898">
            <v>150600</v>
          </cell>
          <cell r="AK898">
            <v>3400</v>
          </cell>
          <cell r="AL898">
            <v>684850</v>
          </cell>
          <cell r="AM898">
            <v>9400</v>
          </cell>
          <cell r="AO898">
            <v>1200</v>
          </cell>
          <cell r="BA898">
            <v>15120135</v>
          </cell>
        </row>
        <row r="899">
          <cell r="A899" t="str">
            <v>ETLCUST-00722</v>
          </cell>
          <cell r="B899" t="str">
            <v>KOPOTAKKHO ELECTRONICS - JESSORE</v>
          </cell>
          <cell r="C899" t="str">
            <v>Md Husaun</v>
          </cell>
          <cell r="D899" t="str">
            <v>Khulna</v>
          </cell>
          <cell r="E899" t="str">
            <v>Khulna</v>
          </cell>
          <cell r="AM899">
            <v>805</v>
          </cell>
          <cell r="AR899">
            <v>5600</v>
          </cell>
          <cell r="BA899">
            <v>218910</v>
          </cell>
        </row>
        <row r="900">
          <cell r="A900" t="str">
            <v>ETLCUST-03889</v>
          </cell>
          <cell r="B900" t="str">
            <v>KOTWAL COMPUTER - KUSHTIA</v>
          </cell>
          <cell r="C900" t="str">
            <v>Md Rakibul Islam</v>
          </cell>
          <cell r="D900" t="str">
            <v>South Bengal</v>
          </cell>
          <cell r="E900" t="str">
            <v>South Bengal</v>
          </cell>
          <cell r="G900">
            <v>20400</v>
          </cell>
          <cell r="P900">
            <v>12800</v>
          </cell>
          <cell r="S900">
            <v>0</v>
          </cell>
          <cell r="V900">
            <v>9470</v>
          </cell>
          <cell r="X900">
            <v>174775</v>
          </cell>
          <cell r="AL900">
            <v>9350</v>
          </cell>
          <cell r="AM900">
            <v>2735</v>
          </cell>
          <cell r="AZ900">
            <v>23050</v>
          </cell>
          <cell r="BA900">
            <v>234145</v>
          </cell>
        </row>
        <row r="901">
          <cell r="A901" t="str">
            <v>ETLCUST-04361</v>
          </cell>
          <cell r="B901" t="str">
            <v>KPJ DHAKA (PTE) LTD.</v>
          </cell>
          <cell r="C901" t="str">
            <v>Hasibul Hasan Symoon</v>
          </cell>
          <cell r="D901" t="str">
            <v>Corporate</v>
          </cell>
          <cell r="E901" t="str">
            <v>Corporate</v>
          </cell>
          <cell r="H901">
            <v>151578</v>
          </cell>
          <cell r="M901">
            <v>28440</v>
          </cell>
          <cell r="S901">
            <v>7400</v>
          </cell>
          <cell r="X901">
            <v>43800</v>
          </cell>
          <cell r="AR901">
            <v>184205</v>
          </cell>
        </row>
        <row r="902">
          <cell r="A902" t="str">
            <v>ETLCUST-00984</v>
          </cell>
          <cell r="B902" t="str">
            <v>KR SYSTEM - PABNA</v>
          </cell>
          <cell r="C902" t="str">
            <v>Forhad Rubel</v>
          </cell>
          <cell r="D902" t="str">
            <v>North Bengal</v>
          </cell>
          <cell r="E902" t="str">
            <v>North Bengal</v>
          </cell>
          <cell r="P902">
            <v>64000</v>
          </cell>
          <cell r="X902">
            <v>398236</v>
          </cell>
          <cell r="AL902">
            <v>39750</v>
          </cell>
          <cell r="AM902">
            <v>85225</v>
          </cell>
          <cell r="AT902">
            <v>25000</v>
          </cell>
          <cell r="BA902">
            <v>730135</v>
          </cell>
        </row>
        <row r="903">
          <cell r="A903" t="str">
            <v>ETLCUST-04565</v>
          </cell>
          <cell r="B903" t="str">
            <v>KRN COMPUTER - BARISHAL</v>
          </cell>
          <cell r="C903" t="str">
            <v>Shah Imran</v>
          </cell>
          <cell r="D903" t="str">
            <v>South Bengal</v>
          </cell>
          <cell r="E903" t="str">
            <v>South Bengal</v>
          </cell>
          <cell r="P903">
            <v>38400</v>
          </cell>
          <cell r="Q903">
            <v>890</v>
          </cell>
          <cell r="S903">
            <v>0</v>
          </cell>
          <cell r="AM903">
            <v>0</v>
          </cell>
          <cell r="AT903">
            <v>76000</v>
          </cell>
          <cell r="BA903">
            <v>342580</v>
          </cell>
        </row>
        <row r="904">
          <cell r="A904" t="str">
            <v>ETLCUST-04738</v>
          </cell>
          <cell r="B904" t="str">
            <v>KRN SOLUTION - MOTIJHEEL</v>
          </cell>
          <cell r="C904" t="str">
            <v>Hridoy Chandra Das</v>
          </cell>
          <cell r="D904" t="str">
            <v>Motijheel</v>
          </cell>
          <cell r="E904" t="str">
            <v>Motijheel</v>
          </cell>
          <cell r="U904">
            <v>165300</v>
          </cell>
        </row>
        <row r="905">
          <cell r="A905" t="str">
            <v>ETLCUST-04422</v>
          </cell>
          <cell r="B905" t="str">
            <v>L.K WIFI ZONE - SATKHIRA</v>
          </cell>
          <cell r="C905" t="str">
            <v>Imrul Rayhan</v>
          </cell>
          <cell r="D905" t="str">
            <v>Khulna</v>
          </cell>
          <cell r="E905" t="str">
            <v>Khulna</v>
          </cell>
          <cell r="S905">
            <v>0</v>
          </cell>
          <cell r="BA905">
            <v>95525</v>
          </cell>
        </row>
        <row r="906">
          <cell r="A906" t="str">
            <v>ETLCUST-00927</v>
          </cell>
          <cell r="B906" t="str">
            <v>LAAIBA COMPUTER - MAGURA</v>
          </cell>
          <cell r="C906" t="str">
            <v>Md Rakibul Islam</v>
          </cell>
          <cell r="D906" t="str">
            <v>South Bengal</v>
          </cell>
          <cell r="E906" t="str">
            <v>South Bengal</v>
          </cell>
          <cell r="G906">
            <v>60000</v>
          </cell>
          <cell r="P906">
            <v>12800</v>
          </cell>
          <cell r="X906">
            <v>24100</v>
          </cell>
          <cell r="AK906">
            <v>26800</v>
          </cell>
          <cell r="AM906">
            <v>137395</v>
          </cell>
          <cell r="AO906">
            <v>12585</v>
          </cell>
          <cell r="AQ906">
            <v>0</v>
          </cell>
          <cell r="BA906">
            <v>268960</v>
          </cell>
        </row>
        <row r="907">
          <cell r="A907" t="str">
            <v>ETLCUST-04997</v>
          </cell>
          <cell r="B907" t="str">
            <v>LABAID PHARMACEUTICALS LIMITED.</v>
          </cell>
          <cell r="C907" t="str">
            <v>Shakil Ahmed</v>
          </cell>
          <cell r="D907" t="str">
            <v>Corporate</v>
          </cell>
          <cell r="E907" t="str">
            <v>Corporate</v>
          </cell>
          <cell r="R907">
            <v>6949.0800000000008</v>
          </cell>
          <cell r="X907">
            <v>2000</v>
          </cell>
          <cell r="AP907">
            <v>8700</v>
          </cell>
        </row>
        <row r="908">
          <cell r="A908" t="str">
            <v>ETLCUST-05414</v>
          </cell>
          <cell r="B908" t="str">
            <v xml:space="preserve">LALMONIRHAT SECURITY DOT COM - LALMONIRHAT </v>
          </cell>
          <cell r="C908" t="str">
            <v>Md. Arif Arman</v>
          </cell>
          <cell r="D908" t="str">
            <v>North Bengal</v>
          </cell>
          <cell r="E908" t="str">
            <v>North Bengal</v>
          </cell>
          <cell r="AR908">
            <v>5700</v>
          </cell>
        </row>
        <row r="909">
          <cell r="A909" t="str">
            <v>ETLCUST-03703</v>
          </cell>
          <cell r="B909" t="str">
            <v>LAMIYA ELECTRONICS - GULISTAN</v>
          </cell>
          <cell r="C909" t="str">
            <v>Noor Hossain</v>
          </cell>
          <cell r="D909" t="str">
            <v>Gulistan</v>
          </cell>
          <cell r="E909" t="str">
            <v>Gulistan</v>
          </cell>
          <cell r="AZ909">
            <v>518500</v>
          </cell>
        </row>
        <row r="910">
          <cell r="A910" t="str">
            <v>ETLCUST-01473</v>
          </cell>
          <cell r="B910" t="str">
            <v>LANKA CORPORATION - BARISAL</v>
          </cell>
          <cell r="C910" t="str">
            <v>Shah Imran</v>
          </cell>
          <cell r="D910" t="str">
            <v>South Bengal</v>
          </cell>
          <cell r="E910" t="str">
            <v>South Bengal</v>
          </cell>
          <cell r="X910">
            <v>156400</v>
          </cell>
        </row>
        <row r="911">
          <cell r="A911" t="str">
            <v>ETLCUST-01456</v>
          </cell>
          <cell r="B911" t="str">
            <v>LANKA ELECTRONICS - BARISAL</v>
          </cell>
          <cell r="C911" t="str">
            <v>Shah Imran</v>
          </cell>
          <cell r="D911" t="str">
            <v>South Bengal</v>
          </cell>
          <cell r="E911" t="str">
            <v>South Bengal</v>
          </cell>
          <cell r="R911">
            <v>12500</v>
          </cell>
          <cell r="X911">
            <v>85750</v>
          </cell>
        </row>
        <row r="912">
          <cell r="A912" t="str">
            <v>ETLCUST-02336</v>
          </cell>
          <cell r="B912" t="str">
            <v>LANTABUR APPARELS LTD.</v>
          </cell>
          <cell r="C912" t="str">
            <v>Md. Raihan Ali</v>
          </cell>
          <cell r="D912" t="str">
            <v>Corporate</v>
          </cell>
          <cell r="E912" t="str">
            <v>Corporate</v>
          </cell>
          <cell r="R912">
            <v>62000</v>
          </cell>
        </row>
        <row r="913">
          <cell r="A913" t="str">
            <v>ETLCUST-04332</v>
          </cell>
          <cell r="B913" t="str">
            <v>LAPSHOP BD - SUVASTU</v>
          </cell>
          <cell r="C913" t="str">
            <v>Md Shamim Miah</v>
          </cell>
          <cell r="D913" t="str">
            <v>DHB</v>
          </cell>
          <cell r="E913" t="str">
            <v>DHB</v>
          </cell>
          <cell r="U913">
            <v>3750</v>
          </cell>
        </row>
        <row r="914">
          <cell r="A914" t="str">
            <v>ETLCUST-04806</v>
          </cell>
          <cell r="B914" t="str">
            <v>LAPTOP CARE &amp; IT - SAVAR, DHAKA</v>
          </cell>
          <cell r="C914" t="str">
            <v>Biplop Kumar</v>
          </cell>
          <cell r="D914" t="str">
            <v>DHK-EXT</v>
          </cell>
          <cell r="E914" t="str">
            <v>DHK-EXT</v>
          </cell>
          <cell r="P914">
            <v>64400</v>
          </cell>
          <cell r="S914">
            <v>0</v>
          </cell>
          <cell r="BA914">
            <v>311000</v>
          </cell>
        </row>
        <row r="915">
          <cell r="A915" t="str">
            <v>ETLCUST-03065</v>
          </cell>
          <cell r="B915" t="str">
            <v>LAPTOP CARE AND TECHNOLOGY - GAZIPUR</v>
          </cell>
          <cell r="C915" t="str">
            <v>Md. Rahad</v>
          </cell>
          <cell r="D915" t="str">
            <v>Uttara</v>
          </cell>
          <cell r="E915" t="str">
            <v>Uttara</v>
          </cell>
          <cell r="P915">
            <v>76800</v>
          </cell>
          <cell r="Q915">
            <v>890</v>
          </cell>
          <cell r="V915">
            <v>18500</v>
          </cell>
          <cell r="X915">
            <v>101250</v>
          </cell>
          <cell r="AM915">
            <v>18065</v>
          </cell>
          <cell r="AQ915">
            <v>0</v>
          </cell>
          <cell r="BA915">
            <v>124650</v>
          </cell>
        </row>
        <row r="916">
          <cell r="A916" t="str">
            <v>ETLCUST-03305</v>
          </cell>
          <cell r="B916" t="str">
            <v>LAPTOP PLAZA - JESSORE</v>
          </cell>
          <cell r="C916" t="str">
            <v>Md Husaun</v>
          </cell>
          <cell r="D916" t="str">
            <v>Khulna</v>
          </cell>
          <cell r="E916" t="str">
            <v>Khulna</v>
          </cell>
          <cell r="AM916">
            <v>760</v>
          </cell>
          <cell r="BA916">
            <v>63450</v>
          </cell>
        </row>
        <row r="917">
          <cell r="A917" t="str">
            <v>ETLCUST-04657</v>
          </cell>
          <cell r="B917" t="str">
            <v>LAPTOP WORLD SYLHET - SYLHET</v>
          </cell>
          <cell r="C917" t="str">
            <v>Sanwar Husen</v>
          </cell>
          <cell r="D917" t="str">
            <v>Sylhet</v>
          </cell>
          <cell r="E917" t="str">
            <v>Sylhet</v>
          </cell>
          <cell r="P917">
            <v>16000</v>
          </cell>
          <cell r="AL917">
            <v>37000</v>
          </cell>
        </row>
        <row r="918">
          <cell r="A918" t="str">
            <v>ETLCUST-04610</v>
          </cell>
          <cell r="B918" t="str">
            <v xml:space="preserve">LAPTOP ZONE - CHITTAGONG </v>
          </cell>
          <cell r="C918" t="str">
            <v>Md. Mamunur Rashid</v>
          </cell>
          <cell r="D918" t="str">
            <v>CTG</v>
          </cell>
          <cell r="E918" t="str">
            <v>CTG</v>
          </cell>
          <cell r="AM918">
            <v>850</v>
          </cell>
          <cell r="BA918">
            <v>729360</v>
          </cell>
        </row>
        <row r="919">
          <cell r="A919" t="str">
            <v>ETLCUST-01274</v>
          </cell>
          <cell r="B919" t="str">
            <v>LEGEND COMPUTER - MYMENSINGH</v>
          </cell>
          <cell r="C919" t="str">
            <v>Rafiqul Islam Sumon</v>
          </cell>
          <cell r="D919" t="str">
            <v>Mymensingh</v>
          </cell>
          <cell r="E919" t="str">
            <v>Mymensingh</v>
          </cell>
          <cell r="R919">
            <v>376960</v>
          </cell>
          <cell r="T919">
            <v>69000</v>
          </cell>
          <cell r="V919">
            <v>4500</v>
          </cell>
          <cell r="X919">
            <v>32375</v>
          </cell>
          <cell r="Y919">
            <v>190000</v>
          </cell>
          <cell r="AJ919">
            <v>30540</v>
          </cell>
          <cell r="AL919">
            <v>21080</v>
          </cell>
          <cell r="AM919">
            <v>19020</v>
          </cell>
          <cell r="AQ919">
            <v>0</v>
          </cell>
          <cell r="BA919">
            <v>422720</v>
          </cell>
        </row>
        <row r="920">
          <cell r="A920" t="str">
            <v>ETLCUST-01607</v>
          </cell>
          <cell r="B920" t="str">
            <v>LEMON TRADING - BANGSHAL</v>
          </cell>
          <cell r="C920" t="str">
            <v>Md. Abdus Satter</v>
          </cell>
          <cell r="D920" t="str">
            <v>HO-SI</v>
          </cell>
          <cell r="E920" t="str">
            <v>HO-SI</v>
          </cell>
          <cell r="AK920">
            <v>196000</v>
          </cell>
          <cell r="BA920">
            <v>14800</v>
          </cell>
        </row>
        <row r="921">
          <cell r="A921" t="str">
            <v>ETLCUST-04014</v>
          </cell>
          <cell r="B921" t="str">
            <v xml:space="preserve">LENOVO SERVICE -HICHAIN LOGISTICS  (HONGKONG) LIMITED </v>
          </cell>
          <cell r="C921" t="str">
            <v>Management</v>
          </cell>
          <cell r="D921" t="str">
            <v>Management</v>
          </cell>
          <cell r="E921" t="str">
            <v>Management</v>
          </cell>
          <cell r="AF921">
            <v>6835900</v>
          </cell>
        </row>
        <row r="922">
          <cell r="A922" t="str">
            <v>ETLCUST-00673</v>
          </cell>
          <cell r="B922" t="str">
            <v>LINK COMPUTER - JESSORE</v>
          </cell>
          <cell r="C922" t="str">
            <v>Md Husaun</v>
          </cell>
          <cell r="D922" t="str">
            <v>Khulna</v>
          </cell>
          <cell r="E922" t="str">
            <v>Khulna</v>
          </cell>
          <cell r="G922">
            <v>50000</v>
          </cell>
          <cell r="S922">
            <v>0</v>
          </cell>
          <cell r="BA922">
            <v>398090</v>
          </cell>
        </row>
        <row r="923">
          <cell r="A923" t="str">
            <v>ETLCUST-05100</v>
          </cell>
          <cell r="B923" t="str">
            <v>LINK IT - CUMILLA</v>
          </cell>
          <cell r="C923" t="str">
            <v>Nazmul Amin Sajib</v>
          </cell>
          <cell r="D923" t="str">
            <v>CTG</v>
          </cell>
          <cell r="E923" t="str">
            <v>CTG</v>
          </cell>
          <cell r="AM923">
            <v>53640</v>
          </cell>
          <cell r="BA923">
            <v>79475</v>
          </cell>
        </row>
        <row r="924">
          <cell r="A924" t="str">
            <v>ETLCUST-03825</v>
          </cell>
          <cell r="B924" t="str">
            <v>LINK SELL - BAGERHAT</v>
          </cell>
          <cell r="C924" t="str">
            <v>Imrul Rayhan</v>
          </cell>
          <cell r="D924" t="str">
            <v>Khulna</v>
          </cell>
          <cell r="E924" t="str">
            <v>Khulna</v>
          </cell>
          <cell r="AO924">
            <v>8250</v>
          </cell>
          <cell r="AZ924">
            <v>19200</v>
          </cell>
        </row>
        <row r="925">
          <cell r="A925" t="str">
            <v>ETLCUST-02252</v>
          </cell>
          <cell r="B925" t="str">
            <v>LINK3 TECHNOLOGIES LTD.</v>
          </cell>
          <cell r="C925" t="str">
            <v>Sabbir Ahmed</v>
          </cell>
          <cell r="D925" t="str">
            <v>Corporate</v>
          </cell>
          <cell r="E925" t="str">
            <v>Corporate</v>
          </cell>
          <cell r="G925">
            <v>11965875</v>
          </cell>
          <cell r="U925">
            <v>283694.52999999997</v>
          </cell>
          <cell r="AP925">
            <v>103586.22</v>
          </cell>
          <cell r="BA925">
            <v>379502.50999999995</v>
          </cell>
        </row>
        <row r="926">
          <cell r="A926" t="str">
            <v>ETLCUST-03597</v>
          </cell>
          <cell r="B926" t="str">
            <v>LINK-TECH MULTIPLEX TECHNOLOGIES SERVICE CENTER - RANGPUR</v>
          </cell>
          <cell r="C926" t="str">
            <v>Md Abdullah Al Mamun</v>
          </cell>
          <cell r="D926" t="str">
            <v>North Bengal</v>
          </cell>
          <cell r="E926" t="str">
            <v>North Bengal</v>
          </cell>
          <cell r="X926">
            <v>314300</v>
          </cell>
        </row>
        <row r="927">
          <cell r="A927" t="str">
            <v>ETLCUST-03980</v>
          </cell>
          <cell r="B927" t="str">
            <v>LIVE GEO TECH - MULTIPLAN</v>
          </cell>
          <cell r="C927" t="str">
            <v>Md Mokshed Ali</v>
          </cell>
          <cell r="D927" t="str">
            <v>Multiplan</v>
          </cell>
          <cell r="E927" t="str">
            <v>Multiplan</v>
          </cell>
          <cell r="AO927">
            <v>10975</v>
          </cell>
        </row>
        <row r="928">
          <cell r="A928" t="str">
            <v>ETLCUST-00829</v>
          </cell>
          <cell r="B928" t="str">
            <v>LOGITECH COMPUTERS - IDB</v>
          </cell>
          <cell r="C928" t="str">
            <v>Amit Sarker</v>
          </cell>
          <cell r="D928" t="str">
            <v>IDB</v>
          </cell>
          <cell r="E928" t="str">
            <v>IDB</v>
          </cell>
          <cell r="T928">
            <v>37700</v>
          </cell>
          <cell r="AJ928">
            <v>1076700</v>
          </cell>
          <cell r="AK928">
            <v>22500</v>
          </cell>
          <cell r="AL928">
            <v>22000</v>
          </cell>
          <cell r="AM928">
            <v>12465</v>
          </cell>
          <cell r="AO928">
            <v>18000</v>
          </cell>
          <cell r="BA928">
            <v>115260</v>
          </cell>
        </row>
        <row r="929">
          <cell r="A929" t="str">
            <v>ETLCUST-04389</v>
          </cell>
          <cell r="B929" t="str">
            <v xml:space="preserve">LOHAGARA IT PARK - NARAIL </v>
          </cell>
          <cell r="C929" t="str">
            <v>Md Husaun</v>
          </cell>
          <cell r="D929" t="str">
            <v>Khulna</v>
          </cell>
          <cell r="E929" t="str">
            <v>Khulna</v>
          </cell>
          <cell r="G929">
            <v>53000</v>
          </cell>
          <cell r="O929">
            <v>1100</v>
          </cell>
          <cell r="AM929">
            <v>76430</v>
          </cell>
          <cell r="BA929">
            <v>346330</v>
          </cell>
        </row>
        <row r="930">
          <cell r="A930" t="str">
            <v>ETLCUST-04569</v>
          </cell>
          <cell r="B930" t="str">
            <v>LOKMAN TECHNOLOGY - B. MOKARRAM</v>
          </cell>
          <cell r="C930" t="str">
            <v>Hridoy Chandra Das</v>
          </cell>
          <cell r="D930" t="str">
            <v>Motijheel</v>
          </cell>
          <cell r="E930" t="str">
            <v>Motijheel</v>
          </cell>
          <cell r="P930">
            <v>97000</v>
          </cell>
          <cell r="T930">
            <v>337500</v>
          </cell>
          <cell r="AR930">
            <v>85000</v>
          </cell>
        </row>
        <row r="931">
          <cell r="A931" t="str">
            <v>ETLCUST-03997</v>
          </cell>
          <cell r="B931" t="str">
            <v xml:space="preserve">LONG LIFE TECHNOLOGY - MULTIPLAN </v>
          </cell>
          <cell r="C931" t="str">
            <v>Md Mokshed Ali</v>
          </cell>
          <cell r="D931" t="str">
            <v>Multiplan</v>
          </cell>
          <cell r="E931" t="str">
            <v>Multiplan</v>
          </cell>
          <cell r="H931">
            <v>194000</v>
          </cell>
          <cell r="U931">
            <v>145450</v>
          </cell>
          <cell r="AV931">
            <v>261830</v>
          </cell>
        </row>
        <row r="932">
          <cell r="A932" t="str">
            <v>ETLCUST-01416</v>
          </cell>
          <cell r="B932" t="str">
            <v>LOTIF ELECTRONICS - MOUCHAK</v>
          </cell>
          <cell r="C932" t="str">
            <v>MD. Shipon Ali</v>
          </cell>
          <cell r="D932" t="str">
            <v>Uttara</v>
          </cell>
          <cell r="E932" t="str">
            <v>Uttara</v>
          </cell>
          <cell r="S932">
            <v>0</v>
          </cell>
          <cell r="AK932">
            <v>38500</v>
          </cell>
          <cell r="AL932">
            <v>64930</v>
          </cell>
          <cell r="AM932">
            <v>254615</v>
          </cell>
          <cell r="BA932">
            <v>760705</v>
          </cell>
        </row>
        <row r="933">
          <cell r="A933" t="str">
            <v>ETLCUST-01280</v>
          </cell>
          <cell r="B933" t="str">
            <v>LOTUS COMPUTER - MYMENSINGH</v>
          </cell>
          <cell r="C933" t="str">
            <v>Rafiqul Islam Sumon</v>
          </cell>
          <cell r="D933" t="str">
            <v>Mymensingh</v>
          </cell>
          <cell r="E933" t="str">
            <v>Mymensingh</v>
          </cell>
          <cell r="P933">
            <v>101760</v>
          </cell>
          <cell r="AM933">
            <v>36480</v>
          </cell>
          <cell r="AQ933">
            <v>0</v>
          </cell>
          <cell r="BA933">
            <v>647375</v>
          </cell>
        </row>
        <row r="934">
          <cell r="A934" t="str">
            <v>ETLCUST-04550</v>
          </cell>
          <cell r="B934" t="str">
            <v>LOYAL APPARELS LIMITED</v>
          </cell>
          <cell r="C934" t="str">
            <v>Akter Hossen Nishan</v>
          </cell>
          <cell r="D934" t="str">
            <v>Corporate</v>
          </cell>
          <cell r="E934" t="str">
            <v>Corporate</v>
          </cell>
          <cell r="P934">
            <v>7000</v>
          </cell>
          <cell r="S934">
            <v>50</v>
          </cell>
          <cell r="X934">
            <v>8700</v>
          </cell>
          <cell r="AF934">
            <v>42400</v>
          </cell>
        </row>
        <row r="935">
          <cell r="A935" t="str">
            <v>ETLCUST-03420</v>
          </cell>
          <cell r="B935" t="str">
            <v>LUCENT TECH BD - MIRPUR</v>
          </cell>
          <cell r="C935" t="str">
            <v>Amit Sarker</v>
          </cell>
          <cell r="D935" t="str">
            <v>IDB</v>
          </cell>
          <cell r="E935" t="str">
            <v>IDB</v>
          </cell>
          <cell r="AL935">
            <v>3180</v>
          </cell>
        </row>
        <row r="936">
          <cell r="A936" t="str">
            <v>ETLCUST-01323</v>
          </cell>
          <cell r="B936" t="str">
            <v>LUCKY MOBILE - FENI</v>
          </cell>
          <cell r="C936" t="str">
            <v>Reazuddin</v>
          </cell>
          <cell r="D936" t="str">
            <v>CTG</v>
          </cell>
          <cell r="E936" t="str">
            <v>CTG</v>
          </cell>
          <cell r="AL936">
            <v>928220</v>
          </cell>
          <cell r="AM936">
            <v>176150</v>
          </cell>
          <cell r="AZ936">
            <v>53900</v>
          </cell>
          <cell r="BA936">
            <v>1325500</v>
          </cell>
        </row>
        <row r="937">
          <cell r="A937" t="str">
            <v>ETLCUST-00624</v>
          </cell>
          <cell r="B937" t="str">
            <v>LUCKY PHOTOGRAPHY - RANGPUR</v>
          </cell>
          <cell r="C937" t="str">
            <v>Md Abdullah Al Mamun</v>
          </cell>
          <cell r="D937" t="str">
            <v>North Bengal</v>
          </cell>
          <cell r="E937" t="str">
            <v>North Bengal</v>
          </cell>
          <cell r="R937">
            <v>798000</v>
          </cell>
        </row>
        <row r="938">
          <cell r="A938" t="str">
            <v>ETLCUST-00519</v>
          </cell>
          <cell r="B938" t="str">
            <v>LUKMAN ENTERPRISE - MIRPUR</v>
          </cell>
          <cell r="C938" t="str">
            <v>Fajle Rabbi</v>
          </cell>
          <cell r="D938" t="str">
            <v>IDB</v>
          </cell>
          <cell r="E938" t="str">
            <v>IDB</v>
          </cell>
          <cell r="AO938">
            <v>50165</v>
          </cell>
          <cell r="BA938">
            <v>114095</v>
          </cell>
        </row>
        <row r="939">
          <cell r="A939" t="str">
            <v>ETLCUST-00793</v>
          </cell>
          <cell r="B939" t="str">
            <v>LYCEUM COMPUTER - RAJSHAHI</v>
          </cell>
          <cell r="C939" t="str">
            <v>Ahmed Bulbul</v>
          </cell>
          <cell r="D939" t="str">
            <v>Rajshahi</v>
          </cell>
          <cell r="E939" t="str">
            <v>Rajshahi</v>
          </cell>
          <cell r="R939">
            <v>112000</v>
          </cell>
          <cell r="T939">
            <v>4800</v>
          </cell>
          <cell r="AJ939">
            <v>65150</v>
          </cell>
          <cell r="AZ939">
            <v>2500</v>
          </cell>
          <cell r="BA939">
            <v>28720</v>
          </cell>
        </row>
        <row r="940">
          <cell r="A940" t="str">
            <v>ETLCUST-00374</v>
          </cell>
          <cell r="B940" t="str">
            <v>LYRIC COMPUTER - GULSHAN</v>
          </cell>
          <cell r="C940" t="str">
            <v>Jiku Saha</v>
          </cell>
          <cell r="D940" t="str">
            <v>Uttara</v>
          </cell>
          <cell r="E940" t="str">
            <v>Uttara</v>
          </cell>
          <cell r="S940">
            <v>0</v>
          </cell>
          <cell r="T940">
            <v>17000</v>
          </cell>
          <cell r="AM940">
            <v>231295</v>
          </cell>
          <cell r="AO940">
            <v>50100</v>
          </cell>
          <cell r="BA940">
            <v>2252360</v>
          </cell>
        </row>
        <row r="941">
          <cell r="A941" t="str">
            <v>ETLCUST-02743</v>
          </cell>
          <cell r="B941" t="str">
            <v>M &amp; J GROUP</v>
          </cell>
          <cell r="C941" t="str">
            <v>Mohammad Maruf Hasan</v>
          </cell>
          <cell r="D941" t="str">
            <v>Corporate</v>
          </cell>
          <cell r="E941" t="str">
            <v>Corporate</v>
          </cell>
          <cell r="R941">
            <v>85000</v>
          </cell>
          <cell r="S941">
            <v>1890</v>
          </cell>
          <cell r="V941">
            <v>9975</v>
          </cell>
          <cell r="X941">
            <v>61140</v>
          </cell>
          <cell r="Y941">
            <v>345025</v>
          </cell>
          <cell r="AD941">
            <v>200011</v>
          </cell>
          <cell r="AV941">
            <v>102315.11</v>
          </cell>
        </row>
        <row r="942">
          <cell r="A942" t="str">
            <v>ETLCUST-05021</v>
          </cell>
          <cell r="B942" t="str">
            <v>M K PLANET - SYLHET</v>
          </cell>
          <cell r="C942" t="str">
            <v>Sanwar Husen</v>
          </cell>
          <cell r="D942" t="str">
            <v>Sylhet</v>
          </cell>
          <cell r="E942" t="str">
            <v>Sylhet</v>
          </cell>
          <cell r="S942">
            <v>0</v>
          </cell>
          <cell r="T942">
            <v>243750</v>
          </cell>
          <cell r="X942">
            <v>438150</v>
          </cell>
          <cell r="AL942">
            <v>206700</v>
          </cell>
          <cell r="BA942">
            <v>262400</v>
          </cell>
        </row>
        <row r="943">
          <cell r="A943" t="str">
            <v>ETLCUST-03684</v>
          </cell>
          <cell r="B943" t="str">
            <v>M M  COMPUTER - BARISAL</v>
          </cell>
          <cell r="C943" t="str">
            <v>Md. Aminul Islam</v>
          </cell>
          <cell r="D943" t="str">
            <v>South Bengal</v>
          </cell>
          <cell r="E943" t="str">
            <v>South Bengal</v>
          </cell>
          <cell r="P943">
            <v>38400</v>
          </cell>
          <cell r="AL943">
            <v>2650</v>
          </cell>
        </row>
        <row r="944">
          <cell r="A944" t="str">
            <v>ETLCUST-04985</v>
          </cell>
          <cell r="B944" t="str">
            <v>M M COMPUTERS - GULSHAN</v>
          </cell>
          <cell r="C944" t="str">
            <v>Jiku Saha</v>
          </cell>
          <cell r="D944" t="str">
            <v>Uttara</v>
          </cell>
          <cell r="E944" t="str">
            <v>Uttara</v>
          </cell>
          <cell r="R944">
            <v>79000</v>
          </cell>
          <cell r="AO944">
            <v>5500</v>
          </cell>
          <cell r="AR944">
            <v>52200</v>
          </cell>
          <cell r="BA944">
            <v>1686775</v>
          </cell>
        </row>
        <row r="945">
          <cell r="A945" t="str">
            <v>ETLCUST-01283</v>
          </cell>
          <cell r="B945" t="str">
            <v>M M COMPUTERS - MYMENSINGH</v>
          </cell>
          <cell r="C945" t="str">
            <v>Rafiqul Islam Sumon</v>
          </cell>
          <cell r="D945" t="str">
            <v>Mymensingh</v>
          </cell>
          <cell r="E945" t="str">
            <v>Mymensingh</v>
          </cell>
          <cell r="G945">
            <v>20000</v>
          </cell>
          <cell r="P945">
            <v>140800</v>
          </cell>
          <cell r="Q945">
            <v>890</v>
          </cell>
          <cell r="R945">
            <v>1138400</v>
          </cell>
          <cell r="S945">
            <v>0</v>
          </cell>
          <cell r="T945">
            <v>386000</v>
          </cell>
          <cell r="X945">
            <v>460975</v>
          </cell>
          <cell r="AJ945">
            <v>26000</v>
          </cell>
          <cell r="AK945">
            <v>27300</v>
          </cell>
          <cell r="AL945">
            <v>98080</v>
          </cell>
          <cell r="AM945">
            <v>958205</v>
          </cell>
          <cell r="AO945">
            <v>27700</v>
          </cell>
          <cell r="AQ945">
            <v>0</v>
          </cell>
          <cell r="AS945">
            <v>37500</v>
          </cell>
          <cell r="AT945">
            <v>29600</v>
          </cell>
          <cell r="AZ945">
            <v>39350</v>
          </cell>
          <cell r="BA945">
            <v>3320520</v>
          </cell>
        </row>
        <row r="946">
          <cell r="A946" t="str">
            <v>ETLCUST-03461</v>
          </cell>
          <cell r="B946" t="str">
            <v xml:space="preserve">M S TECHNOLOGY -UTTARA </v>
          </cell>
          <cell r="C946" t="str">
            <v>Dulal Sarker</v>
          </cell>
          <cell r="D946" t="str">
            <v>Uttara</v>
          </cell>
          <cell r="E946" t="str">
            <v>Uttara</v>
          </cell>
          <cell r="R946">
            <v>918500</v>
          </cell>
        </row>
        <row r="947">
          <cell r="A947" t="str">
            <v>ETLCUST-05104</v>
          </cell>
          <cell r="B947" t="str">
            <v>M TEL</v>
          </cell>
          <cell r="C947" t="str">
            <v>Samiran Chandra Biswas</v>
          </cell>
          <cell r="D947" t="str">
            <v>Corporate</v>
          </cell>
          <cell r="E947" t="str">
            <v>Corporate</v>
          </cell>
          <cell r="H947">
            <v>32000</v>
          </cell>
        </row>
        <row r="948">
          <cell r="A948" t="str">
            <v>ETLCUST-02259</v>
          </cell>
          <cell r="B948" t="str">
            <v>M. M. ISPAHANI LIMITED</v>
          </cell>
          <cell r="C948" t="str">
            <v>Md Saim Ali Rezvy</v>
          </cell>
          <cell r="D948" t="str">
            <v>Corporate</v>
          </cell>
          <cell r="E948" t="str">
            <v>Corporate</v>
          </cell>
          <cell r="R948">
            <v>43158</v>
          </cell>
          <cell r="S948">
            <v>10215</v>
          </cell>
          <cell r="U948">
            <v>817642</v>
          </cell>
          <cell r="AY948">
            <v>45801</v>
          </cell>
          <cell r="BA948">
            <v>18633</v>
          </cell>
        </row>
        <row r="949">
          <cell r="A949" t="str">
            <v>ETLCUST-02260</v>
          </cell>
          <cell r="B949" t="str">
            <v>M. S. DYEING, PRINTING &amp; FINISHING LTD.</v>
          </cell>
          <cell r="C949" t="str">
            <v>Md Saim Ali Rezvy</v>
          </cell>
          <cell r="D949" t="str">
            <v>Corporate</v>
          </cell>
          <cell r="E949" t="str">
            <v>Corporate</v>
          </cell>
          <cell r="U949">
            <v>50610</v>
          </cell>
          <cell r="X949">
            <v>57330</v>
          </cell>
        </row>
        <row r="950">
          <cell r="A950" t="str">
            <v>ETLCUST-00705</v>
          </cell>
          <cell r="B950" t="str">
            <v>M.A COMPUTER - KHULNA</v>
          </cell>
          <cell r="C950" t="str">
            <v>Saidur Rahman Khokan</v>
          </cell>
          <cell r="D950" t="str">
            <v>Khulna</v>
          </cell>
          <cell r="E950" t="str">
            <v>Khulna</v>
          </cell>
          <cell r="R950">
            <v>37500</v>
          </cell>
          <cell r="AK950">
            <v>38500</v>
          </cell>
          <cell r="BA950">
            <v>1750</v>
          </cell>
        </row>
        <row r="951">
          <cell r="A951" t="str">
            <v>ETLCUST-03687</v>
          </cell>
          <cell r="B951" t="str">
            <v>M.H COMPUTER - BARISHAL</v>
          </cell>
          <cell r="C951" t="str">
            <v>Md. Aminul Islam</v>
          </cell>
          <cell r="D951" t="str">
            <v>South Bengal</v>
          </cell>
          <cell r="E951" t="str">
            <v>South Bengal</v>
          </cell>
          <cell r="S951">
            <v>0</v>
          </cell>
          <cell r="T951">
            <v>3600</v>
          </cell>
          <cell r="AL951">
            <v>9805</v>
          </cell>
          <cell r="AM951">
            <v>3300</v>
          </cell>
          <cell r="AO951">
            <v>7200</v>
          </cell>
          <cell r="BA951">
            <v>95055</v>
          </cell>
        </row>
        <row r="952">
          <cell r="A952" t="str">
            <v>ETLCUST-04982</v>
          </cell>
          <cell r="B952" t="str">
            <v>M.J. ENTERPRISE-CTG</v>
          </cell>
          <cell r="C952" t="str">
            <v>Shahidul Alam Chowdhury</v>
          </cell>
          <cell r="D952" t="str">
            <v>CTG</v>
          </cell>
          <cell r="E952" t="str">
            <v>CTG</v>
          </cell>
          <cell r="AT952">
            <v>12400</v>
          </cell>
        </row>
        <row r="953">
          <cell r="A953" t="str">
            <v>ETLCUST-00255</v>
          </cell>
          <cell r="B953" t="str">
            <v>M.M. COMPUTER GALLERY - SREEMONGOL</v>
          </cell>
          <cell r="C953" t="str">
            <v>Amit Das</v>
          </cell>
          <cell r="D953" t="str">
            <v>Sylhet</v>
          </cell>
          <cell r="E953" t="str">
            <v>Sylhet</v>
          </cell>
          <cell r="P953">
            <v>25600</v>
          </cell>
          <cell r="AL953">
            <v>17900</v>
          </cell>
          <cell r="AO953">
            <v>3750</v>
          </cell>
          <cell r="AZ953">
            <v>9830</v>
          </cell>
        </row>
        <row r="954">
          <cell r="A954" t="str">
            <v>ETLCUST-02957</v>
          </cell>
          <cell r="B954" t="str">
            <v>M.R ELECTRONICS - JESHORE</v>
          </cell>
          <cell r="C954" t="str">
            <v>Md Husaun</v>
          </cell>
          <cell r="D954" t="str">
            <v>Khulna</v>
          </cell>
          <cell r="E954" t="str">
            <v>Khulna</v>
          </cell>
          <cell r="G954">
            <v>2335000</v>
          </cell>
          <cell r="S954">
            <v>0</v>
          </cell>
          <cell r="X954">
            <v>3087800</v>
          </cell>
          <cell r="AM954">
            <v>509250</v>
          </cell>
          <cell r="AQ954">
            <v>0</v>
          </cell>
          <cell r="AR954">
            <v>56000</v>
          </cell>
          <cell r="BA954">
            <v>14529815</v>
          </cell>
        </row>
        <row r="955">
          <cell r="A955" t="str">
            <v>ETLCUST-04783</v>
          </cell>
          <cell r="B955" t="str">
            <v>M.R NETWORKING - PATUAKHALI</v>
          </cell>
          <cell r="C955" t="str">
            <v>Shah Imran</v>
          </cell>
          <cell r="D955" t="str">
            <v>South Bengal</v>
          </cell>
          <cell r="E955" t="str">
            <v>South Bengal</v>
          </cell>
          <cell r="S955">
            <v>0</v>
          </cell>
          <cell r="AM955">
            <v>158070</v>
          </cell>
          <cell r="AQ955">
            <v>0</v>
          </cell>
          <cell r="BA955">
            <v>375715</v>
          </cell>
        </row>
        <row r="956">
          <cell r="A956" t="str">
            <v>ETLCUST-05245</v>
          </cell>
          <cell r="B956" t="str">
            <v>M.R.S. COMPUTER WORLD - NOAPARA</v>
          </cell>
          <cell r="C956" t="str">
            <v>Md Husaun</v>
          </cell>
          <cell r="D956" t="str">
            <v>Khulna</v>
          </cell>
          <cell r="E956" t="str">
            <v>Khulna</v>
          </cell>
          <cell r="G956">
            <v>2000</v>
          </cell>
          <cell r="P956">
            <v>13000</v>
          </cell>
          <cell r="R956">
            <v>20060</v>
          </cell>
          <cell r="T956">
            <v>3500</v>
          </cell>
          <cell r="AJ956">
            <v>1950</v>
          </cell>
          <cell r="AM956">
            <v>5350</v>
          </cell>
          <cell r="BA956">
            <v>33330</v>
          </cell>
        </row>
        <row r="957">
          <cell r="A957" t="str">
            <v>ETLCUST-00472</v>
          </cell>
          <cell r="B957" t="str">
            <v>M.RAHMAN ELECTRONICS - GULISTAN</v>
          </cell>
          <cell r="C957" t="str">
            <v>Md Kamrul Hasan Sabuz</v>
          </cell>
          <cell r="D957" t="str">
            <v>Gulistan</v>
          </cell>
          <cell r="E957" t="str">
            <v>Gulistan</v>
          </cell>
          <cell r="AZ957">
            <v>493700</v>
          </cell>
        </row>
        <row r="958">
          <cell r="A958" t="str">
            <v>ETLCUST-04803</v>
          </cell>
          <cell r="B958" t="str">
            <v>M.S NETWORK - DINAJPUR</v>
          </cell>
          <cell r="C958" t="str">
            <v>Akramul Haque</v>
          </cell>
          <cell r="D958" t="str">
            <v>North Bengal</v>
          </cell>
          <cell r="E958" t="str">
            <v>North Bengal</v>
          </cell>
          <cell r="S958">
            <v>0</v>
          </cell>
          <cell r="AM958">
            <v>201500</v>
          </cell>
          <cell r="AQ958">
            <v>0</v>
          </cell>
          <cell r="BA958">
            <v>185400</v>
          </cell>
        </row>
        <row r="959">
          <cell r="A959" t="str">
            <v>ETLCUST-04770</v>
          </cell>
          <cell r="B959" t="str">
            <v>M/S AL AMIN ELECTRONIC - CTG</v>
          </cell>
          <cell r="C959" t="str">
            <v>Md. Mamunur Rashid</v>
          </cell>
          <cell r="D959" t="str">
            <v>CTG</v>
          </cell>
          <cell r="E959" t="str">
            <v>CTG</v>
          </cell>
          <cell r="S959">
            <v>0</v>
          </cell>
          <cell r="AL959">
            <v>47700</v>
          </cell>
          <cell r="AM959">
            <v>1052020</v>
          </cell>
          <cell r="AQ959">
            <v>0</v>
          </cell>
          <cell r="BA959">
            <v>4255750</v>
          </cell>
        </row>
        <row r="960">
          <cell r="A960" t="str">
            <v>ETLCUST-05336</v>
          </cell>
          <cell r="B960" t="str">
            <v>M/S ASHA ELECTRONIC AND BROTHER - GAIBANDHA</v>
          </cell>
          <cell r="C960" t="str">
            <v>Md Abdullah Al Mamun</v>
          </cell>
          <cell r="D960" t="str">
            <v>North Bengal</v>
          </cell>
          <cell r="E960" t="str">
            <v>North Bengal</v>
          </cell>
          <cell r="S960">
            <v>0</v>
          </cell>
          <cell r="BA960">
            <v>495775</v>
          </cell>
        </row>
        <row r="961">
          <cell r="A961" t="str">
            <v>ETLCUST-04402</v>
          </cell>
          <cell r="B961" t="str">
            <v>M/S BHOLA DOT NET</v>
          </cell>
          <cell r="C961" t="str">
            <v>Sabbir Ahmed</v>
          </cell>
          <cell r="D961" t="str">
            <v>Corporate</v>
          </cell>
          <cell r="E961" t="str">
            <v>Corporate</v>
          </cell>
          <cell r="BA961">
            <v>175000</v>
          </cell>
        </row>
        <row r="962">
          <cell r="A962" t="str">
            <v>ETLCUST-04906</v>
          </cell>
          <cell r="B962" t="str">
            <v>M/S NABIL BUSINESS POINT-MOTIJHEEL</v>
          </cell>
          <cell r="C962" t="str">
            <v>Hridoy Chandra Das</v>
          </cell>
          <cell r="D962" t="str">
            <v>Motijheel</v>
          </cell>
          <cell r="E962" t="str">
            <v>Motijheel</v>
          </cell>
          <cell r="AT962">
            <v>70400</v>
          </cell>
        </row>
        <row r="963">
          <cell r="A963" t="str">
            <v>ETLCUST-05313</v>
          </cell>
          <cell r="B963" t="str">
            <v>M/S SAFI IT - PATUAKHALI</v>
          </cell>
          <cell r="C963" t="str">
            <v>Shah Imran</v>
          </cell>
          <cell r="D963" t="str">
            <v>South Bengal</v>
          </cell>
          <cell r="E963" t="str">
            <v>South Bengal</v>
          </cell>
          <cell r="T963">
            <v>3700</v>
          </cell>
          <cell r="X963">
            <v>102575</v>
          </cell>
          <cell r="AL963">
            <v>14310</v>
          </cell>
          <cell r="AQ963">
            <v>0</v>
          </cell>
          <cell r="BA963">
            <v>18450</v>
          </cell>
        </row>
        <row r="964">
          <cell r="A964" t="str">
            <v>ETLCUST-05412</v>
          </cell>
          <cell r="B964" t="str">
            <v>M/S SUKREYA ELECTRONICS - BARISAL</v>
          </cell>
          <cell r="C964" t="str">
            <v>Md. Aminul Islam</v>
          </cell>
          <cell r="D964" t="str">
            <v>South Bengal</v>
          </cell>
          <cell r="E964" t="str">
            <v>South Bengal</v>
          </cell>
          <cell r="BA964">
            <v>141000</v>
          </cell>
        </row>
        <row r="965">
          <cell r="A965" t="str">
            <v>ETLCUST-04156</v>
          </cell>
          <cell r="B965" t="str">
            <v>M/S WASIQA ENTERPRISE - MIRPUR</v>
          </cell>
          <cell r="C965" t="str">
            <v>Fajle Rabbi</v>
          </cell>
          <cell r="D965" t="str">
            <v>IDB</v>
          </cell>
          <cell r="E965" t="str">
            <v>IDB</v>
          </cell>
          <cell r="S965">
            <v>0</v>
          </cell>
          <cell r="T965">
            <v>1455000</v>
          </cell>
          <cell r="X965">
            <v>2878250</v>
          </cell>
        </row>
        <row r="966">
          <cell r="A966" t="str">
            <v>ETLCUST-04605</v>
          </cell>
          <cell r="B966" t="str">
            <v>M/S. FAST SOURCING</v>
          </cell>
          <cell r="C966" t="str">
            <v>Samiran Chandra Biswas</v>
          </cell>
          <cell r="D966" t="str">
            <v>Corporate</v>
          </cell>
          <cell r="E966" t="str">
            <v>Corporate</v>
          </cell>
          <cell r="I966">
            <v>36650</v>
          </cell>
          <cell r="U966">
            <v>409000</v>
          </cell>
          <cell r="AA966">
            <v>11000</v>
          </cell>
          <cell r="AV966">
            <v>2591800</v>
          </cell>
        </row>
        <row r="967">
          <cell r="A967" t="str">
            <v>ETLCUST-05315</v>
          </cell>
          <cell r="B967" t="str">
            <v>M/S. GLOBETECH SOLUTION - UTTARA</v>
          </cell>
          <cell r="C967" t="str">
            <v>Dulal Sarker</v>
          </cell>
          <cell r="D967" t="str">
            <v>Uttara</v>
          </cell>
          <cell r="E967" t="str">
            <v>Uttara</v>
          </cell>
          <cell r="H967">
            <v>32000</v>
          </cell>
          <cell r="R967">
            <v>7000</v>
          </cell>
          <cell r="U967">
            <v>3900</v>
          </cell>
          <cell r="X967">
            <v>109500</v>
          </cell>
          <cell r="AT967">
            <v>14000</v>
          </cell>
        </row>
        <row r="968">
          <cell r="A968" t="str">
            <v>ETLCUST-00799</v>
          </cell>
          <cell r="B968" t="str">
            <v>MA COMPUTER - NAOGAON</v>
          </cell>
          <cell r="C968" t="str">
            <v>Md. Abu Basar</v>
          </cell>
          <cell r="D968" t="str">
            <v>Rajshahi</v>
          </cell>
          <cell r="E968" t="str">
            <v>Rajshahi</v>
          </cell>
          <cell r="G968">
            <v>20000</v>
          </cell>
          <cell r="R968">
            <v>456580</v>
          </cell>
          <cell r="S968">
            <v>0</v>
          </cell>
          <cell r="V968">
            <v>13400</v>
          </cell>
          <cell r="X968">
            <v>93200</v>
          </cell>
          <cell r="AF968">
            <v>27300</v>
          </cell>
          <cell r="AL968">
            <v>9540</v>
          </cell>
          <cell r="AM968">
            <v>208950</v>
          </cell>
          <cell r="AN968">
            <v>142000</v>
          </cell>
          <cell r="AO968">
            <v>61100</v>
          </cell>
          <cell r="AQ968">
            <v>0</v>
          </cell>
          <cell r="AT968">
            <v>4750</v>
          </cell>
          <cell r="BA968">
            <v>1480680</v>
          </cell>
        </row>
        <row r="969">
          <cell r="A969" t="str">
            <v>ETLCUST-04269</v>
          </cell>
          <cell r="B969" t="str">
            <v>MA COMPUTER AND MOBILE ZONE - SATKHIRA</v>
          </cell>
          <cell r="C969" t="str">
            <v>Imrul Rayhan</v>
          </cell>
          <cell r="D969" t="str">
            <v>Khulna</v>
          </cell>
          <cell r="E969" t="str">
            <v>Khulna</v>
          </cell>
          <cell r="X969">
            <v>107500</v>
          </cell>
          <cell r="AQ969">
            <v>0</v>
          </cell>
          <cell r="AZ969">
            <v>53900</v>
          </cell>
          <cell r="BA969">
            <v>360870</v>
          </cell>
        </row>
        <row r="970">
          <cell r="A970" t="str">
            <v>ETLCUST-04646</v>
          </cell>
          <cell r="B970" t="str">
            <v>MAA ELECTRONICS - CHAUDDOGRAM</v>
          </cell>
          <cell r="C970" t="str">
            <v>Reazuddin</v>
          </cell>
          <cell r="D970" t="str">
            <v>CTG</v>
          </cell>
          <cell r="E970" t="str">
            <v>CTG</v>
          </cell>
          <cell r="G970">
            <v>20000</v>
          </cell>
          <cell r="S970">
            <v>0</v>
          </cell>
          <cell r="X970">
            <v>1622950</v>
          </cell>
          <cell r="AL970">
            <v>161100</v>
          </cell>
          <cell r="AM970">
            <v>607690</v>
          </cell>
          <cell r="BA970">
            <v>3472180</v>
          </cell>
        </row>
        <row r="971">
          <cell r="A971" t="str">
            <v>ETLCUST-05146</v>
          </cell>
          <cell r="B971" t="str">
            <v>MAA ELECTRONICS-BARISHAL</v>
          </cell>
          <cell r="C971" t="str">
            <v>Shah Imran</v>
          </cell>
          <cell r="D971" t="str">
            <v>South Bengal</v>
          </cell>
          <cell r="E971" t="str">
            <v>South Bengal</v>
          </cell>
          <cell r="G971">
            <v>218800</v>
          </cell>
          <cell r="AM971">
            <v>354455</v>
          </cell>
          <cell r="BA971">
            <v>1053435</v>
          </cell>
        </row>
        <row r="972">
          <cell r="A972" t="str">
            <v>ETLCUST-01430</v>
          </cell>
          <cell r="B972" t="str">
            <v>MAA MONY ELECTRIC - TONGI</v>
          </cell>
          <cell r="C972" t="str">
            <v>Saifullah Akndah</v>
          </cell>
          <cell r="D972" t="str">
            <v>Uttara</v>
          </cell>
          <cell r="E972" t="str">
            <v>Uttara</v>
          </cell>
          <cell r="AZ972">
            <v>689100</v>
          </cell>
        </row>
        <row r="973">
          <cell r="A973" t="str">
            <v>ETLCUST-01358</v>
          </cell>
          <cell r="B973" t="str">
            <v>MABIN COMPUTER - SHARIATPUR</v>
          </cell>
          <cell r="C973" t="str">
            <v>Hanif shek</v>
          </cell>
          <cell r="D973" t="str">
            <v>South Bengal</v>
          </cell>
          <cell r="E973" t="str">
            <v>South Bengal</v>
          </cell>
          <cell r="G973">
            <v>112000</v>
          </cell>
          <cell r="BA973">
            <v>6940</v>
          </cell>
        </row>
        <row r="974">
          <cell r="A974" t="str">
            <v>ETLCUST-04364</v>
          </cell>
          <cell r="B974" t="str">
            <v>MACH 9 - ALPONA PLAZA</v>
          </cell>
          <cell r="C974" t="str">
            <v>Mohammad Mostofa</v>
          </cell>
          <cell r="D974" t="str">
            <v>Multiplan</v>
          </cell>
          <cell r="E974" t="str">
            <v>Multiplan</v>
          </cell>
          <cell r="AA974">
            <v>29000</v>
          </cell>
        </row>
        <row r="975">
          <cell r="A975" t="str">
            <v>ETLCUST-03782</v>
          </cell>
          <cell r="B975" t="str">
            <v>MADINA POLYMER INDUSTRIES LTD.</v>
          </cell>
          <cell r="C975" t="str">
            <v>Shakil Ahmed</v>
          </cell>
          <cell r="D975" t="str">
            <v>Corporate</v>
          </cell>
          <cell r="E975" t="str">
            <v>Corporate</v>
          </cell>
          <cell r="F975">
            <v>119000</v>
          </cell>
          <cell r="R975">
            <v>45000</v>
          </cell>
          <cell r="S975">
            <v>0</v>
          </cell>
          <cell r="AS975">
            <v>500000</v>
          </cell>
          <cell r="BA975">
            <v>26500</v>
          </cell>
        </row>
        <row r="976">
          <cell r="A976" t="str">
            <v>ETLCUST-04449</v>
          </cell>
          <cell r="B976" t="str">
            <v>MAFIN ELECTRONICS - GOPALGANJ</v>
          </cell>
          <cell r="C976" t="str">
            <v>Hanif shek</v>
          </cell>
          <cell r="D976" t="str">
            <v>South Bengal</v>
          </cell>
          <cell r="E976" t="str">
            <v>South Bengal</v>
          </cell>
          <cell r="G976">
            <v>126500</v>
          </cell>
        </row>
        <row r="977">
          <cell r="A977" t="str">
            <v>ETLCUST-05108</v>
          </cell>
          <cell r="B977" t="str">
            <v>MAGIC COMPUTER - JESSORE</v>
          </cell>
          <cell r="C977" t="str">
            <v>Md Husaun</v>
          </cell>
          <cell r="D977" t="str">
            <v>Khulna</v>
          </cell>
          <cell r="E977" t="str">
            <v>Khulna</v>
          </cell>
          <cell r="AO977">
            <v>2400</v>
          </cell>
        </row>
        <row r="978">
          <cell r="A978" t="str">
            <v>ETLCUST-00775</v>
          </cell>
          <cell r="B978" t="str">
            <v>MAHBUB ELECTRONICS - NAOGAON</v>
          </cell>
          <cell r="C978" t="str">
            <v>Md. Abu Basar</v>
          </cell>
          <cell r="D978" t="str">
            <v>Rajshahi</v>
          </cell>
          <cell r="E978" t="str">
            <v>Rajshahi</v>
          </cell>
          <cell r="Q978">
            <v>890</v>
          </cell>
          <cell r="S978">
            <v>0</v>
          </cell>
          <cell r="AL978">
            <v>68900</v>
          </cell>
          <cell r="AM978">
            <v>1565</v>
          </cell>
          <cell r="BA978">
            <v>391075</v>
          </cell>
        </row>
        <row r="979">
          <cell r="A979" t="str">
            <v>ETLCUST-05343</v>
          </cell>
          <cell r="B979" t="str">
            <v>MAHI CABLE NETWORK - NATORE</v>
          </cell>
          <cell r="C979" t="str">
            <v>Md. Abu Basar</v>
          </cell>
          <cell r="D979" t="str">
            <v>North Bengal</v>
          </cell>
          <cell r="E979" t="str">
            <v>North Bengal</v>
          </cell>
          <cell r="G979">
            <v>40800</v>
          </cell>
          <cell r="AM979">
            <v>12070</v>
          </cell>
          <cell r="BA979">
            <v>45540</v>
          </cell>
        </row>
        <row r="980">
          <cell r="A980" t="str">
            <v>ETLCUST-01357</v>
          </cell>
          <cell r="B980" t="str">
            <v>MAHIEA COMPUTER SOLUTION - RAJBARI</v>
          </cell>
          <cell r="C980" t="str">
            <v>Hanif shek</v>
          </cell>
          <cell r="D980" t="str">
            <v>South Bengal</v>
          </cell>
          <cell r="E980" t="str">
            <v>South Bengal</v>
          </cell>
          <cell r="AM980">
            <v>27900</v>
          </cell>
          <cell r="BA980">
            <v>60130</v>
          </cell>
        </row>
        <row r="981">
          <cell r="A981" t="str">
            <v>ETLCUST-03897</v>
          </cell>
          <cell r="B981" t="str">
            <v xml:space="preserve">MAHTAB FLEXIBLE PRINTING LTD. </v>
          </cell>
          <cell r="C981" t="str">
            <v>Hasibul Hasan Symoon</v>
          </cell>
          <cell r="D981" t="str">
            <v>Corporate</v>
          </cell>
          <cell r="E981" t="str">
            <v>Corporate</v>
          </cell>
          <cell r="X981">
            <v>42500</v>
          </cell>
          <cell r="BA981">
            <v>33500</v>
          </cell>
        </row>
        <row r="982">
          <cell r="A982" t="str">
            <v>ETLCUST-02945</v>
          </cell>
          <cell r="B982" t="str">
            <v>MAJED ENTERPRISE - SHERPUR</v>
          </cell>
          <cell r="C982" t="str">
            <v>Md. Sujon Mia</v>
          </cell>
          <cell r="D982" t="str">
            <v>Mymensingh</v>
          </cell>
          <cell r="E982" t="str">
            <v>Mymensingh</v>
          </cell>
          <cell r="G982">
            <v>1058000</v>
          </cell>
          <cell r="T982">
            <v>33500</v>
          </cell>
          <cell r="AK982">
            <v>13000</v>
          </cell>
          <cell r="AL982">
            <v>734765</v>
          </cell>
          <cell r="AM982">
            <v>1586410</v>
          </cell>
          <cell r="AQ982">
            <v>0</v>
          </cell>
          <cell r="BA982">
            <v>8160545</v>
          </cell>
        </row>
        <row r="983">
          <cell r="A983" t="str">
            <v>ETLCUST-03596</v>
          </cell>
          <cell r="B983" t="str">
            <v>MAK IT SOLUTION - UTTARA</v>
          </cell>
          <cell r="C983" t="str">
            <v>Dulal Sarker</v>
          </cell>
          <cell r="D983" t="str">
            <v>Uttara</v>
          </cell>
          <cell r="E983" t="str">
            <v>Uttara</v>
          </cell>
          <cell r="P983">
            <v>66000</v>
          </cell>
          <cell r="T983">
            <v>9400</v>
          </cell>
          <cell r="AF983">
            <v>17200</v>
          </cell>
          <cell r="AM983">
            <v>187115</v>
          </cell>
          <cell r="AO983">
            <v>26850</v>
          </cell>
          <cell r="BA983">
            <v>736945</v>
          </cell>
        </row>
        <row r="984">
          <cell r="A984" t="str">
            <v>ETLCUST-00940</v>
          </cell>
          <cell r="B984" t="str">
            <v>MAKKA COMPUTER - GULISTAN</v>
          </cell>
          <cell r="C984" t="str">
            <v>Shamim Hossain</v>
          </cell>
          <cell r="D984" t="str">
            <v>Gulistan</v>
          </cell>
          <cell r="E984" t="str">
            <v>Gulistan</v>
          </cell>
          <cell r="G984">
            <v>428000</v>
          </cell>
          <cell r="S984">
            <v>0</v>
          </cell>
          <cell r="AL984">
            <v>683350</v>
          </cell>
          <cell r="AM984">
            <v>1485985</v>
          </cell>
          <cell r="AO984">
            <v>404400</v>
          </cell>
          <cell r="AQ984">
            <v>0</v>
          </cell>
          <cell r="BA984">
            <v>28894990</v>
          </cell>
        </row>
        <row r="985">
          <cell r="A985" t="str">
            <v>ETLCUST-05020</v>
          </cell>
          <cell r="B985" t="str">
            <v>MAMUN COMPUTER - SATKHIRA</v>
          </cell>
          <cell r="C985" t="str">
            <v>Imrul Rayhan</v>
          </cell>
          <cell r="D985" t="str">
            <v>Khulna</v>
          </cell>
          <cell r="E985" t="str">
            <v>Khulna</v>
          </cell>
          <cell r="R985">
            <v>44200</v>
          </cell>
          <cell r="BA985">
            <v>2050</v>
          </cell>
        </row>
        <row r="986">
          <cell r="A986" t="str">
            <v>ETLCUST-04105</v>
          </cell>
          <cell r="B986" t="str">
            <v>MAMUN WIFI NETWORK - TANGAIL</v>
          </cell>
          <cell r="C986" t="str">
            <v>Niloy Ghosh</v>
          </cell>
          <cell r="D986" t="str">
            <v>DHK-EXT</v>
          </cell>
          <cell r="E986" t="str">
            <v>DHK-EXT</v>
          </cell>
          <cell r="G986">
            <v>24480</v>
          </cell>
          <cell r="S986">
            <v>0</v>
          </cell>
          <cell r="X986">
            <v>219350</v>
          </cell>
          <cell r="AM986">
            <v>37350</v>
          </cell>
          <cell r="BA986">
            <v>1040985</v>
          </cell>
        </row>
        <row r="987">
          <cell r="A987" t="str">
            <v>ETLCUST-03960</v>
          </cell>
          <cell r="B987" t="str">
            <v>MANDIRA ELETRONICS - SAVAR</v>
          </cell>
          <cell r="C987" t="str">
            <v>Biplop Kumar</v>
          </cell>
          <cell r="D987" t="str">
            <v>DHK-EXT</v>
          </cell>
          <cell r="E987" t="str">
            <v>DHK-EXT</v>
          </cell>
          <cell r="S987">
            <v>0</v>
          </cell>
          <cell r="AM987">
            <v>93240</v>
          </cell>
          <cell r="AQ987">
            <v>0</v>
          </cell>
          <cell r="BA987">
            <v>2453150</v>
          </cell>
        </row>
        <row r="988">
          <cell r="A988" t="str">
            <v>ETLCUST-04998</v>
          </cell>
          <cell r="B988" t="str">
            <v>MANIK COMPUTER - JAMALPUR</v>
          </cell>
          <cell r="C988" t="str">
            <v>Md. Sujon Mia</v>
          </cell>
          <cell r="D988" t="str">
            <v>Mymensingh</v>
          </cell>
          <cell r="E988" t="str">
            <v>Mymensingh</v>
          </cell>
          <cell r="T988">
            <v>22000</v>
          </cell>
          <cell r="X988">
            <v>347125</v>
          </cell>
        </row>
        <row r="989">
          <cell r="A989" t="str">
            <v>ETLCUST-03515</v>
          </cell>
          <cell r="B989" t="str">
            <v>MAP COMPUTER - E. ROAD</v>
          </cell>
          <cell r="C989" t="str">
            <v>Md. Rony Ahmed</v>
          </cell>
          <cell r="D989" t="str">
            <v>DHB</v>
          </cell>
          <cell r="E989" t="str">
            <v>DHB</v>
          </cell>
          <cell r="AO989">
            <v>50375</v>
          </cell>
        </row>
        <row r="990">
          <cell r="A990" t="str">
            <v>ETLCUST-05362</v>
          </cell>
          <cell r="B990" t="str">
            <v>MARIE STOPES BANGLADESH</v>
          </cell>
          <cell r="C990" t="str">
            <v>Rafsan Jani</v>
          </cell>
          <cell r="D990" t="str">
            <v>Corporate</v>
          </cell>
          <cell r="E990" t="str">
            <v>Corporate</v>
          </cell>
          <cell r="U990">
            <v>259414.61</v>
          </cell>
          <cell r="X990">
            <v>20000</v>
          </cell>
          <cell r="AJ990">
            <v>4318.18</v>
          </cell>
          <cell r="AY990">
            <v>1113.04</v>
          </cell>
        </row>
        <row r="991">
          <cell r="A991" t="str">
            <v>ETLCUST-05213</v>
          </cell>
          <cell r="B991" t="str">
            <v>MARS SPORTSWEAR LIMITED</v>
          </cell>
          <cell r="C991" t="str">
            <v>Sayed Golam Murtuza</v>
          </cell>
          <cell r="D991" t="str">
            <v>Corporate</v>
          </cell>
          <cell r="E991" t="str">
            <v>Corporate</v>
          </cell>
          <cell r="R991">
            <v>40000</v>
          </cell>
          <cell r="X991">
            <v>44700</v>
          </cell>
          <cell r="BA991">
            <v>9900</v>
          </cell>
        </row>
        <row r="992">
          <cell r="A992" t="str">
            <v>ETLCUST-02267</v>
          </cell>
          <cell r="B992" t="str">
            <v>MARS STITCH LTD AND INTILLIER LTD.</v>
          </cell>
          <cell r="C992" t="str">
            <v>Ashraful Islam</v>
          </cell>
          <cell r="D992" t="str">
            <v>Corporate</v>
          </cell>
          <cell r="E992" t="str">
            <v>Corporate</v>
          </cell>
          <cell r="U992">
            <v>23072</v>
          </cell>
        </row>
        <row r="993">
          <cell r="A993" t="str">
            <v>ETLCUST-00135</v>
          </cell>
          <cell r="B993" t="str">
            <v>MARUF COMPUTER AND TELECOM - UTTARA</v>
          </cell>
          <cell r="C993" t="str">
            <v>Dulal Sarker</v>
          </cell>
          <cell r="D993" t="str">
            <v>Uttara</v>
          </cell>
          <cell r="E993" t="str">
            <v>Uttara</v>
          </cell>
          <cell r="L993">
            <v>257500</v>
          </cell>
          <cell r="O993">
            <v>14300</v>
          </cell>
          <cell r="P993">
            <v>12900</v>
          </cell>
          <cell r="S993">
            <v>0</v>
          </cell>
          <cell r="U993">
            <v>65700</v>
          </cell>
          <cell r="X993">
            <v>60000</v>
          </cell>
          <cell r="AL993">
            <v>24525</v>
          </cell>
          <cell r="AM993">
            <v>262800</v>
          </cell>
          <cell r="AQ993">
            <v>0</v>
          </cell>
          <cell r="AR993">
            <v>283100</v>
          </cell>
          <cell r="AT993">
            <v>301900</v>
          </cell>
          <cell r="AV993">
            <v>105000</v>
          </cell>
          <cell r="AZ993">
            <v>6700</v>
          </cell>
          <cell r="BA993">
            <v>7274285</v>
          </cell>
        </row>
        <row r="994">
          <cell r="A994" t="str">
            <v>ETLCUST-00215</v>
          </cell>
          <cell r="B994" t="str">
            <v>MARVELLOUS COMPUTER - E.ROAD</v>
          </cell>
          <cell r="C994" t="str">
            <v>Md Shamim Miah</v>
          </cell>
          <cell r="D994" t="str">
            <v>DHB</v>
          </cell>
          <cell r="E994" t="str">
            <v>DHB</v>
          </cell>
          <cell r="BA994">
            <v>374145</v>
          </cell>
        </row>
        <row r="995">
          <cell r="A995" t="str">
            <v>ETLCUST-04560</v>
          </cell>
          <cell r="B995" t="str">
            <v>MAS INTIMATES BANGLADESH (PVT) LTD.</v>
          </cell>
          <cell r="C995" t="str">
            <v>Sayed Golam Murtuza</v>
          </cell>
          <cell r="D995" t="str">
            <v>Corporate</v>
          </cell>
          <cell r="E995" t="str">
            <v>Corporate</v>
          </cell>
          <cell r="X995">
            <v>250000</v>
          </cell>
        </row>
        <row r="996">
          <cell r="A996" t="str">
            <v>ETLCUST-03615</v>
          </cell>
          <cell r="B996" t="str">
            <v>MASTER COMPUTER - MULTIPLAN</v>
          </cell>
          <cell r="C996" t="str">
            <v>Mohammad Mostofa</v>
          </cell>
          <cell r="D996" t="str">
            <v>Multiplan</v>
          </cell>
          <cell r="E996" t="str">
            <v>Multiplan</v>
          </cell>
          <cell r="AF996">
            <v>12000</v>
          </cell>
          <cell r="AO996">
            <v>2625</v>
          </cell>
          <cell r="AT996">
            <v>16000</v>
          </cell>
        </row>
        <row r="997">
          <cell r="A997" t="str">
            <v>ETLCUST-00751</v>
          </cell>
          <cell r="B997" t="str">
            <v>MASTER IT SOLUTION - MULTIPLAN</v>
          </cell>
          <cell r="C997" t="str">
            <v>Md Mokshed Ali</v>
          </cell>
          <cell r="D997" t="str">
            <v>Multiplan</v>
          </cell>
          <cell r="E997" t="str">
            <v>Multiplan</v>
          </cell>
          <cell r="U997">
            <v>228380</v>
          </cell>
        </row>
        <row r="998">
          <cell r="A998" t="str">
            <v>ETLCUST-01245</v>
          </cell>
          <cell r="B998" t="str">
            <v>MASTER TECHNOLOGY - PALTAN</v>
          </cell>
          <cell r="C998" t="str">
            <v>Md. Sahedul Islam</v>
          </cell>
          <cell r="D998" t="str">
            <v>Motijheel</v>
          </cell>
          <cell r="E998" t="str">
            <v>Motijheel</v>
          </cell>
          <cell r="H998">
            <v>24000</v>
          </cell>
          <cell r="T998">
            <v>8311300</v>
          </cell>
          <cell r="X998">
            <v>60000</v>
          </cell>
        </row>
        <row r="999">
          <cell r="A999" t="str">
            <v>ETLCUST-05012</v>
          </cell>
          <cell r="B999" t="str">
            <v>MASUD COMPUTER - SAVAR</v>
          </cell>
          <cell r="C999" t="str">
            <v>Biplop Kumar</v>
          </cell>
          <cell r="D999" t="str">
            <v>DHK-EXT</v>
          </cell>
          <cell r="E999" t="str">
            <v>DHK-EXT</v>
          </cell>
          <cell r="S999">
            <v>0</v>
          </cell>
          <cell r="BA999">
            <v>1078500</v>
          </cell>
        </row>
        <row r="1000">
          <cell r="A1000" t="str">
            <v>ETLCUST-01424</v>
          </cell>
          <cell r="B1000" t="str">
            <v>MASUD ELECTRONICS AND COMPUTER - GAZIPUR</v>
          </cell>
          <cell r="C1000" t="str">
            <v>Md. Rahad</v>
          </cell>
          <cell r="D1000" t="str">
            <v>Uttara</v>
          </cell>
          <cell r="E1000" t="str">
            <v>Uttara</v>
          </cell>
          <cell r="L1000">
            <v>74500</v>
          </cell>
          <cell r="P1000">
            <v>64400</v>
          </cell>
          <cell r="R1000">
            <v>30800</v>
          </cell>
          <cell r="AJ1000">
            <v>26100</v>
          </cell>
          <cell r="AQ1000">
            <v>0</v>
          </cell>
          <cell r="AZ1000">
            <v>52800</v>
          </cell>
          <cell r="BA1000">
            <v>227975</v>
          </cell>
        </row>
        <row r="1001">
          <cell r="A1001" t="str">
            <v>ETLCUST-03710</v>
          </cell>
          <cell r="B1001" t="str">
            <v>MASUM ELECTRIC AND ELECTRONICS - FENI</v>
          </cell>
          <cell r="C1001" t="str">
            <v>Reazuddin</v>
          </cell>
          <cell r="D1001" t="str">
            <v>CTG</v>
          </cell>
          <cell r="E1001" t="str">
            <v>CTG</v>
          </cell>
          <cell r="AM1001">
            <v>760</v>
          </cell>
          <cell r="AQ1001">
            <v>0</v>
          </cell>
          <cell r="BA1001">
            <v>20000</v>
          </cell>
        </row>
        <row r="1002">
          <cell r="A1002" t="str">
            <v>ETLCUST-00790</v>
          </cell>
          <cell r="B1002" t="str">
            <v>MAXELL COMPUTER - RAJSHAHI</v>
          </cell>
          <cell r="C1002" t="str">
            <v>Ahmed Bulbul</v>
          </cell>
          <cell r="D1002" t="str">
            <v>Rajshahi</v>
          </cell>
          <cell r="E1002" t="str">
            <v>Rajshahi</v>
          </cell>
          <cell r="L1002">
            <v>30000</v>
          </cell>
          <cell r="P1002">
            <v>19200</v>
          </cell>
          <cell r="R1002">
            <v>7500</v>
          </cell>
          <cell r="T1002">
            <v>2150</v>
          </cell>
          <cell r="AJ1002">
            <v>3700</v>
          </cell>
          <cell r="AK1002">
            <v>13600</v>
          </cell>
          <cell r="AM1002">
            <v>2125</v>
          </cell>
          <cell r="BA1002">
            <v>31010</v>
          </cell>
        </row>
        <row r="1003">
          <cell r="A1003" t="str">
            <v>ETLCUST-05244</v>
          </cell>
          <cell r="B1003" t="str">
            <v>MAYA TECHNOLOGIES &amp; COMMUNICATION AGENT - RANGPUR</v>
          </cell>
          <cell r="C1003" t="str">
            <v>Md Abdullah Al Mamun</v>
          </cell>
          <cell r="D1003" t="str">
            <v>North Bengal</v>
          </cell>
          <cell r="E1003" t="str">
            <v>North Bengal</v>
          </cell>
          <cell r="G1003">
            <v>33000</v>
          </cell>
          <cell r="U1003">
            <v>17500</v>
          </cell>
          <cell r="AM1003">
            <v>22540</v>
          </cell>
          <cell r="AQ1003">
            <v>0</v>
          </cell>
          <cell r="BA1003">
            <v>331185</v>
          </cell>
        </row>
        <row r="1004">
          <cell r="A1004" t="str">
            <v>ETLCUST-00476</v>
          </cell>
          <cell r="B1004" t="str">
            <v>MAYER DOA ELECTRONICS - GULISTAN</v>
          </cell>
          <cell r="C1004" t="str">
            <v>Md Kamrul Hasan Sabuz</v>
          </cell>
          <cell r="D1004" t="str">
            <v>Gulistan</v>
          </cell>
          <cell r="E1004" t="str">
            <v>Gulistan</v>
          </cell>
          <cell r="AZ1004">
            <v>83000</v>
          </cell>
        </row>
        <row r="1005">
          <cell r="A1005" t="str">
            <v>ETLCUST-05393</v>
          </cell>
          <cell r="B1005" t="str">
            <v>MEHARAJ ELECTRONICS - MONGLA</v>
          </cell>
          <cell r="C1005" t="str">
            <v>Imrul Rayhan</v>
          </cell>
          <cell r="D1005" t="str">
            <v>Khulna</v>
          </cell>
          <cell r="E1005" t="str">
            <v>Khulna</v>
          </cell>
          <cell r="AM1005">
            <v>3500</v>
          </cell>
          <cell r="BA1005">
            <v>46225</v>
          </cell>
        </row>
        <row r="1006">
          <cell r="A1006" t="str">
            <v>ETLCUST-00809</v>
          </cell>
          <cell r="B1006" t="str">
            <v>MELODY COMPUTER - NAOGAON</v>
          </cell>
          <cell r="C1006" t="str">
            <v>Md. Abu Basar</v>
          </cell>
          <cell r="D1006" t="str">
            <v>Rajshahi</v>
          </cell>
          <cell r="E1006" t="str">
            <v>Rajshahi</v>
          </cell>
          <cell r="P1006">
            <v>38400</v>
          </cell>
          <cell r="R1006">
            <v>130160</v>
          </cell>
          <cell r="S1006">
            <v>0</v>
          </cell>
          <cell r="V1006">
            <v>54000</v>
          </cell>
          <cell r="AM1006">
            <v>64445</v>
          </cell>
          <cell r="AO1006">
            <v>7550</v>
          </cell>
          <cell r="BA1006">
            <v>600350</v>
          </cell>
        </row>
        <row r="1007">
          <cell r="A1007" t="str">
            <v>ETLCUST-01334</v>
          </cell>
          <cell r="B1007" t="str">
            <v>MEMORY COMPUTER - CHAUMUHANI</v>
          </cell>
          <cell r="C1007" t="str">
            <v>Reazuddin</v>
          </cell>
          <cell r="D1007" t="str">
            <v>CTG</v>
          </cell>
          <cell r="E1007" t="str">
            <v>CTG</v>
          </cell>
          <cell r="T1007">
            <v>391500</v>
          </cell>
          <cell r="X1007">
            <v>3062892</v>
          </cell>
          <cell r="AL1007">
            <v>218200</v>
          </cell>
          <cell r="BA1007">
            <v>572125</v>
          </cell>
        </row>
        <row r="1008">
          <cell r="A1008" t="str">
            <v>ETLCUST-05268</v>
          </cell>
          <cell r="B1008" t="str">
            <v>MESSERS BONDHON ELECTRONICS - CHAUDDAGRAM</v>
          </cell>
          <cell r="C1008" t="str">
            <v>Nazmul Amin Sajib</v>
          </cell>
          <cell r="D1008" t="str">
            <v>CTG</v>
          </cell>
          <cell r="E1008" t="str">
            <v>CTG</v>
          </cell>
          <cell r="T1008">
            <v>53900</v>
          </cell>
          <cell r="X1008">
            <v>117725</v>
          </cell>
        </row>
        <row r="1009">
          <cell r="A1009" t="str">
            <v>ETLCUST-01481</v>
          </cell>
          <cell r="B1009" t="str">
            <v>METRO COMPUTER - CTG</v>
          </cell>
          <cell r="C1009" t="str">
            <v>Shahidul Alam Chowdhury</v>
          </cell>
          <cell r="D1009" t="str">
            <v>CTG</v>
          </cell>
          <cell r="E1009" t="str">
            <v>CTG</v>
          </cell>
          <cell r="P1009">
            <v>32500</v>
          </cell>
          <cell r="S1009">
            <v>0</v>
          </cell>
          <cell r="T1009">
            <v>39000</v>
          </cell>
          <cell r="X1009">
            <v>36300</v>
          </cell>
          <cell r="AL1009">
            <v>34450</v>
          </cell>
          <cell r="AM1009">
            <v>90610</v>
          </cell>
          <cell r="AR1009">
            <v>6890</v>
          </cell>
          <cell r="BA1009">
            <v>1054155</v>
          </cell>
        </row>
        <row r="1010">
          <cell r="A1010" t="str">
            <v>ETLCUST-05065</v>
          </cell>
          <cell r="B1010" t="str">
            <v>MH COMPUTER-PURANA PALTON</v>
          </cell>
          <cell r="C1010" t="str">
            <v>Md. Akram Rashid</v>
          </cell>
          <cell r="D1010" t="str">
            <v>Motijheel</v>
          </cell>
          <cell r="E1010" t="str">
            <v>Motijheel</v>
          </cell>
          <cell r="R1010">
            <v>1863500</v>
          </cell>
        </row>
        <row r="1011">
          <cell r="A1011" t="str">
            <v>ETLCUST-03851</v>
          </cell>
          <cell r="B1011" t="str">
            <v>MH TRADE INTERNATIONAL - SUVASTU</v>
          </cell>
          <cell r="C1011" t="str">
            <v>Md Shamim Miah</v>
          </cell>
          <cell r="D1011" t="str">
            <v>DHB</v>
          </cell>
          <cell r="E1011" t="str">
            <v>DHB</v>
          </cell>
          <cell r="U1011">
            <v>3750</v>
          </cell>
        </row>
        <row r="1012">
          <cell r="A1012" t="str">
            <v>ETLCUST-01558</v>
          </cell>
          <cell r="B1012" t="str">
            <v>MICRO IT SOLUTION - CTG</v>
          </cell>
          <cell r="C1012" t="str">
            <v>Shahidul Alam Chowdhury</v>
          </cell>
          <cell r="D1012" t="str">
            <v>CTG</v>
          </cell>
          <cell r="E1012" t="str">
            <v>CTG</v>
          </cell>
          <cell r="L1012">
            <v>25500</v>
          </cell>
        </row>
        <row r="1013">
          <cell r="A1013" t="str">
            <v>ETLCUST-04167</v>
          </cell>
          <cell r="B1013" t="str">
            <v>MICROTECH COMPUTER &amp; SOLUTIONS - MAGURA</v>
          </cell>
          <cell r="C1013" t="str">
            <v>Md Rakibul Islam</v>
          </cell>
          <cell r="D1013" t="str">
            <v>South Bengal</v>
          </cell>
          <cell r="E1013" t="str">
            <v>South Bengal</v>
          </cell>
          <cell r="G1013">
            <v>86000</v>
          </cell>
          <cell r="P1013">
            <v>9600</v>
          </cell>
          <cell r="S1013">
            <v>0</v>
          </cell>
          <cell r="AF1013">
            <v>73700</v>
          </cell>
          <cell r="AM1013">
            <v>34410</v>
          </cell>
          <cell r="AQ1013">
            <v>0</v>
          </cell>
          <cell r="BA1013">
            <v>331240</v>
          </cell>
        </row>
        <row r="1014">
          <cell r="A1014" t="str">
            <v>ETLCUST-04845</v>
          </cell>
          <cell r="B1014" t="str">
            <v>MIDAS SAFETY BANGLADESH LIMITED</v>
          </cell>
          <cell r="C1014" t="str">
            <v>Mohammed Nurul Huda</v>
          </cell>
          <cell r="D1014" t="str">
            <v>Corporate</v>
          </cell>
          <cell r="E1014" t="str">
            <v>Corporate</v>
          </cell>
          <cell r="AY1014">
            <v>5978.26</v>
          </cell>
        </row>
        <row r="1015">
          <cell r="A1015" t="str">
            <v>ETLCUST-02279</v>
          </cell>
          <cell r="B1015" t="str">
            <v>MIDLAND BANK PLC.</v>
          </cell>
          <cell r="C1015" t="str">
            <v>Mohammad Maruf Hasan</v>
          </cell>
          <cell r="D1015" t="str">
            <v>Corporate</v>
          </cell>
          <cell r="E1015" t="str">
            <v>Corporate</v>
          </cell>
          <cell r="U1015">
            <v>47272.72</v>
          </cell>
          <cell r="X1015">
            <v>155730.85</v>
          </cell>
          <cell r="AY1015">
            <v>175480.77</v>
          </cell>
        </row>
        <row r="1016">
          <cell r="A1016" t="str">
            <v>ETLCUST-01278</v>
          </cell>
          <cell r="B1016" t="str">
            <v>MIDLAND COMPUTER - MYMENSINGH</v>
          </cell>
          <cell r="C1016" t="str">
            <v>Rafiqul Islam Sumon</v>
          </cell>
          <cell r="D1016" t="str">
            <v>Mymensingh</v>
          </cell>
          <cell r="E1016" t="str">
            <v>Mymensingh</v>
          </cell>
          <cell r="S1016">
            <v>0</v>
          </cell>
          <cell r="T1016">
            <v>175050</v>
          </cell>
          <cell r="X1016">
            <v>300000</v>
          </cell>
          <cell r="AM1016">
            <v>637285</v>
          </cell>
          <cell r="AO1016">
            <v>13500</v>
          </cell>
          <cell r="AQ1016">
            <v>0</v>
          </cell>
          <cell r="BA1016">
            <v>3323605</v>
          </cell>
        </row>
        <row r="1017">
          <cell r="A1017" t="str">
            <v>ETLCUST-04157</v>
          </cell>
          <cell r="B1017" t="str">
            <v>MILESTONE COLLEGE</v>
          </cell>
          <cell r="C1017" t="str">
            <v>Hasibul Hasan Symoon</v>
          </cell>
          <cell r="D1017" t="str">
            <v>Corporate</v>
          </cell>
          <cell r="E1017" t="str">
            <v>Corporate</v>
          </cell>
          <cell r="AS1017">
            <v>1046000</v>
          </cell>
        </row>
        <row r="1018">
          <cell r="A1018" t="str">
            <v>ETLCUST-02985</v>
          </cell>
          <cell r="B1018" t="str">
            <v>MIM COMPUTER - KHUNLA</v>
          </cell>
          <cell r="C1018" t="str">
            <v>Imrul Rayhan</v>
          </cell>
          <cell r="D1018" t="str">
            <v>Khulna</v>
          </cell>
          <cell r="E1018" t="str">
            <v>Khulna</v>
          </cell>
          <cell r="X1018">
            <v>24000</v>
          </cell>
          <cell r="AP1018">
            <v>4900</v>
          </cell>
        </row>
        <row r="1019">
          <cell r="A1019" t="str">
            <v>ETLCUST-00898</v>
          </cell>
          <cell r="B1019" t="str">
            <v>MIM MOON COMPUTER - MAGURA</v>
          </cell>
          <cell r="C1019" t="str">
            <v>Md Rakibul Islam</v>
          </cell>
          <cell r="D1019" t="str">
            <v>South Bengal</v>
          </cell>
          <cell r="E1019" t="str">
            <v>South Bengal</v>
          </cell>
          <cell r="G1019">
            <v>50000</v>
          </cell>
          <cell r="P1019">
            <v>9600</v>
          </cell>
          <cell r="V1019">
            <v>6520</v>
          </cell>
          <cell r="AJ1019">
            <v>1850</v>
          </cell>
          <cell r="AL1019">
            <v>6625</v>
          </cell>
          <cell r="AM1019">
            <v>3050</v>
          </cell>
          <cell r="AO1019">
            <v>19060</v>
          </cell>
          <cell r="AZ1019">
            <v>35650</v>
          </cell>
        </row>
        <row r="1020">
          <cell r="A1020" t="str">
            <v>ETLCUST-03394</v>
          </cell>
          <cell r="B1020" t="str">
            <v>MINTU ELECTRONICS - ISP DINAJPUR</v>
          </cell>
          <cell r="C1020" t="str">
            <v>Akramul Haque</v>
          </cell>
          <cell r="D1020" t="str">
            <v>North Bengal</v>
          </cell>
          <cell r="E1020" t="str">
            <v>North Bengal</v>
          </cell>
          <cell r="G1020">
            <v>102000</v>
          </cell>
          <cell r="S1020">
            <v>0</v>
          </cell>
          <cell r="AL1020">
            <v>49025</v>
          </cell>
          <cell r="AM1020">
            <v>406200</v>
          </cell>
          <cell r="AQ1020">
            <v>0</v>
          </cell>
          <cell r="BA1020">
            <v>1252695</v>
          </cell>
        </row>
        <row r="1021">
          <cell r="A1021" t="str">
            <v>ETLCUST-03190</v>
          </cell>
          <cell r="B1021" t="str">
            <v>MIRSARAI ONLINE - CHITTAGONG</v>
          </cell>
          <cell r="C1021" t="str">
            <v>Mohammad Mamunur Rashid</v>
          </cell>
          <cell r="D1021" t="str">
            <v>CTG</v>
          </cell>
          <cell r="E1021" t="str">
            <v>CTG</v>
          </cell>
          <cell r="T1021">
            <v>6950</v>
          </cell>
        </row>
        <row r="1022">
          <cell r="A1022" t="str">
            <v>ETLCUST-02896</v>
          </cell>
          <cell r="B1022" t="str">
            <v>MISSION COMPUTER AND TECHNOLOGY - GULSHAN</v>
          </cell>
          <cell r="C1022" t="str">
            <v>Jiku Saha</v>
          </cell>
          <cell r="D1022" t="str">
            <v>Uttara</v>
          </cell>
          <cell r="E1022" t="str">
            <v>Uttara</v>
          </cell>
          <cell r="R1022">
            <v>36000</v>
          </cell>
          <cell r="S1022">
            <v>0</v>
          </cell>
          <cell r="V1022">
            <v>54750</v>
          </cell>
          <cell r="AL1022">
            <v>15900</v>
          </cell>
          <cell r="AT1022">
            <v>20500</v>
          </cell>
          <cell r="BA1022">
            <v>455600</v>
          </cell>
        </row>
        <row r="1023">
          <cell r="A1023" t="str">
            <v>ETLCUST-00070</v>
          </cell>
          <cell r="B1023" t="str">
            <v>MITALI ELECTRONICS - ASHULIA</v>
          </cell>
          <cell r="C1023" t="str">
            <v>Biplop Kumar</v>
          </cell>
          <cell r="D1023" t="str">
            <v>DHK-EXT</v>
          </cell>
          <cell r="E1023" t="str">
            <v>DHK-EXT</v>
          </cell>
          <cell r="X1023">
            <v>97600</v>
          </cell>
          <cell r="AZ1023">
            <v>503550</v>
          </cell>
        </row>
        <row r="1024">
          <cell r="A1024" t="str">
            <v>ETLCUST-00887</v>
          </cell>
          <cell r="B1024" t="str">
            <v>MITHU ELECTRONICS AND COMPUTER SYSTEMS - JHENAIDAH</v>
          </cell>
          <cell r="C1024" t="str">
            <v>Md Rakibul Islam</v>
          </cell>
          <cell r="D1024" t="str">
            <v>South Bengal</v>
          </cell>
          <cell r="E1024" t="str">
            <v>South Bengal</v>
          </cell>
          <cell r="G1024">
            <v>106500</v>
          </cell>
          <cell r="O1024">
            <v>1600</v>
          </cell>
          <cell r="P1024">
            <v>38400</v>
          </cell>
          <cell r="R1024">
            <v>138600</v>
          </cell>
          <cell r="S1024">
            <v>0</v>
          </cell>
          <cell r="V1024">
            <v>18675</v>
          </cell>
          <cell r="X1024">
            <v>226500</v>
          </cell>
          <cell r="AL1024">
            <v>21875</v>
          </cell>
          <cell r="AO1024">
            <v>22800</v>
          </cell>
          <cell r="AQ1024">
            <v>0</v>
          </cell>
          <cell r="AT1024">
            <v>14700</v>
          </cell>
          <cell r="AZ1024">
            <v>50250</v>
          </cell>
          <cell r="BA1024">
            <v>515080</v>
          </cell>
        </row>
        <row r="1025">
          <cell r="A1025" t="str">
            <v>ETLCUST-04201</v>
          </cell>
          <cell r="B1025" t="str">
            <v>MITHUN ELECTRONICS - SATKHIRA</v>
          </cell>
          <cell r="C1025" t="str">
            <v>Imrul Rayhan</v>
          </cell>
          <cell r="D1025" t="str">
            <v>Khulna</v>
          </cell>
          <cell r="E1025" t="str">
            <v>Khulna</v>
          </cell>
          <cell r="G1025">
            <v>318000</v>
          </cell>
          <cell r="AM1025">
            <v>535690</v>
          </cell>
          <cell r="AQ1025">
            <v>0</v>
          </cell>
          <cell r="BA1025">
            <v>2977630</v>
          </cell>
        </row>
        <row r="1026">
          <cell r="A1026" t="str">
            <v>ETLCUST-00683</v>
          </cell>
          <cell r="B1026" t="str">
            <v>MITTRA COMPUTER - NORAIL</v>
          </cell>
          <cell r="C1026" t="str">
            <v>Md Husaun</v>
          </cell>
          <cell r="D1026" t="str">
            <v>Khulna</v>
          </cell>
          <cell r="E1026" t="str">
            <v>Khulna</v>
          </cell>
          <cell r="T1026">
            <v>17000</v>
          </cell>
        </row>
        <row r="1027">
          <cell r="A1027" t="str">
            <v>ETLCUST-04649</v>
          </cell>
          <cell r="B1027" t="str">
            <v>MIZAN COMPUTER - MOTIJHEEL</v>
          </cell>
          <cell r="C1027" t="str">
            <v>Hridoy Chandra Das</v>
          </cell>
          <cell r="D1027" t="str">
            <v>Motijheel</v>
          </cell>
          <cell r="E1027" t="str">
            <v>Motijheel</v>
          </cell>
          <cell r="R1027">
            <v>547500</v>
          </cell>
          <cell r="AT1027">
            <v>304100</v>
          </cell>
        </row>
        <row r="1028">
          <cell r="A1028" t="str">
            <v>ETLCUST-03975</v>
          </cell>
          <cell r="B1028" t="str">
            <v>MK Enterprise  -  Sonirakra</v>
          </cell>
          <cell r="C1028" t="str">
            <v>Md Kamrul Hasan Sabuz</v>
          </cell>
          <cell r="D1028" t="str">
            <v>Gulistan</v>
          </cell>
          <cell r="E1028" t="str">
            <v>Gulistan</v>
          </cell>
          <cell r="T1028">
            <v>30500</v>
          </cell>
          <cell r="X1028">
            <v>174500</v>
          </cell>
        </row>
        <row r="1029">
          <cell r="A1029" t="str">
            <v>ETLCUST-04712</v>
          </cell>
          <cell r="B1029" t="str">
            <v>MK TECHNOLOGY - SHARIATPUR</v>
          </cell>
          <cell r="C1029" t="str">
            <v>Hanif shek</v>
          </cell>
          <cell r="D1029" t="str">
            <v>South Bengal</v>
          </cell>
          <cell r="E1029" t="str">
            <v>South Bengal</v>
          </cell>
          <cell r="AX1029">
            <v>10500</v>
          </cell>
        </row>
        <row r="1030">
          <cell r="A1030" t="str">
            <v>ETLCUST-04778</v>
          </cell>
          <cell r="B1030" t="str">
            <v>MM COMPUTER - LAKSHAM</v>
          </cell>
          <cell r="C1030" t="str">
            <v>Nazmul Amin Sajib</v>
          </cell>
          <cell r="D1030" t="str">
            <v>CTG</v>
          </cell>
          <cell r="E1030" t="str">
            <v>CTG</v>
          </cell>
          <cell r="X1030">
            <v>85375</v>
          </cell>
        </row>
        <row r="1031">
          <cell r="A1031" t="str">
            <v>ETLCUST-04796</v>
          </cell>
          <cell r="B1031" t="str">
            <v>MN COMPUTER - SHERPUR</v>
          </cell>
          <cell r="C1031" t="str">
            <v>Md. Sujon Mia</v>
          </cell>
          <cell r="D1031" t="str">
            <v>Mymensingh</v>
          </cell>
          <cell r="E1031" t="str">
            <v>Mymensingh</v>
          </cell>
          <cell r="X1031">
            <v>2248475</v>
          </cell>
          <cell r="AZ1031">
            <v>137950</v>
          </cell>
        </row>
        <row r="1032">
          <cell r="A1032" t="str">
            <v>ETLCUST-00394</v>
          </cell>
          <cell r="B1032" t="str">
            <v>MOBITECH COMPUTER AND NETWORKS - E.ROAD</v>
          </cell>
          <cell r="C1032" t="str">
            <v>Mohotasim Rana</v>
          </cell>
          <cell r="D1032" t="str">
            <v>DHB</v>
          </cell>
          <cell r="E1032" t="str">
            <v>DHB</v>
          </cell>
          <cell r="G1032">
            <v>112000</v>
          </cell>
          <cell r="S1032">
            <v>0</v>
          </cell>
          <cell r="AM1032">
            <v>43170</v>
          </cell>
          <cell r="AR1032">
            <v>5700</v>
          </cell>
          <cell r="BA1032">
            <v>4325370</v>
          </cell>
        </row>
        <row r="1033">
          <cell r="A1033" t="str">
            <v>ETLCUST-04900</v>
          </cell>
          <cell r="B1033" t="str">
            <v>MODELE DE CAPITAL IND. LTD.</v>
          </cell>
          <cell r="C1033" t="str">
            <v>Sabbir Ahmed</v>
          </cell>
          <cell r="D1033" t="str">
            <v>Corporate</v>
          </cell>
          <cell r="E1033" t="str">
            <v>Corporate</v>
          </cell>
          <cell r="X1033">
            <v>625600</v>
          </cell>
          <cell r="AJ1033">
            <v>-89000</v>
          </cell>
        </row>
        <row r="1034">
          <cell r="A1034" t="str">
            <v>ETLCUST-00026</v>
          </cell>
          <cell r="B1034" t="str">
            <v>MODERN COMPUTER - DINAJPUR</v>
          </cell>
          <cell r="C1034" t="str">
            <v>Akramul Haque</v>
          </cell>
          <cell r="D1034" t="str">
            <v>North Bengal</v>
          </cell>
          <cell r="E1034" t="str">
            <v>North Bengal</v>
          </cell>
          <cell r="T1034">
            <v>34900</v>
          </cell>
          <cell r="X1034">
            <v>393025</v>
          </cell>
          <cell r="AM1034">
            <v>6270</v>
          </cell>
          <cell r="BA1034">
            <v>95635</v>
          </cell>
        </row>
        <row r="1035">
          <cell r="A1035" t="str">
            <v>ETLCUST-00893</v>
          </cell>
          <cell r="B1035" t="str">
            <v>MODERN COMPUTER - SHAILKUPA</v>
          </cell>
          <cell r="C1035" t="str">
            <v>Md Rakibul Islam</v>
          </cell>
          <cell r="D1035" t="str">
            <v>South Bengal</v>
          </cell>
          <cell r="E1035" t="str">
            <v>South Bengal</v>
          </cell>
          <cell r="G1035">
            <v>86000</v>
          </cell>
          <cell r="Q1035">
            <v>1350</v>
          </cell>
          <cell r="S1035">
            <v>0</v>
          </cell>
          <cell r="X1035">
            <v>118450</v>
          </cell>
          <cell r="AL1035">
            <v>2950</v>
          </cell>
          <cell r="AM1035">
            <v>44680</v>
          </cell>
          <cell r="AQ1035">
            <v>0</v>
          </cell>
          <cell r="AT1035">
            <v>4100</v>
          </cell>
          <cell r="BA1035">
            <v>380510</v>
          </cell>
        </row>
        <row r="1036">
          <cell r="A1036" t="str">
            <v>ETLCUST-00344</v>
          </cell>
          <cell r="B1036" t="str">
            <v>MODERN OFFICE EQUIPMENT - MOHAKHALI</v>
          </cell>
          <cell r="C1036" t="str">
            <v>Jiku Saha</v>
          </cell>
          <cell r="D1036" t="str">
            <v>Uttara</v>
          </cell>
          <cell r="E1036" t="str">
            <v>Uttara</v>
          </cell>
          <cell r="R1036">
            <v>144000</v>
          </cell>
          <cell r="Y1036">
            <v>684000</v>
          </cell>
          <cell r="AN1036">
            <v>1291000</v>
          </cell>
        </row>
        <row r="1037">
          <cell r="A1037" t="str">
            <v>ETLCUST-00438</v>
          </cell>
          <cell r="B1037" t="str">
            <v>MODERN SECURITY SOLUTION - MOTALEB PLAZA</v>
          </cell>
          <cell r="C1037" t="str">
            <v>Md Shamim Miah</v>
          </cell>
          <cell r="D1037" t="str">
            <v>DHB</v>
          </cell>
          <cell r="E1037" t="str">
            <v>DHB</v>
          </cell>
          <cell r="S1037">
            <v>0</v>
          </cell>
          <cell r="T1037">
            <v>7050</v>
          </cell>
          <cell r="AM1037">
            <v>523440</v>
          </cell>
          <cell r="AO1037">
            <v>101175</v>
          </cell>
          <cell r="AQ1037">
            <v>0</v>
          </cell>
          <cell r="BA1037">
            <v>4285085</v>
          </cell>
        </row>
        <row r="1038">
          <cell r="A1038" t="str">
            <v>ETLCUST-01242</v>
          </cell>
          <cell r="B1038" t="str">
            <v>MODERN TELECOM SYSTEM - MOTIJHEEL</v>
          </cell>
          <cell r="C1038" t="str">
            <v>Md. Abdus Satter</v>
          </cell>
          <cell r="D1038" t="str">
            <v>HO-SI</v>
          </cell>
          <cell r="E1038" t="str">
            <v>HO-SI</v>
          </cell>
          <cell r="X1038">
            <v>229000</v>
          </cell>
        </row>
        <row r="1039">
          <cell r="A1039" t="str">
            <v>ETLCUST-04034</v>
          </cell>
          <cell r="B1039" t="str">
            <v>MOFIZ ELECTRONICS SERVICING CENTER - COX'S BAZAR</v>
          </cell>
          <cell r="C1039" t="str">
            <v>Md. Mamunur Rashid</v>
          </cell>
          <cell r="D1039" t="str">
            <v>CTG</v>
          </cell>
          <cell r="E1039" t="str">
            <v>CTG</v>
          </cell>
          <cell r="G1039">
            <v>80000</v>
          </cell>
          <cell r="Q1039">
            <v>890</v>
          </cell>
          <cell r="AM1039">
            <v>50760</v>
          </cell>
          <cell r="BA1039">
            <v>704850</v>
          </cell>
        </row>
        <row r="1040">
          <cell r="A1040" t="str">
            <v>ETLCUST-04777</v>
          </cell>
          <cell r="B1040" t="str">
            <v>MOJAHID ELECTRONICS - FARIDPUR</v>
          </cell>
          <cell r="C1040" t="str">
            <v>Hanif shek</v>
          </cell>
          <cell r="D1040" t="str">
            <v>South Bengal</v>
          </cell>
          <cell r="E1040" t="str">
            <v>South Bengal</v>
          </cell>
          <cell r="G1040">
            <v>212000</v>
          </cell>
          <cell r="T1040">
            <v>44000</v>
          </cell>
          <cell r="AM1040">
            <v>17260</v>
          </cell>
          <cell r="AZ1040">
            <v>29550</v>
          </cell>
          <cell r="BA1040">
            <v>25900</v>
          </cell>
        </row>
        <row r="1041">
          <cell r="A1041" t="str">
            <v>ETLCUST-03135</v>
          </cell>
          <cell r="B1041" t="str">
            <v>MOLLA ELECTRONICS-02 - GULISTAN</v>
          </cell>
          <cell r="C1041" t="str">
            <v>Shamim Hossain</v>
          </cell>
          <cell r="D1041" t="str">
            <v>Gulistan</v>
          </cell>
          <cell r="E1041" t="str">
            <v>Gulistan</v>
          </cell>
          <cell r="AZ1041">
            <v>575850</v>
          </cell>
        </row>
        <row r="1042">
          <cell r="A1042" t="str">
            <v>ETLCUST-04528</v>
          </cell>
          <cell r="B1042" t="str">
            <v>MOLLICK STORE - PIROJPUR</v>
          </cell>
          <cell r="C1042" t="str">
            <v>Md. Aminul Islam</v>
          </cell>
          <cell r="D1042" t="str">
            <v>South Bengal</v>
          </cell>
          <cell r="E1042" t="str">
            <v>South Bengal</v>
          </cell>
          <cell r="G1042">
            <v>102000</v>
          </cell>
          <cell r="S1042">
            <v>0</v>
          </cell>
          <cell r="X1042">
            <v>7250</v>
          </cell>
          <cell r="AL1042">
            <v>15900</v>
          </cell>
          <cell r="AM1042">
            <v>419925</v>
          </cell>
          <cell r="AQ1042">
            <v>0</v>
          </cell>
          <cell r="BA1042">
            <v>2267760</v>
          </cell>
        </row>
        <row r="1043">
          <cell r="A1043" t="str">
            <v>ETLCUST-05421</v>
          </cell>
          <cell r="B1043" t="str">
            <v>MOMOTA TRADERS - NIAMOTPUR</v>
          </cell>
          <cell r="C1043" t="str">
            <v>Md. Abu Basar</v>
          </cell>
          <cell r="D1043" t="str">
            <v>Rajshahi</v>
          </cell>
          <cell r="E1043" t="str">
            <v>Rajshahi</v>
          </cell>
          <cell r="G1043">
            <v>20000</v>
          </cell>
          <cell r="S1043">
            <v>0</v>
          </cell>
          <cell r="BA1043">
            <v>93000</v>
          </cell>
        </row>
        <row r="1044">
          <cell r="A1044" t="str">
            <v>ETLCUST-03708</v>
          </cell>
          <cell r="B1044" t="str">
            <v>MONARCH ENGINEERS - MULTIPLAN</v>
          </cell>
          <cell r="C1044" t="str">
            <v>Md Mokshed Ali</v>
          </cell>
          <cell r="D1044" t="str">
            <v>Multiplan</v>
          </cell>
          <cell r="E1044" t="str">
            <v>Multiplan</v>
          </cell>
          <cell r="P1044">
            <v>121600</v>
          </cell>
          <cell r="U1044">
            <v>231400</v>
          </cell>
          <cell r="AJ1044">
            <v>138000</v>
          </cell>
        </row>
        <row r="1045">
          <cell r="A1045" t="str">
            <v>ETLCUST-01084</v>
          </cell>
          <cell r="B1045" t="str">
            <v>MONARCH IT - IDB</v>
          </cell>
          <cell r="C1045" t="str">
            <v>Amit Sarker</v>
          </cell>
          <cell r="D1045" t="str">
            <v>IDB</v>
          </cell>
          <cell r="E1045" t="str">
            <v>IDB</v>
          </cell>
          <cell r="BA1045">
            <v>197900</v>
          </cell>
        </row>
        <row r="1046">
          <cell r="A1046" t="str">
            <v>ETLCUST-02285</v>
          </cell>
          <cell r="B1046" t="str">
            <v>MONDOL GROUP</v>
          </cell>
          <cell r="C1046" t="str">
            <v>Abu Zahid Sobuj</v>
          </cell>
          <cell r="D1046" t="str">
            <v>Corporate</v>
          </cell>
          <cell r="E1046" t="str">
            <v>Corporate</v>
          </cell>
          <cell r="U1046">
            <v>451900</v>
          </cell>
          <cell r="AA1046">
            <v>54850</v>
          </cell>
          <cell r="AN1046">
            <v>0</v>
          </cell>
          <cell r="AV1046">
            <v>17500</v>
          </cell>
        </row>
        <row r="1047">
          <cell r="A1047" t="str">
            <v>ETLCUST-00471</v>
          </cell>
          <cell r="B1047" t="str">
            <v>MONIR ENTERPRISE - GULISTAN</v>
          </cell>
          <cell r="C1047" t="str">
            <v>Md Kamrul Hasan Sabuz</v>
          </cell>
          <cell r="D1047" t="str">
            <v>Gulistan</v>
          </cell>
          <cell r="E1047" t="str">
            <v>Gulistan</v>
          </cell>
          <cell r="AZ1047">
            <v>21700</v>
          </cell>
        </row>
        <row r="1048">
          <cell r="A1048" t="str">
            <v>ETLCUST-00063</v>
          </cell>
          <cell r="B1048" t="str">
            <v>MOON MOON PHARMACY AND MEDIA - SAVAR</v>
          </cell>
          <cell r="C1048" t="str">
            <v>Biplop Kumar</v>
          </cell>
          <cell r="D1048" t="str">
            <v>DHK-EXT</v>
          </cell>
          <cell r="E1048" t="str">
            <v>DHK-EXT</v>
          </cell>
          <cell r="X1048">
            <v>12000</v>
          </cell>
          <cell r="AJ1048">
            <v>28975</v>
          </cell>
          <cell r="AO1048">
            <v>11400</v>
          </cell>
          <cell r="BA1048">
            <v>322480</v>
          </cell>
        </row>
        <row r="1049">
          <cell r="A1049" t="str">
            <v>ETLCUST-05347</v>
          </cell>
          <cell r="B1049" t="str">
            <v>MORELGANJ ELECTRONICS - BAGERHAT</v>
          </cell>
          <cell r="C1049" t="str">
            <v>Imrul Rayhan</v>
          </cell>
          <cell r="D1049" t="str">
            <v>Khulna</v>
          </cell>
          <cell r="E1049" t="str">
            <v>Khulna</v>
          </cell>
          <cell r="G1049">
            <v>10000</v>
          </cell>
          <cell r="AQ1049">
            <v>0</v>
          </cell>
          <cell r="BA1049">
            <v>55420</v>
          </cell>
        </row>
        <row r="1050">
          <cell r="A1050" t="str">
            <v>ETLCUST-04360</v>
          </cell>
          <cell r="B1050" t="str">
            <v>MORIUM ELECTRONICS - GULISTAN</v>
          </cell>
          <cell r="C1050" t="str">
            <v>Md Kamrul Hasan Sabuz</v>
          </cell>
          <cell r="D1050" t="str">
            <v>Gulistan</v>
          </cell>
          <cell r="E1050" t="str">
            <v>Gulistan</v>
          </cell>
          <cell r="AZ1050">
            <v>13000</v>
          </cell>
        </row>
        <row r="1051">
          <cell r="A1051" t="str">
            <v>ETLCUST-02911</v>
          </cell>
          <cell r="B1051" t="str">
            <v>MOSA  ENTERPRISE - BHAIRAB</v>
          </cell>
          <cell r="C1051" t="str">
            <v>Md. Imran Miah Khandakar</v>
          </cell>
          <cell r="D1051" t="str">
            <v>Sylhet</v>
          </cell>
          <cell r="E1051" t="str">
            <v>Sylhet</v>
          </cell>
          <cell r="G1051">
            <v>1500000</v>
          </cell>
          <cell r="Q1051">
            <v>890</v>
          </cell>
          <cell r="S1051">
            <v>0</v>
          </cell>
          <cell r="T1051">
            <v>116000</v>
          </cell>
          <cell r="AL1051">
            <v>506880</v>
          </cell>
          <cell r="AM1051">
            <v>667675</v>
          </cell>
          <cell r="BA1051">
            <v>2928460</v>
          </cell>
        </row>
        <row r="1052">
          <cell r="A1052" t="str">
            <v>ETLCUST-00209</v>
          </cell>
          <cell r="B1052" t="str">
            <v>MOTHER COMPUTER - E.ROAD</v>
          </cell>
          <cell r="C1052" t="str">
            <v>Md Shamim Miah</v>
          </cell>
          <cell r="D1052" t="str">
            <v>DHB</v>
          </cell>
          <cell r="E1052" t="str">
            <v>DHB</v>
          </cell>
          <cell r="AL1052">
            <v>49025</v>
          </cell>
          <cell r="AO1052">
            <v>164225</v>
          </cell>
        </row>
        <row r="1053">
          <cell r="A1053" t="str">
            <v>ETLCUST-01459</v>
          </cell>
          <cell r="B1053" t="str">
            <v>MOU RECORDING CENTER - BARISAL</v>
          </cell>
          <cell r="C1053" t="str">
            <v>Shah Imran</v>
          </cell>
          <cell r="D1053" t="str">
            <v>South Bengal</v>
          </cell>
          <cell r="E1053" t="str">
            <v>South Bengal</v>
          </cell>
          <cell r="V1053">
            <v>26000</v>
          </cell>
          <cell r="AL1053">
            <v>49060</v>
          </cell>
        </row>
        <row r="1054">
          <cell r="A1054" t="str">
            <v>ETLCUST-01450</v>
          </cell>
          <cell r="B1054" t="str">
            <v>MOW ELECTRONICS - BARISAL</v>
          </cell>
          <cell r="C1054" t="str">
            <v>Shah Imran</v>
          </cell>
          <cell r="D1054" t="str">
            <v>South Bengal</v>
          </cell>
          <cell r="E1054" t="str">
            <v>South Bengal</v>
          </cell>
          <cell r="G1054">
            <v>100700</v>
          </cell>
          <cell r="S1054">
            <v>0</v>
          </cell>
          <cell r="X1054">
            <v>15000</v>
          </cell>
          <cell r="AL1054">
            <v>109090</v>
          </cell>
          <cell r="AM1054">
            <v>734855</v>
          </cell>
          <cell r="AP1054">
            <v>13500</v>
          </cell>
          <cell r="AQ1054">
            <v>0</v>
          </cell>
          <cell r="AZ1054">
            <v>5100</v>
          </cell>
          <cell r="BA1054">
            <v>4615905</v>
          </cell>
        </row>
        <row r="1055">
          <cell r="A1055" t="str">
            <v>ETLCUST-00752</v>
          </cell>
          <cell r="B1055" t="str">
            <v>MOZUMDER INTERNATIONAL - E.ROAD</v>
          </cell>
          <cell r="C1055" t="str">
            <v>Pran Krishna Gosh</v>
          </cell>
          <cell r="D1055" t="str">
            <v>Multiplan</v>
          </cell>
          <cell r="E1055" t="str">
            <v>Multiplan</v>
          </cell>
          <cell r="AO1055">
            <v>144650</v>
          </cell>
        </row>
        <row r="1056">
          <cell r="A1056" t="str">
            <v>ETLCUST-02888</v>
          </cell>
          <cell r="B1056" t="str">
            <v>MPS_ACH LIMITED</v>
          </cell>
          <cell r="C1056" t="str">
            <v>Md Saim Ali Rezvy</v>
          </cell>
          <cell r="D1056" t="str">
            <v>Corporate</v>
          </cell>
          <cell r="E1056" t="str">
            <v>Corporate</v>
          </cell>
          <cell r="AE1056">
            <v>52304.149999999994</v>
          </cell>
        </row>
        <row r="1057">
          <cell r="A1057" t="str">
            <v>ETLCUST-02527</v>
          </cell>
          <cell r="B1057" t="str">
            <v>MPS_ADHIKARI &amp; COMPANY</v>
          </cell>
          <cell r="C1057" t="str">
            <v>Hasibul Hasan Symoon</v>
          </cell>
          <cell r="D1057" t="str">
            <v>Corporate</v>
          </cell>
          <cell r="E1057" t="str">
            <v>Corporate</v>
          </cell>
          <cell r="AE1057">
            <v>46952</v>
          </cell>
        </row>
        <row r="1058">
          <cell r="A1058" t="str">
            <v>ETLCUST-02262</v>
          </cell>
          <cell r="B1058" t="str">
            <v>MPS_AIM VISION LIMITED</v>
          </cell>
          <cell r="C1058" t="str">
            <v>Md Saim Ali Rezvy</v>
          </cell>
          <cell r="D1058" t="str">
            <v>Corporate</v>
          </cell>
          <cell r="E1058" t="str">
            <v>Corporate</v>
          </cell>
          <cell r="AE1058">
            <v>45500.799999999996</v>
          </cell>
        </row>
        <row r="1059">
          <cell r="A1059" t="str">
            <v>ETLCUST-04052</v>
          </cell>
          <cell r="B1059" t="str">
            <v>MPS_AKASHBARI HOLIDAYS</v>
          </cell>
          <cell r="C1059" t="str">
            <v>Md Saim Ali Rezvy</v>
          </cell>
          <cell r="D1059" t="str">
            <v>Corporate</v>
          </cell>
          <cell r="E1059" t="str">
            <v>Corporate</v>
          </cell>
          <cell r="AE1059">
            <v>236812.5</v>
          </cell>
        </row>
        <row r="1060">
          <cell r="A1060" t="str">
            <v>ETLCUST-04029</v>
          </cell>
          <cell r="B1060" t="str">
            <v>MPS_AKH KNITTING &amp; DYEING LTD.</v>
          </cell>
          <cell r="C1060" t="str">
            <v>Hasibul Hasan Symoon</v>
          </cell>
          <cell r="D1060" t="str">
            <v>Corporate</v>
          </cell>
          <cell r="E1060" t="str">
            <v>Corporate</v>
          </cell>
          <cell r="AE1060">
            <v>1794447.2000000002</v>
          </cell>
        </row>
        <row r="1061">
          <cell r="A1061" t="str">
            <v>ETLCUST-05219</v>
          </cell>
          <cell r="B1061" t="str">
            <v>MPS_AL-MUSAWWIR CONSTRUCTIONS LTD.</v>
          </cell>
          <cell r="C1061" t="str">
            <v>Md Abu Jafor</v>
          </cell>
          <cell r="D1061" t="str">
            <v>Corporate</v>
          </cell>
          <cell r="E1061" t="str">
            <v>Corporate</v>
          </cell>
          <cell r="AE1061">
            <v>27028.940000000002</v>
          </cell>
        </row>
        <row r="1062">
          <cell r="A1062" t="str">
            <v>ETLCUST-03954</v>
          </cell>
          <cell r="B1062" t="str">
            <v>MPS_AMERICAN LIFE INSURANCE COMPANY (METLIFE)</v>
          </cell>
          <cell r="C1062" t="str">
            <v>Abu Zahid Sobuj</v>
          </cell>
          <cell r="D1062" t="str">
            <v>Corporate</v>
          </cell>
          <cell r="E1062" t="str">
            <v>Corporate</v>
          </cell>
          <cell r="AE1062">
            <v>2391565.6</v>
          </cell>
        </row>
        <row r="1063">
          <cell r="A1063" t="str">
            <v>ETLCUST-04687</v>
          </cell>
          <cell r="B1063" t="str">
            <v>MPS_ANANTA CASUAL WEAR LTD.</v>
          </cell>
          <cell r="C1063" t="str">
            <v>Siddiqur Rahman</v>
          </cell>
          <cell r="D1063" t="str">
            <v>Corporate</v>
          </cell>
          <cell r="E1063" t="str">
            <v>Corporate</v>
          </cell>
          <cell r="AE1063">
            <v>350150.5</v>
          </cell>
        </row>
        <row r="1064">
          <cell r="A1064" t="str">
            <v>ETLCUST-04688</v>
          </cell>
          <cell r="B1064" t="str">
            <v>MPS_ANANTA DENIM TECHNOLOGY LTD.</v>
          </cell>
          <cell r="C1064" t="str">
            <v>Siddiqur Rahman</v>
          </cell>
          <cell r="D1064" t="str">
            <v>Corporate</v>
          </cell>
          <cell r="E1064" t="str">
            <v>Corporate</v>
          </cell>
          <cell r="AE1064">
            <v>328727</v>
          </cell>
        </row>
        <row r="1065">
          <cell r="A1065" t="str">
            <v>ETLCUST-04686</v>
          </cell>
          <cell r="B1065" t="str">
            <v>MPS_ANANTA REAL ESTATE LTD.</v>
          </cell>
          <cell r="C1065" t="str">
            <v>Siddiqur Rahman</v>
          </cell>
          <cell r="D1065" t="str">
            <v>Corporate</v>
          </cell>
          <cell r="E1065" t="str">
            <v>Corporate</v>
          </cell>
          <cell r="AE1065">
            <v>37073.4</v>
          </cell>
        </row>
        <row r="1066">
          <cell r="A1066" t="str">
            <v>ETLCUST-05301</v>
          </cell>
          <cell r="B1066" t="str">
            <v>MPS_APEX FOOTWEAR LTD.</v>
          </cell>
          <cell r="C1066" t="str">
            <v>Md. Anisur Rahman</v>
          </cell>
          <cell r="D1066" t="str">
            <v>Corporate</v>
          </cell>
          <cell r="E1066" t="str">
            <v>Corporate</v>
          </cell>
          <cell r="AE1066">
            <v>314298.59999999992</v>
          </cell>
        </row>
        <row r="1067">
          <cell r="A1067" t="str">
            <v>ETLCUST-03280</v>
          </cell>
          <cell r="B1067" t="str">
            <v>MPS_APEX HOLDINGS LIMITED</v>
          </cell>
          <cell r="C1067" t="str">
            <v>Sabbir Ahmed</v>
          </cell>
          <cell r="D1067" t="str">
            <v>Corporate</v>
          </cell>
          <cell r="E1067" t="str">
            <v>Corporate</v>
          </cell>
          <cell r="AE1067">
            <v>565797.04999999993</v>
          </cell>
        </row>
        <row r="1068">
          <cell r="A1068" t="str">
            <v>ETLCUST-05160</v>
          </cell>
          <cell r="B1068" t="str">
            <v>MPS_APEX TANNERY LIMITED.</v>
          </cell>
          <cell r="C1068" t="str">
            <v>Nazir Ahmod</v>
          </cell>
          <cell r="D1068" t="str">
            <v>Corporate</v>
          </cell>
          <cell r="E1068" t="str">
            <v>Corporate</v>
          </cell>
          <cell r="AE1068">
            <v>31415.999999999996</v>
          </cell>
        </row>
        <row r="1069">
          <cell r="A1069" t="str">
            <v>ETLCUST-03487</v>
          </cell>
          <cell r="B1069" t="str">
            <v>MPS_ARTEK</v>
          </cell>
          <cell r="C1069" t="str">
            <v>Hasibul Hasan Symoon</v>
          </cell>
          <cell r="D1069" t="str">
            <v>Corporate</v>
          </cell>
          <cell r="E1069" t="str">
            <v>Corporate</v>
          </cell>
          <cell r="AE1069">
            <v>338830</v>
          </cell>
        </row>
        <row r="1070">
          <cell r="A1070" t="str">
            <v>ETLCUST-04118</v>
          </cell>
          <cell r="B1070" t="str">
            <v>MPS_ASA</v>
          </cell>
          <cell r="C1070" t="str">
            <v>Abu Zahid Sobuj</v>
          </cell>
          <cell r="D1070" t="str">
            <v>Corporate</v>
          </cell>
          <cell r="E1070" t="str">
            <v>Corporate</v>
          </cell>
          <cell r="AE1070">
            <v>32861.599999999999</v>
          </cell>
        </row>
        <row r="1071">
          <cell r="A1071" t="str">
            <v>ETLCUST-02203</v>
          </cell>
          <cell r="B1071" t="str">
            <v>MPS_ASAI MANAGEMENT SERVICES LIMITED</v>
          </cell>
          <cell r="C1071" t="str">
            <v>Abu Zahid Sobuj</v>
          </cell>
          <cell r="D1071" t="str">
            <v>Corporate</v>
          </cell>
          <cell r="E1071" t="str">
            <v>Corporate</v>
          </cell>
          <cell r="AE1071">
            <v>21750.399999999998</v>
          </cell>
        </row>
        <row r="1072">
          <cell r="A1072" t="str">
            <v>ETLCUST-04614</v>
          </cell>
          <cell r="B1072" t="str">
            <v>MPS_ASROTEX GROUP</v>
          </cell>
          <cell r="C1072" t="str">
            <v>Nazir Ahmod</v>
          </cell>
          <cell r="D1072" t="str">
            <v>Corporate</v>
          </cell>
          <cell r="E1072" t="str">
            <v>Corporate</v>
          </cell>
          <cell r="AE1072">
            <v>168669.27000000002</v>
          </cell>
        </row>
        <row r="1073">
          <cell r="A1073" t="str">
            <v>ETLCUST-03706</v>
          </cell>
          <cell r="B1073" t="str">
            <v>MPS_AUKO-TEX GROUP</v>
          </cell>
          <cell r="C1073" t="str">
            <v>Hasibul Hasan Symoon</v>
          </cell>
          <cell r="D1073" t="str">
            <v>Corporate</v>
          </cell>
          <cell r="E1073" t="str">
            <v>Corporate</v>
          </cell>
          <cell r="AE1073">
            <v>1549900.4</v>
          </cell>
        </row>
        <row r="1074">
          <cell r="A1074" t="str">
            <v>ETLCUST-04536</v>
          </cell>
          <cell r="B1074" t="str">
            <v>MPS_B. C. GUPTA &amp; COMPANY</v>
          </cell>
          <cell r="C1074" t="str">
            <v>Abu Zahid Sobuj</v>
          </cell>
          <cell r="D1074" t="str">
            <v>Corporate</v>
          </cell>
          <cell r="E1074" t="str">
            <v>Corporate</v>
          </cell>
          <cell r="AE1074">
            <v>53396</v>
          </cell>
        </row>
        <row r="1075">
          <cell r="A1075" t="str">
            <v>ETLCUST-04865</v>
          </cell>
          <cell r="B1075" t="str">
            <v>MPS_BANGLADESH DEVELOPMENT CO. PLC.</v>
          </cell>
          <cell r="C1075" t="str">
            <v>Md Saim Ali Rezvy</v>
          </cell>
          <cell r="D1075" t="str">
            <v>Corporate</v>
          </cell>
          <cell r="E1075" t="str">
            <v>Corporate</v>
          </cell>
          <cell r="AE1075">
            <v>144305.46</v>
          </cell>
        </row>
        <row r="1076">
          <cell r="A1076" t="str">
            <v>ETLCUST-03991</v>
          </cell>
          <cell r="B1076" t="str">
            <v>MPS_BANGLADESH EDIBLE OIL LIMITED</v>
          </cell>
          <cell r="C1076" t="str">
            <v>Md Saim Ali Rezvy</v>
          </cell>
          <cell r="D1076" t="str">
            <v>Corporate</v>
          </cell>
          <cell r="E1076" t="str">
            <v>Corporate</v>
          </cell>
          <cell r="AE1076">
            <v>129091.69999999998</v>
          </cell>
        </row>
        <row r="1077">
          <cell r="A1077" t="str">
            <v>ETLCUST-02752</v>
          </cell>
          <cell r="B1077" t="str">
            <v>MPS_Bangladesh Finance and Investment Company Limited</v>
          </cell>
          <cell r="C1077" t="str">
            <v>Hasibul Hasan Symoon</v>
          </cell>
          <cell r="D1077" t="str">
            <v>Corporate</v>
          </cell>
          <cell r="E1077" t="str">
            <v>Corporate</v>
          </cell>
          <cell r="AE1077">
            <v>97883.25</v>
          </cell>
        </row>
        <row r="1078">
          <cell r="A1078" t="str">
            <v>ETLCUST-05344</v>
          </cell>
          <cell r="B1078" t="str">
            <v>MPS_BANGLADESH INFRASTRUCTURE FINANCE FUND LIMITED</v>
          </cell>
          <cell r="C1078" t="str">
            <v>Md Abu Jafor</v>
          </cell>
          <cell r="D1078" t="str">
            <v>Corporate</v>
          </cell>
          <cell r="E1078" t="str">
            <v>Corporate</v>
          </cell>
          <cell r="AE1078">
            <v>17182</v>
          </cell>
        </row>
        <row r="1079">
          <cell r="A1079" t="str">
            <v>ETLCUST-04643</v>
          </cell>
          <cell r="B1079" t="str">
            <v>MPS_BANGLADESH KNITWEAR MANUFACTURERS &amp; EXPORTERS ASSOCIATION (BKMEA)</v>
          </cell>
          <cell r="C1079" t="str">
            <v>Md. Masud Rana</v>
          </cell>
          <cell r="D1079" t="str">
            <v>Corporate</v>
          </cell>
          <cell r="E1079" t="str">
            <v>Corporate</v>
          </cell>
          <cell r="AE1079">
            <v>31628.299999999996</v>
          </cell>
        </row>
        <row r="1080">
          <cell r="A1080" t="str">
            <v>ETLCUST-05188</v>
          </cell>
          <cell r="B1080" t="str">
            <v>MPS_BANK ASIA PLC.</v>
          </cell>
          <cell r="C1080" t="str">
            <v>Ashraful Islam</v>
          </cell>
          <cell r="D1080" t="str">
            <v>Corporate</v>
          </cell>
          <cell r="E1080" t="str">
            <v>Corporate</v>
          </cell>
          <cell r="AE1080">
            <v>821641.73999999987</v>
          </cell>
        </row>
        <row r="1081">
          <cell r="A1081" t="str">
            <v>ETLCUST-03356</v>
          </cell>
          <cell r="B1081" t="str">
            <v>MPS_BARIDHI GARMENTS LTD.</v>
          </cell>
          <cell r="C1081" t="str">
            <v>Ashraful Islam</v>
          </cell>
          <cell r="D1081" t="str">
            <v>Corporate</v>
          </cell>
          <cell r="E1081" t="str">
            <v>Corporate</v>
          </cell>
          <cell r="AE1081">
            <v>179693.80000000002</v>
          </cell>
        </row>
        <row r="1082">
          <cell r="A1082" t="str">
            <v>ETLCUST-04612</v>
          </cell>
          <cell r="B1082" t="str">
            <v>MPS_BD LINK COMMUNICATION LTD</v>
          </cell>
          <cell r="C1082" t="str">
            <v>Md Abu Jafor</v>
          </cell>
          <cell r="D1082" t="str">
            <v>Corporate</v>
          </cell>
          <cell r="E1082" t="str">
            <v>Corporate</v>
          </cell>
          <cell r="AE1082">
            <v>27774</v>
          </cell>
        </row>
        <row r="1083">
          <cell r="A1083" t="str">
            <v>ETLCUST-04929</v>
          </cell>
          <cell r="B1083" t="str">
            <v>MPS_CAL SECURITIES LIMITED</v>
          </cell>
          <cell r="C1083" t="str">
            <v>Nazir Ahmod</v>
          </cell>
          <cell r="D1083" t="str">
            <v>Corporate</v>
          </cell>
          <cell r="E1083" t="str">
            <v>Corporate</v>
          </cell>
          <cell r="AE1083">
            <v>24291.42</v>
          </cell>
        </row>
        <row r="1084">
          <cell r="A1084" t="str">
            <v>ETLCUST-05003</v>
          </cell>
          <cell r="B1084" t="str">
            <v>MPS_CHOLOJAI TOURS LIMITED</v>
          </cell>
          <cell r="C1084" t="str">
            <v>Md Saim Ali Rezvy</v>
          </cell>
          <cell r="D1084" t="str">
            <v>Corporate</v>
          </cell>
          <cell r="E1084" t="str">
            <v>Corporate</v>
          </cell>
          <cell r="AE1084">
            <v>98785.599999999991</v>
          </cell>
        </row>
        <row r="1085">
          <cell r="A1085" t="str">
            <v>ETLCUST-04866</v>
          </cell>
          <cell r="B1085" t="str">
            <v>MPS_CITY HOLIDAYS</v>
          </cell>
          <cell r="C1085" t="str">
            <v>Abu Zahid Sobuj</v>
          </cell>
          <cell r="D1085" t="str">
            <v>Corporate</v>
          </cell>
          <cell r="E1085" t="str">
            <v>Corporate</v>
          </cell>
          <cell r="AE1085">
            <v>74828.399999999994</v>
          </cell>
        </row>
        <row r="1086">
          <cell r="A1086" t="str">
            <v>ETLCUST-03357</v>
          </cell>
          <cell r="B1086" t="str">
            <v>MPS_CROYDON KOWLOON DESIGNS LTD.</v>
          </cell>
          <cell r="C1086" t="str">
            <v>Rafsan Jani</v>
          </cell>
          <cell r="D1086" t="str">
            <v>Corporate</v>
          </cell>
          <cell r="E1086" t="str">
            <v>Corporate</v>
          </cell>
          <cell r="AE1086">
            <v>328301.67</v>
          </cell>
        </row>
        <row r="1087">
          <cell r="A1087" t="str">
            <v>ETLCUST-03999</v>
          </cell>
          <cell r="B1087" t="str">
            <v>MPS_CUTTING EDGE INDUSTRIES LTD.</v>
          </cell>
          <cell r="C1087" t="str">
            <v>Rafsan Jani</v>
          </cell>
          <cell r="D1087" t="str">
            <v>Corporate</v>
          </cell>
          <cell r="E1087" t="str">
            <v>Corporate</v>
          </cell>
          <cell r="AE1087">
            <v>943634.4</v>
          </cell>
        </row>
        <row r="1088">
          <cell r="A1088" t="str">
            <v>ETLCUST-04541</v>
          </cell>
          <cell r="B1088" t="str">
            <v>MPS_DBL GROUP</v>
          </cell>
          <cell r="C1088" t="str">
            <v>Rafsan Jani</v>
          </cell>
          <cell r="D1088" t="str">
            <v>Corporate</v>
          </cell>
          <cell r="E1088" t="str">
            <v>Corporate</v>
          </cell>
          <cell r="AE1088">
            <v>2888634.1399999997</v>
          </cell>
        </row>
        <row r="1089">
          <cell r="A1089" t="str">
            <v>ETLCUST-03755</v>
          </cell>
          <cell r="B1089" t="str">
            <v>MPS_DHAKA ICE-CREAM INDUSTRIES LTD.</v>
          </cell>
          <cell r="C1089" t="str">
            <v>Sabbir Ahmed</v>
          </cell>
          <cell r="D1089" t="str">
            <v>Corporate</v>
          </cell>
          <cell r="E1089" t="str">
            <v>Corporate</v>
          </cell>
          <cell r="AE1089">
            <v>140508</v>
          </cell>
        </row>
        <row r="1090">
          <cell r="A1090" t="str">
            <v>ETLCUST-05428</v>
          </cell>
          <cell r="B1090" t="str">
            <v>MPS_EAST WEST UNIVERSITY</v>
          </cell>
          <cell r="C1090" t="str">
            <v>Mosfiqur Rahman</v>
          </cell>
          <cell r="D1090" t="str">
            <v>Corporate</v>
          </cell>
          <cell r="E1090" t="str">
            <v>Corporate</v>
          </cell>
          <cell r="AE1090">
            <v>31159.7</v>
          </cell>
        </row>
        <row r="1091">
          <cell r="A1091" t="str">
            <v>ETLCUST-04181</v>
          </cell>
          <cell r="B1091" t="str">
            <v>MPS_ELITE PAINT &amp; CHEMICAL INDUSTRIES LTD</v>
          </cell>
          <cell r="C1091" t="str">
            <v>Abu Zahid Sobuj</v>
          </cell>
          <cell r="D1091" t="str">
            <v>Corporate</v>
          </cell>
          <cell r="E1091" t="str">
            <v>Corporate</v>
          </cell>
          <cell r="AE1091">
            <v>53921.45</v>
          </cell>
        </row>
        <row r="1092">
          <cell r="A1092" t="str">
            <v>ETLCUST-04814</v>
          </cell>
          <cell r="B1092" t="str">
            <v>MPS_EMPEROR TOUCH</v>
          </cell>
          <cell r="C1092" t="str">
            <v>Md Saim Ali Rezvy</v>
          </cell>
          <cell r="D1092" t="str">
            <v>Corporate</v>
          </cell>
          <cell r="E1092" t="str">
            <v>Corporate</v>
          </cell>
          <cell r="AE1092">
            <v>15000</v>
          </cell>
        </row>
        <row r="1093">
          <cell r="A1093" t="str">
            <v>ETLCUST-03052</v>
          </cell>
          <cell r="B1093" t="str">
            <v>MPS_ENVOY TEXTILES LIMITED</v>
          </cell>
          <cell r="C1093" t="str">
            <v>Ashraful Islam</v>
          </cell>
          <cell r="D1093" t="str">
            <v>Corporate</v>
          </cell>
          <cell r="E1093" t="str">
            <v>Corporate</v>
          </cell>
          <cell r="AE1093">
            <v>708104.3</v>
          </cell>
        </row>
        <row r="1094">
          <cell r="A1094" t="str">
            <v>ETLCUST-04700</v>
          </cell>
          <cell r="B1094" t="str">
            <v>MPS_EPIC GARMENTS MANUFACTURING CO. LTD.</v>
          </cell>
          <cell r="C1094" t="str">
            <v>Ashraful Islam</v>
          </cell>
          <cell r="D1094" t="str">
            <v>Corporate</v>
          </cell>
          <cell r="E1094" t="str">
            <v>Corporate</v>
          </cell>
          <cell r="AE1094">
            <v>69848.11</v>
          </cell>
        </row>
        <row r="1095">
          <cell r="A1095" t="str">
            <v>ETLCUST-04652</v>
          </cell>
          <cell r="B1095" t="str">
            <v>MPS_FARIHA KNIT TEX LTD.</v>
          </cell>
          <cell r="C1095" t="str">
            <v>Nazir Ahmod</v>
          </cell>
          <cell r="D1095" t="str">
            <v>Corporate</v>
          </cell>
          <cell r="E1095" t="str">
            <v>Corporate</v>
          </cell>
          <cell r="AE1095">
            <v>976480.47</v>
          </cell>
        </row>
        <row r="1096">
          <cell r="A1096" t="str">
            <v>ETLCUST-05387</v>
          </cell>
          <cell r="B1096" t="str">
            <v>MPS_FAST FLEET LOGISTICS LTD.</v>
          </cell>
          <cell r="C1096" t="str">
            <v>Siddiqur Rahman</v>
          </cell>
          <cell r="D1096" t="str">
            <v>Corporate</v>
          </cell>
          <cell r="E1096" t="str">
            <v>Corporate</v>
          </cell>
          <cell r="AE1096">
            <v>1050</v>
          </cell>
        </row>
        <row r="1097">
          <cell r="A1097" t="str">
            <v>ETLCUST-04037</v>
          </cell>
          <cell r="B1097" t="str">
            <v>MPS_GALAXY BANGLADESH</v>
          </cell>
          <cell r="C1097" t="str">
            <v>Mohammad Maruf Hasan</v>
          </cell>
          <cell r="D1097" t="str">
            <v>Corporate</v>
          </cell>
          <cell r="E1097" t="str">
            <v>Corporate</v>
          </cell>
          <cell r="AE1097">
            <v>110898.25</v>
          </cell>
        </row>
        <row r="1098">
          <cell r="A1098" t="str">
            <v>ETLCUST-04551</v>
          </cell>
          <cell r="B1098" t="str">
            <v>MPS_GENERAL PHARMACEUTICALS LTD.</v>
          </cell>
          <cell r="C1098" t="str">
            <v>Sabbir Ahmed</v>
          </cell>
          <cell r="D1098" t="str">
            <v>Corporate</v>
          </cell>
          <cell r="E1098" t="str">
            <v>Corporate</v>
          </cell>
          <cell r="AE1098">
            <v>23785.67</v>
          </cell>
        </row>
        <row r="1099">
          <cell r="A1099" t="str">
            <v>ETLCUST-04462</v>
          </cell>
          <cell r="B1099" t="str">
            <v>MPS_HAMS GARMENTS LTD.</v>
          </cell>
          <cell r="C1099" t="str">
            <v>Rafsan Jani</v>
          </cell>
          <cell r="D1099" t="str">
            <v>Corporate</v>
          </cell>
          <cell r="E1099" t="str">
            <v>Corporate</v>
          </cell>
          <cell r="AE1099">
            <v>143434.5</v>
          </cell>
        </row>
        <row r="1100">
          <cell r="A1100" t="str">
            <v>ETLCUST-03616</v>
          </cell>
          <cell r="B1100" t="str">
            <v>MPS_HODA VASI CHOWDHURY &amp; CO</v>
          </cell>
          <cell r="C1100" t="str">
            <v>Md Saim Ali Rezvy</v>
          </cell>
          <cell r="D1100" t="str">
            <v>Corporate</v>
          </cell>
          <cell r="E1100" t="str">
            <v>Corporate</v>
          </cell>
          <cell r="AE1100">
            <v>56691</v>
          </cell>
        </row>
        <row r="1101">
          <cell r="A1101" t="str">
            <v>ETLCUST-03870</v>
          </cell>
          <cell r="B1101" t="str">
            <v>MPS_HOSSAIN &amp; HOSSAIN CHARTERED ACCOUNTANTS</v>
          </cell>
          <cell r="C1101" t="str">
            <v>Md Saim Ali Rezvy</v>
          </cell>
          <cell r="D1101" t="str">
            <v>Corporate</v>
          </cell>
          <cell r="E1101" t="str">
            <v>Corporate</v>
          </cell>
          <cell r="AE1101">
            <v>26101.25</v>
          </cell>
        </row>
        <row r="1102">
          <cell r="A1102" t="str">
            <v>ETLCUST-04232</v>
          </cell>
          <cell r="B1102" t="str">
            <v>MPS_INARCH SOLUTION</v>
          </cell>
          <cell r="C1102" t="str">
            <v>Abu Zahid Sobuj</v>
          </cell>
          <cell r="D1102" t="str">
            <v>Corporate</v>
          </cell>
          <cell r="E1102" t="str">
            <v>Corporate</v>
          </cell>
          <cell r="AE1102">
            <v>10806</v>
          </cell>
        </row>
        <row r="1103">
          <cell r="A1103" t="str">
            <v>ETLCUST-04947</v>
          </cell>
          <cell r="B1103" t="str">
            <v>MPS_INTERNATIONAL TRIMMINGS &amp; LABELS BANGLADESH PRIVATE LIMITED</v>
          </cell>
          <cell r="C1103" t="str">
            <v>Rafsan Jani</v>
          </cell>
          <cell r="D1103" t="str">
            <v>Corporate</v>
          </cell>
          <cell r="E1103" t="str">
            <v>Corporate</v>
          </cell>
          <cell r="AE1103">
            <v>150488.09999999998</v>
          </cell>
        </row>
        <row r="1104">
          <cell r="A1104" t="str">
            <v>ETLCUST-05216</v>
          </cell>
          <cell r="B1104" t="str">
            <v>MPS_JF&amp;I PACKAGING (BD) LTD.</v>
          </cell>
          <cell r="C1104" t="str">
            <v>Hasibul Hasan Symoon</v>
          </cell>
          <cell r="D1104" t="str">
            <v>Corporate</v>
          </cell>
          <cell r="E1104" t="str">
            <v>Corporate</v>
          </cell>
          <cell r="AE1104">
            <v>57028.5</v>
          </cell>
        </row>
        <row r="1105">
          <cell r="A1105" t="str">
            <v>ETLCUST-02751</v>
          </cell>
          <cell r="B1105" t="str">
            <v>MPS_KHADIJA ENTERPRISE</v>
          </cell>
          <cell r="C1105" t="str">
            <v>Hasibul Hasan Symoon</v>
          </cell>
          <cell r="D1105" t="str">
            <v>Corporate</v>
          </cell>
          <cell r="E1105" t="str">
            <v>Corporate</v>
          </cell>
          <cell r="AE1105">
            <v>19735.099999999999</v>
          </cell>
        </row>
        <row r="1106">
          <cell r="A1106" t="str">
            <v>ETLCUST-04004</v>
          </cell>
          <cell r="B1106" t="str">
            <v>MPS_LOUIS DREYFUS COMPANY BANGLADESH PRIVATE LIMITED</v>
          </cell>
          <cell r="C1106" t="str">
            <v>Rafsan Jani</v>
          </cell>
          <cell r="D1106" t="str">
            <v>Corporate</v>
          </cell>
          <cell r="E1106" t="str">
            <v>Corporate</v>
          </cell>
          <cell r="AE1106">
            <v>35989</v>
          </cell>
        </row>
        <row r="1107">
          <cell r="A1107" t="str">
            <v>ETLCUST-03322</v>
          </cell>
          <cell r="B1107" t="str">
            <v>MPS_M M YASIN &amp; CO</v>
          </cell>
          <cell r="C1107" t="str">
            <v>Md Saim Ali Rezvy</v>
          </cell>
          <cell r="D1107" t="str">
            <v>Corporate</v>
          </cell>
          <cell r="E1107" t="str">
            <v>Corporate</v>
          </cell>
          <cell r="AE1107">
            <v>7243.75</v>
          </cell>
        </row>
        <row r="1108">
          <cell r="A1108" t="str">
            <v>ETLCUST-04452</v>
          </cell>
          <cell r="B1108" t="str">
            <v>MPS_MAS SUMANTRA 2 PRIVATE LIMITED</v>
          </cell>
          <cell r="C1108" t="str">
            <v>Sayed Golam Murtuza</v>
          </cell>
          <cell r="D1108" t="str">
            <v>Corporate</v>
          </cell>
          <cell r="E1108" t="str">
            <v>Corporate</v>
          </cell>
          <cell r="AE1108">
            <v>51000</v>
          </cell>
        </row>
        <row r="1109">
          <cell r="A1109" t="str">
            <v>ETLCUST-04469</v>
          </cell>
          <cell r="B1109" t="str">
            <v>MPS_MIDLAND BANK PLC.</v>
          </cell>
          <cell r="C1109" t="str">
            <v>Mohammad Maruf Hasan</v>
          </cell>
          <cell r="D1109" t="str">
            <v>Corporate</v>
          </cell>
          <cell r="E1109" t="str">
            <v>Corporate</v>
          </cell>
          <cell r="AE1109">
            <v>231356.58000000002</v>
          </cell>
        </row>
        <row r="1110">
          <cell r="A1110" t="str">
            <v>ETLCUST-02457</v>
          </cell>
          <cell r="B1110" t="str">
            <v>MPS_MITALI GROUP OF INDUSTRIES.</v>
          </cell>
          <cell r="C1110" t="str">
            <v>Mohammad Maruf Hasan</v>
          </cell>
          <cell r="D1110" t="str">
            <v>Corporate</v>
          </cell>
          <cell r="E1110" t="str">
            <v>Corporate</v>
          </cell>
          <cell r="AE1110">
            <v>796586.68</v>
          </cell>
        </row>
        <row r="1111">
          <cell r="A1111" t="str">
            <v>ETLCUST-04300</v>
          </cell>
          <cell r="B1111" t="str">
            <v>MPS_MITHELA TEXTILE INDUSTRIES LTD.</v>
          </cell>
          <cell r="C1111" t="str">
            <v>Hasibul Hasan Symoon</v>
          </cell>
          <cell r="D1111" t="str">
            <v>Corporate</v>
          </cell>
          <cell r="E1111" t="str">
            <v>Corporate</v>
          </cell>
          <cell r="AE1111">
            <v>285394.32</v>
          </cell>
        </row>
        <row r="1112">
          <cell r="A1112" t="str">
            <v>ETLCUST-02292</v>
          </cell>
          <cell r="B1112" t="str">
            <v>MPS_MUTUAL TRUST BANK PLC.</v>
          </cell>
          <cell r="C1112" t="str">
            <v>Hasibul Hasan Symoon</v>
          </cell>
          <cell r="D1112" t="str">
            <v>Corporate</v>
          </cell>
          <cell r="E1112" t="str">
            <v>Corporate</v>
          </cell>
          <cell r="AE1112">
            <v>1374597</v>
          </cell>
        </row>
        <row r="1113">
          <cell r="A1113" t="str">
            <v>ETLCUST-04720</v>
          </cell>
          <cell r="B1113" t="str">
            <v>MPS_NAAFCO PHARMA LTD.</v>
          </cell>
          <cell r="C1113" t="str">
            <v>Rafsan Jani</v>
          </cell>
          <cell r="D1113" t="str">
            <v>Corporate</v>
          </cell>
          <cell r="E1113" t="str">
            <v>Corporate</v>
          </cell>
          <cell r="AE1113">
            <v>70056</v>
          </cell>
        </row>
        <row r="1114">
          <cell r="A1114" t="str">
            <v>ETLCUST-04917</v>
          </cell>
          <cell r="B1114" t="str">
            <v>MPS_NAMSS MOTORS LIMITED</v>
          </cell>
          <cell r="C1114" t="str">
            <v>Sabbir Ahmed</v>
          </cell>
          <cell r="D1114" t="str">
            <v>Corporate</v>
          </cell>
          <cell r="E1114" t="str">
            <v>Corporate</v>
          </cell>
          <cell r="AE1114">
            <v>10968.3</v>
          </cell>
        </row>
        <row r="1115">
          <cell r="A1115" t="str">
            <v>ETLCUST-04270</v>
          </cell>
          <cell r="B1115" t="str">
            <v>MPS_NATCO GLOBAL PACKAGING DHAKA LTD.</v>
          </cell>
          <cell r="C1115" t="str">
            <v>Md Saim Ali Rezvy</v>
          </cell>
          <cell r="D1115" t="str">
            <v>Corporate</v>
          </cell>
          <cell r="E1115" t="str">
            <v>Corporate</v>
          </cell>
          <cell r="AE1115">
            <v>106146.4</v>
          </cell>
        </row>
        <row r="1116">
          <cell r="A1116" t="str">
            <v>ETLCUST-03434</v>
          </cell>
          <cell r="B1116" t="str">
            <v>MPS_NAVANA GROUP</v>
          </cell>
          <cell r="C1116" t="str">
            <v>Abu Zahid Sobuj</v>
          </cell>
          <cell r="D1116" t="str">
            <v>Corporate</v>
          </cell>
          <cell r="E1116" t="str">
            <v>Corporate</v>
          </cell>
          <cell r="AE1116">
            <v>303596.34999999998</v>
          </cell>
        </row>
        <row r="1117">
          <cell r="A1117" t="str">
            <v>ETLCUST-03941</v>
          </cell>
          <cell r="B1117" t="str">
            <v>MPS_NAVANA REAL ESTATE LTD.</v>
          </cell>
          <cell r="C1117" t="str">
            <v>Mohammad Maruf Hasan</v>
          </cell>
          <cell r="D1117" t="str">
            <v>Corporate</v>
          </cell>
          <cell r="E1117" t="str">
            <v>Corporate</v>
          </cell>
          <cell r="AE1117">
            <v>629438.25</v>
          </cell>
        </row>
        <row r="1118">
          <cell r="A1118" t="str">
            <v>ETLCUST-02293</v>
          </cell>
          <cell r="B1118" t="str">
            <v>MPS_OCEAN NETWORK EXPRESS (BANGLADESH) LTD.</v>
          </cell>
          <cell r="C1118" t="str">
            <v>Abu Zahid Sobuj</v>
          </cell>
          <cell r="D1118" t="str">
            <v>Corporate</v>
          </cell>
          <cell r="E1118" t="str">
            <v>Corporate</v>
          </cell>
          <cell r="AE1118">
            <v>437487.14999999997</v>
          </cell>
        </row>
        <row r="1119">
          <cell r="A1119" t="str">
            <v>ETLCUST-02781</v>
          </cell>
          <cell r="B1119" t="str">
            <v>MPS_ON DEMAND MFP SERVICE.</v>
          </cell>
          <cell r="C1119" t="str">
            <v>Md Saim Ali Rezvy</v>
          </cell>
          <cell r="D1119" t="str">
            <v>Corporate</v>
          </cell>
          <cell r="E1119" t="str">
            <v>Corporate</v>
          </cell>
          <cell r="AE1119">
            <v>38355</v>
          </cell>
        </row>
        <row r="1120">
          <cell r="A1120" t="str">
            <v>ETLCUST-03294</v>
          </cell>
          <cell r="B1120" t="str">
            <v>MPS_PACIFIC COTTON LIMITED</v>
          </cell>
          <cell r="C1120" t="str">
            <v>Mohammad Maruf Hasan</v>
          </cell>
          <cell r="D1120" t="str">
            <v>Corporate</v>
          </cell>
          <cell r="E1120" t="str">
            <v>Corporate</v>
          </cell>
          <cell r="AE1120">
            <v>273043.68</v>
          </cell>
        </row>
        <row r="1121">
          <cell r="A1121" t="str">
            <v>ETLCUST-04980</v>
          </cell>
          <cell r="B1121" t="str">
            <v>MPS_PAN PACIFIC TRAVELS</v>
          </cell>
          <cell r="C1121" t="str">
            <v>Md Saim Ali Rezvy</v>
          </cell>
          <cell r="D1121" t="str">
            <v>Corporate</v>
          </cell>
          <cell r="E1121" t="str">
            <v>Corporate</v>
          </cell>
          <cell r="AE1121">
            <v>101195.2</v>
          </cell>
        </row>
        <row r="1122">
          <cell r="A1122" t="str">
            <v>ETLCUST-04405</v>
          </cell>
          <cell r="B1122" t="str">
            <v>MPS_PAYRA PORT AUTHORITY</v>
          </cell>
          <cell r="C1122" t="str">
            <v>Mohammad Maruf Hasan</v>
          </cell>
          <cell r="D1122" t="str">
            <v>Corporate</v>
          </cell>
          <cell r="E1122" t="str">
            <v>Corporate</v>
          </cell>
          <cell r="AE1122">
            <v>167871.57</v>
          </cell>
        </row>
        <row r="1123">
          <cell r="A1123" t="str">
            <v>ETLCUST-03781</v>
          </cell>
          <cell r="B1123" t="str">
            <v>MPS_PENDULUM PUBLISHERS</v>
          </cell>
          <cell r="C1123" t="str">
            <v>Rafsan Jani</v>
          </cell>
          <cell r="D1123" t="str">
            <v>Corporate</v>
          </cell>
          <cell r="E1123" t="str">
            <v>Corporate</v>
          </cell>
          <cell r="AE1123">
            <v>31123.5</v>
          </cell>
        </row>
        <row r="1124">
          <cell r="A1124" t="str">
            <v>ETLCUST-02295</v>
          </cell>
          <cell r="B1124" t="str">
            <v>MPS_PERFETTI VAN MELLE BANGLADESH PRIVATE LIMITED</v>
          </cell>
          <cell r="C1124" t="str">
            <v>Ashraful Islam</v>
          </cell>
          <cell r="D1124" t="str">
            <v>Corporate</v>
          </cell>
          <cell r="E1124" t="str">
            <v>Corporate</v>
          </cell>
          <cell r="AE1124">
            <v>156412.54</v>
          </cell>
        </row>
        <row r="1125">
          <cell r="A1125" t="str">
            <v>ETLCUST-04465</v>
          </cell>
          <cell r="B1125" t="str">
            <v>MPS_PHARMASIA LIMITED</v>
          </cell>
          <cell r="C1125" t="str">
            <v>Md Saim Ali Rezvy</v>
          </cell>
          <cell r="D1125" t="str">
            <v>Corporate</v>
          </cell>
          <cell r="E1125" t="str">
            <v>Corporate</v>
          </cell>
          <cell r="AE1125">
            <v>257023</v>
          </cell>
        </row>
        <row r="1126">
          <cell r="A1126" t="str">
            <v>ETLCUST-03973</v>
          </cell>
          <cell r="B1126" t="str">
            <v>MPS_PIDILITE SPECIALITY CHEMICALS BANGLADESH PRIVATE LTD.</v>
          </cell>
          <cell r="C1126" t="str">
            <v>Rafsan Jani</v>
          </cell>
          <cell r="D1126" t="str">
            <v>Corporate</v>
          </cell>
          <cell r="E1126" t="str">
            <v>Corporate</v>
          </cell>
          <cell r="AE1126">
            <v>161378.14000000001</v>
          </cell>
        </row>
        <row r="1127">
          <cell r="A1127" t="str">
            <v>ETLCUST-04907</v>
          </cell>
          <cell r="B1127" t="str">
            <v>MPS_RAFID CARGO SYSTEM &amp; LOGISTICS LTD.</v>
          </cell>
          <cell r="C1127" t="str">
            <v>Ashraful Islam</v>
          </cell>
          <cell r="D1127" t="str">
            <v>Corporate</v>
          </cell>
          <cell r="E1127" t="str">
            <v>Corporate</v>
          </cell>
          <cell r="AE1127">
            <v>30000</v>
          </cell>
        </row>
        <row r="1128">
          <cell r="A1128" t="str">
            <v>ETLCUST-03091</v>
          </cell>
          <cell r="B1128" t="str">
            <v>MPS_REMI HOLDINGS LTD</v>
          </cell>
          <cell r="C1128" t="str">
            <v>Ashraful Islam</v>
          </cell>
          <cell r="D1128" t="str">
            <v>Corporate</v>
          </cell>
          <cell r="E1128" t="str">
            <v>Corporate</v>
          </cell>
          <cell r="AE1128">
            <v>376656.80000000005</v>
          </cell>
        </row>
        <row r="1129">
          <cell r="A1129" t="str">
            <v>ETLCUST-05376</v>
          </cell>
          <cell r="B1129" t="str">
            <v>MPS_REVE FOODS LIMITED</v>
          </cell>
          <cell r="C1129" t="str">
            <v>Md. Masud Rana</v>
          </cell>
          <cell r="D1129" t="str">
            <v>Corporate</v>
          </cell>
          <cell r="E1129" t="str">
            <v>Corporate</v>
          </cell>
          <cell r="AE1129">
            <v>7008</v>
          </cell>
        </row>
        <row r="1130">
          <cell r="A1130" t="str">
            <v>ETLCUST-03109</v>
          </cell>
          <cell r="B1130" t="str">
            <v>MPS_RSKAR ENTERPRISE</v>
          </cell>
          <cell r="C1130" t="str">
            <v>Mohammad Maruf Hasan</v>
          </cell>
          <cell r="D1130" t="str">
            <v>Corporate</v>
          </cell>
          <cell r="E1130" t="str">
            <v>Corporate</v>
          </cell>
          <cell r="AE1130">
            <v>4635.05</v>
          </cell>
        </row>
        <row r="1131">
          <cell r="A1131" t="str">
            <v>ETLCUST-02270</v>
          </cell>
          <cell r="B1131" t="str">
            <v>MPS_RUNNER AUTOMOBILES PLC (RAPLC)</v>
          </cell>
          <cell r="C1131" t="str">
            <v>Shakil Ahmed</v>
          </cell>
          <cell r="D1131" t="str">
            <v>Corporate</v>
          </cell>
          <cell r="E1131" t="str">
            <v>Corporate</v>
          </cell>
          <cell r="AE1131">
            <v>349076.00000000006</v>
          </cell>
        </row>
        <row r="1132">
          <cell r="A1132" t="str">
            <v>ETLCUST-04583</v>
          </cell>
          <cell r="B1132" t="str">
            <v>MPS_RUPAYAN HOUSING ESTATE LIMITED</v>
          </cell>
          <cell r="C1132" t="str">
            <v>Abu Zahid Sobuj</v>
          </cell>
          <cell r="D1132" t="str">
            <v>Corporate</v>
          </cell>
          <cell r="E1132" t="str">
            <v>Corporate</v>
          </cell>
          <cell r="AE1132">
            <v>1003.85</v>
          </cell>
        </row>
        <row r="1133">
          <cell r="A1133" t="str">
            <v>ETLCUST-05199</v>
          </cell>
          <cell r="B1133" t="str">
            <v>MPS_SAKATA INX (BANGLADESH) PRIVATE LIMITED</v>
          </cell>
          <cell r="C1133" t="str">
            <v>Siddiqur Rahman</v>
          </cell>
          <cell r="D1133" t="str">
            <v>Corporate</v>
          </cell>
          <cell r="E1133" t="str">
            <v>Corporate</v>
          </cell>
          <cell r="AE1133">
            <v>65648.7</v>
          </cell>
        </row>
        <row r="1134">
          <cell r="A1134" t="str">
            <v>ETLCUST-05361</v>
          </cell>
          <cell r="B1134" t="str">
            <v>MPS_SBAC BANK PLC.</v>
          </cell>
          <cell r="C1134" t="str">
            <v>Siddiqur Rahman</v>
          </cell>
          <cell r="D1134" t="str">
            <v>Corporate</v>
          </cell>
          <cell r="E1134" t="str">
            <v>Corporate</v>
          </cell>
          <cell r="AE1134">
            <v>56533.200000000004</v>
          </cell>
        </row>
        <row r="1135">
          <cell r="A1135" t="str">
            <v>ETLCUST-03735</v>
          </cell>
          <cell r="B1135" t="str">
            <v>MPS_SCG INTERNATIONAL BANGLADESH COMPANY LIMITED</v>
          </cell>
          <cell r="C1135" t="str">
            <v>Rafsan Jani</v>
          </cell>
          <cell r="D1135" t="str">
            <v>Corporate</v>
          </cell>
          <cell r="E1135" t="str">
            <v>Corporate</v>
          </cell>
          <cell r="AE1135">
            <v>44415.35</v>
          </cell>
        </row>
        <row r="1136">
          <cell r="A1136" t="str">
            <v>ETLCUST-04629</v>
          </cell>
          <cell r="B1136" t="str">
            <v>MPS_SENSIBLE FASHION (PVT.) LTD.</v>
          </cell>
          <cell r="C1136" t="str">
            <v>Nazir Ahmod</v>
          </cell>
          <cell r="D1136" t="str">
            <v>Corporate</v>
          </cell>
          <cell r="E1136" t="str">
            <v>Corporate</v>
          </cell>
          <cell r="AE1136">
            <v>141005.97</v>
          </cell>
        </row>
        <row r="1137">
          <cell r="A1137" t="str">
            <v>ETLCUST-02296</v>
          </cell>
          <cell r="B1137" t="str">
            <v>MPS_SHELTECH (PVT.) LTD.</v>
          </cell>
          <cell r="C1137" t="str">
            <v>Ashraful Islam</v>
          </cell>
          <cell r="D1137" t="str">
            <v>Corporate</v>
          </cell>
          <cell r="E1137" t="str">
            <v>Corporate</v>
          </cell>
          <cell r="AE1137">
            <v>983505.20000000007</v>
          </cell>
        </row>
        <row r="1138">
          <cell r="A1138" t="str">
            <v>ETLCUST-02297</v>
          </cell>
          <cell r="B1138" t="str">
            <v>MPS_SHELTECH CERAMICS LIMITED</v>
          </cell>
          <cell r="C1138" t="str">
            <v>Ashraful Islam</v>
          </cell>
          <cell r="D1138" t="str">
            <v>Corporate</v>
          </cell>
          <cell r="E1138" t="str">
            <v>Corporate</v>
          </cell>
          <cell r="AE1138">
            <v>259138.69999999998</v>
          </cell>
        </row>
        <row r="1139">
          <cell r="A1139" t="str">
            <v>ETLCUST-02298</v>
          </cell>
          <cell r="B1139" t="str">
            <v>MPS_SHELTECH ENGINEERING LIMITED</v>
          </cell>
          <cell r="C1139" t="str">
            <v>Ashraful Islam</v>
          </cell>
          <cell r="D1139" t="str">
            <v>Corporate</v>
          </cell>
          <cell r="E1139" t="str">
            <v>Corporate</v>
          </cell>
          <cell r="AE1139">
            <v>84077.7</v>
          </cell>
        </row>
        <row r="1140">
          <cell r="A1140" t="str">
            <v>ETLCUST-05235</v>
          </cell>
          <cell r="B1140" t="str">
            <v>MPS_SHIMANTO BANK PLC.</v>
          </cell>
          <cell r="C1140" t="str">
            <v>Rafsan Jani</v>
          </cell>
          <cell r="D1140" t="str">
            <v>Corporate</v>
          </cell>
          <cell r="E1140" t="str">
            <v>Corporate</v>
          </cell>
          <cell r="AE1140">
            <v>74245.990000000005</v>
          </cell>
        </row>
        <row r="1141">
          <cell r="A1141" t="str">
            <v>ETLCUST-04035</v>
          </cell>
          <cell r="B1141" t="str">
            <v>MPS_SMALL AND MEDIUM INDUSTRIES FOUNDATION (SMEF)</v>
          </cell>
          <cell r="C1141" t="str">
            <v>Abu Zahid Sobuj</v>
          </cell>
          <cell r="D1141" t="str">
            <v>Corporate</v>
          </cell>
          <cell r="E1141" t="str">
            <v>Corporate</v>
          </cell>
          <cell r="AE1141">
            <v>72648</v>
          </cell>
        </row>
        <row r="1142">
          <cell r="A1142" t="str">
            <v>ETLCUST-05221</v>
          </cell>
          <cell r="B1142" t="str">
            <v>MPS_SONALI LIFE INSURANCE COMPANY LIMITED</v>
          </cell>
          <cell r="C1142" t="str">
            <v>Nazir Ahmod</v>
          </cell>
          <cell r="D1142" t="str">
            <v>Corporate</v>
          </cell>
          <cell r="E1142" t="str">
            <v>Corporate</v>
          </cell>
          <cell r="AE1142">
            <v>1312390.4000000001</v>
          </cell>
        </row>
        <row r="1143">
          <cell r="A1143" t="str">
            <v>ETLCUST-02439</v>
          </cell>
          <cell r="B1143" t="str">
            <v>MPS_SOS CHILDREN'S VILLAGE INTERNATIONAL IN BANGLADESH</v>
          </cell>
          <cell r="C1143" t="str">
            <v>Shakil Ahmed</v>
          </cell>
          <cell r="D1143" t="str">
            <v>Corporate</v>
          </cell>
          <cell r="E1143" t="str">
            <v>Corporate</v>
          </cell>
          <cell r="AE1143">
            <v>101624.25</v>
          </cell>
        </row>
        <row r="1144">
          <cell r="A1144" t="str">
            <v>ETLCUST-04883</v>
          </cell>
          <cell r="B1144" t="str">
            <v>MPS_STANDARD BANK PLC.</v>
          </cell>
          <cell r="C1144" t="str">
            <v>Rafsan Jani</v>
          </cell>
          <cell r="D1144" t="str">
            <v>Corporate</v>
          </cell>
          <cell r="E1144" t="str">
            <v>Corporate</v>
          </cell>
          <cell r="AE1144">
            <v>146906.20000000001</v>
          </cell>
        </row>
        <row r="1145">
          <cell r="A1145" t="str">
            <v>ETLCUST-03808</v>
          </cell>
          <cell r="B1145" t="str">
            <v>MPS_TARASIMA APPARELS LTD.</v>
          </cell>
          <cell r="C1145" t="str">
            <v>Ashraful Islam</v>
          </cell>
          <cell r="D1145" t="str">
            <v>Corporate</v>
          </cell>
          <cell r="E1145" t="str">
            <v>Corporate</v>
          </cell>
          <cell r="AE1145">
            <v>1682722.6</v>
          </cell>
        </row>
        <row r="1146">
          <cell r="A1146" t="str">
            <v>ETLCUST-03183</v>
          </cell>
          <cell r="B1146" t="str">
            <v>MPS_TCHIBO GMBH BANGLADESH LIAISON OFFICE</v>
          </cell>
          <cell r="C1146" t="str">
            <v>Hasibul Hasan Symoon</v>
          </cell>
          <cell r="D1146" t="str">
            <v>Corporate</v>
          </cell>
          <cell r="E1146" t="str">
            <v>Corporate</v>
          </cell>
          <cell r="AE1146">
            <v>143235</v>
          </cell>
        </row>
        <row r="1147">
          <cell r="A1147" t="str">
            <v>ETLCUST-03602</v>
          </cell>
          <cell r="B1147" t="str">
            <v>MPS_TEAM GROUP</v>
          </cell>
          <cell r="C1147" t="str">
            <v>Ashraful Islam</v>
          </cell>
          <cell r="D1147" t="str">
            <v>Corporate</v>
          </cell>
          <cell r="E1147" t="str">
            <v>Corporate</v>
          </cell>
          <cell r="AE1147">
            <v>1595245.5200000007</v>
          </cell>
        </row>
        <row r="1148">
          <cell r="A1148" t="str">
            <v>ETLCUST-02749</v>
          </cell>
          <cell r="B1148" t="str">
            <v>MPS_TEX ZIPPERS (BD.) LTD.</v>
          </cell>
          <cell r="C1148" t="str">
            <v>Md Saim Ali Rezvy</v>
          </cell>
          <cell r="D1148" t="str">
            <v>Corporate</v>
          </cell>
          <cell r="E1148" t="str">
            <v>Corporate</v>
          </cell>
          <cell r="AE1148">
            <v>731219.4</v>
          </cell>
        </row>
        <row r="1149">
          <cell r="A1149" t="str">
            <v>ETLCUST-02750</v>
          </cell>
          <cell r="B1149" t="str">
            <v>MPS_TEXEUROP (BD) LTD.</v>
          </cell>
          <cell r="C1149" t="str">
            <v>Abu Zahid Sobuj</v>
          </cell>
          <cell r="D1149" t="str">
            <v>Corporate</v>
          </cell>
          <cell r="E1149" t="str">
            <v>Corporate</v>
          </cell>
          <cell r="AE1149">
            <v>1037507.2999999999</v>
          </cell>
        </row>
        <row r="1150">
          <cell r="A1150" t="str">
            <v>ETLCUST-05433</v>
          </cell>
          <cell r="B1150" t="str">
            <v>MPS_THE PREMIER BANK PLC.</v>
          </cell>
          <cell r="C1150" t="str">
            <v>Mohammad Maruf Hasan</v>
          </cell>
          <cell r="D1150" t="str">
            <v>Corporate</v>
          </cell>
          <cell r="E1150" t="str">
            <v>Corporate</v>
          </cell>
          <cell r="AE1150">
            <v>25578.54</v>
          </cell>
        </row>
        <row r="1151">
          <cell r="A1151" t="str">
            <v>ETLCUST-03579</v>
          </cell>
          <cell r="B1151" t="str">
            <v>MPS_THE SOURCE</v>
          </cell>
          <cell r="C1151" t="str">
            <v>Hasibul Hasan Symoon</v>
          </cell>
          <cell r="D1151" t="str">
            <v>Corporate</v>
          </cell>
          <cell r="E1151" t="str">
            <v>Corporate</v>
          </cell>
          <cell r="AE1151">
            <v>197144</v>
          </cell>
        </row>
        <row r="1152">
          <cell r="A1152" t="str">
            <v>ETLCUST-02968</v>
          </cell>
          <cell r="B1152" t="str">
            <v>MPS_TRIO HOLOGRAM INDUSTRIES LIMITED</v>
          </cell>
          <cell r="C1152" t="str">
            <v>Abu Zahid Sobuj</v>
          </cell>
          <cell r="D1152" t="str">
            <v>Corporate</v>
          </cell>
          <cell r="E1152" t="str">
            <v>Corporate</v>
          </cell>
          <cell r="AE1152">
            <v>28508</v>
          </cell>
        </row>
        <row r="1153">
          <cell r="A1153" t="str">
            <v>ETLCUST-05033</v>
          </cell>
          <cell r="B1153" t="str">
            <v>MPS_TWELVE CLOTHING LIMITED</v>
          </cell>
          <cell r="C1153" t="str">
            <v>Ashraful Islam</v>
          </cell>
          <cell r="D1153" t="str">
            <v>Corporate</v>
          </cell>
          <cell r="E1153" t="str">
            <v>Corporate</v>
          </cell>
          <cell r="AE1153">
            <v>91933.599999999977</v>
          </cell>
        </row>
        <row r="1154">
          <cell r="A1154" t="str">
            <v>ETLCUST-04267</v>
          </cell>
          <cell r="B1154" t="str">
            <v>MPS_UNICO HOSPITALS PLC.</v>
          </cell>
          <cell r="C1154" t="str">
            <v>Sabbir Ahmed</v>
          </cell>
          <cell r="D1154" t="str">
            <v>Corporate</v>
          </cell>
          <cell r="E1154" t="str">
            <v>Corporate</v>
          </cell>
          <cell r="AE1154">
            <v>27074.850000000002</v>
          </cell>
        </row>
        <row r="1155">
          <cell r="A1155" t="str">
            <v>ETLCUST-05207</v>
          </cell>
          <cell r="B1155" t="str">
            <v>MPS_UTTARA UNIVERSITY</v>
          </cell>
          <cell r="C1155" t="str">
            <v>Md Saim Ali Rezvy</v>
          </cell>
          <cell r="D1155" t="str">
            <v>Corporate</v>
          </cell>
          <cell r="E1155" t="str">
            <v>Corporate</v>
          </cell>
          <cell r="AE1155">
            <v>329401.8</v>
          </cell>
        </row>
        <row r="1156">
          <cell r="A1156" t="str">
            <v>ETLCUST-03846</v>
          </cell>
          <cell r="B1156" t="str">
            <v>MPS_YOKOHAMA LABELS AND PRINTING (BD) CO. LTD.</v>
          </cell>
          <cell r="C1156" t="str">
            <v>Md Saim Ali Rezvy</v>
          </cell>
          <cell r="D1156" t="str">
            <v>Corporate</v>
          </cell>
          <cell r="E1156" t="str">
            <v>Corporate</v>
          </cell>
          <cell r="AE1156">
            <v>99650.4</v>
          </cell>
        </row>
        <row r="1157">
          <cell r="A1157" t="str">
            <v>ETLCUST-02907</v>
          </cell>
          <cell r="B1157" t="str">
            <v>MPS_ZXY INTERNATIONAL</v>
          </cell>
          <cell r="C1157" t="str">
            <v>Rafsan Jani</v>
          </cell>
          <cell r="D1157" t="str">
            <v>Corporate</v>
          </cell>
          <cell r="E1157" t="str">
            <v>Corporate</v>
          </cell>
          <cell r="AE1157">
            <v>964041.74000000022</v>
          </cell>
        </row>
        <row r="1158">
          <cell r="A1158" t="str">
            <v>ETLCUST-02777</v>
          </cell>
          <cell r="B1158" t="str">
            <v>Mr. GOUTAM SAHA</v>
          </cell>
          <cell r="C1158" t="str">
            <v>Ranjan Kumer Roy</v>
          </cell>
          <cell r="D1158" t="str">
            <v>Corporate</v>
          </cell>
          <cell r="E1158" t="str">
            <v>Corporate</v>
          </cell>
          <cell r="BA1158">
            <v>4300</v>
          </cell>
        </row>
        <row r="1159">
          <cell r="A1159" t="str">
            <v>ETLCUST-00999</v>
          </cell>
          <cell r="B1159" t="str">
            <v>MRB COMPUTERS - PABNA</v>
          </cell>
          <cell r="C1159" t="str">
            <v>Forhad Rubel</v>
          </cell>
          <cell r="D1159" t="str">
            <v>North Bengal</v>
          </cell>
          <cell r="E1159" t="str">
            <v>North Bengal</v>
          </cell>
          <cell r="Q1159">
            <v>1350</v>
          </cell>
          <cell r="R1159">
            <v>10400</v>
          </cell>
          <cell r="S1159">
            <v>0</v>
          </cell>
          <cell r="X1159">
            <v>53000</v>
          </cell>
          <cell r="AL1159">
            <v>13250</v>
          </cell>
          <cell r="AM1159">
            <v>153945</v>
          </cell>
          <cell r="BA1159">
            <v>453915</v>
          </cell>
        </row>
        <row r="1160">
          <cell r="A1160" t="str">
            <v>ETLCUST-05036</v>
          </cell>
          <cell r="B1160" t="str">
            <v>MS COMPUTER - E.ROAD</v>
          </cell>
          <cell r="C1160" t="str">
            <v>Mohotasim Rana</v>
          </cell>
          <cell r="D1160" t="str">
            <v>Multiplan</v>
          </cell>
          <cell r="E1160" t="str">
            <v>Multiplan</v>
          </cell>
          <cell r="P1160">
            <v>134400</v>
          </cell>
          <cell r="X1160">
            <v>237900</v>
          </cell>
          <cell r="AK1160">
            <v>93600</v>
          </cell>
          <cell r="AV1160">
            <v>121800</v>
          </cell>
        </row>
        <row r="1161">
          <cell r="A1161" t="str">
            <v>ETLCUST-05145</v>
          </cell>
          <cell r="B1161" t="str">
            <v>MS COMPUTER CITY &amp; MOBILE CENTER - LAKSHMIPUR</v>
          </cell>
          <cell r="C1161" t="str">
            <v>Reazuddin</v>
          </cell>
          <cell r="D1161" t="str">
            <v>CTG</v>
          </cell>
          <cell r="E1161" t="str">
            <v>CTG</v>
          </cell>
          <cell r="AM1161">
            <v>60440</v>
          </cell>
          <cell r="AQ1161">
            <v>0</v>
          </cell>
          <cell r="BA1161">
            <v>295670</v>
          </cell>
        </row>
        <row r="1162">
          <cell r="A1162" t="str">
            <v>ETLCUST-05150</v>
          </cell>
          <cell r="B1162" t="str">
            <v>MS IT SOLUTION-E.ROAD</v>
          </cell>
          <cell r="C1162" t="str">
            <v>Mohotasim Rana</v>
          </cell>
          <cell r="D1162" t="str">
            <v>DHB</v>
          </cell>
          <cell r="E1162" t="str">
            <v>DHB</v>
          </cell>
          <cell r="R1162">
            <v>106500</v>
          </cell>
          <cell r="AF1162">
            <v>18000</v>
          </cell>
          <cell r="AT1162">
            <v>268500</v>
          </cell>
        </row>
        <row r="1163">
          <cell r="A1163" t="str">
            <v>ETLCUST-01270</v>
          </cell>
          <cell r="B1163" t="str">
            <v>MSR PC SOLUTION - MYMENSINGH</v>
          </cell>
          <cell r="C1163" t="str">
            <v>Rafiqul Islam Sumon</v>
          </cell>
          <cell r="D1163" t="str">
            <v>Mymensingh</v>
          </cell>
          <cell r="E1163" t="str">
            <v>Mymensingh</v>
          </cell>
          <cell r="S1163">
            <v>0</v>
          </cell>
          <cell r="AM1163">
            <v>80925</v>
          </cell>
          <cell r="BA1163">
            <v>445880</v>
          </cell>
        </row>
        <row r="1164">
          <cell r="A1164" t="str">
            <v>ETLCUST-05204</v>
          </cell>
          <cell r="B1164" t="str">
            <v>MT SOLAR POWER - GULISTAN</v>
          </cell>
          <cell r="C1164" t="str">
            <v>Md Kamrul Hasan Sabuz</v>
          </cell>
          <cell r="D1164" t="str">
            <v>Gulistan</v>
          </cell>
          <cell r="E1164" t="str">
            <v>Gulistan</v>
          </cell>
          <cell r="S1164">
            <v>0</v>
          </cell>
          <cell r="AK1164">
            <v>2482200</v>
          </cell>
        </row>
        <row r="1165">
          <cell r="A1165" t="str">
            <v>ETLCUST-04284</v>
          </cell>
          <cell r="B1165" t="str">
            <v>MTEL ELECTRONICS - MULTIPLAN</v>
          </cell>
          <cell r="C1165" t="str">
            <v>Pran Krishna Gosh</v>
          </cell>
          <cell r="D1165" t="str">
            <v>Multiplan</v>
          </cell>
          <cell r="E1165" t="str">
            <v>Multiplan</v>
          </cell>
          <cell r="T1165">
            <v>1070650</v>
          </cell>
          <cell r="AL1165">
            <v>112350</v>
          </cell>
        </row>
        <row r="1166">
          <cell r="A1166" t="str">
            <v>ETLCUST-03220</v>
          </cell>
          <cell r="B1166" t="str">
            <v>MUAZ COMPUTER - KHULNA</v>
          </cell>
          <cell r="C1166" t="str">
            <v>Md Husaun</v>
          </cell>
          <cell r="D1166" t="str">
            <v>Khulna</v>
          </cell>
          <cell r="E1166" t="str">
            <v>Khulna</v>
          </cell>
          <cell r="O1166">
            <v>1100</v>
          </cell>
          <cell r="P1166">
            <v>12800</v>
          </cell>
          <cell r="R1166">
            <v>41000</v>
          </cell>
          <cell r="X1166">
            <v>178550</v>
          </cell>
          <cell r="AK1166">
            <v>27000</v>
          </cell>
          <cell r="AM1166">
            <v>15630</v>
          </cell>
          <cell r="BA1166">
            <v>196480</v>
          </cell>
        </row>
        <row r="1167">
          <cell r="A1167" t="str">
            <v>ETLCUST-04445</v>
          </cell>
          <cell r="B1167" t="str">
            <v>MULTI BUSINESS AND IT SOLUTION - PALTAN</v>
          </cell>
          <cell r="C1167" t="str">
            <v>Hridoy Chandra Das</v>
          </cell>
          <cell r="D1167" t="str">
            <v>Motijheel</v>
          </cell>
          <cell r="E1167" t="str">
            <v>Motijheel</v>
          </cell>
          <cell r="P1167">
            <v>70900</v>
          </cell>
        </row>
        <row r="1168">
          <cell r="A1168" t="str">
            <v>ETLCUST-01877</v>
          </cell>
          <cell r="B1168" t="str">
            <v>MULTI PURPOSE TECHNOLOGY - MOTIJHEEL</v>
          </cell>
          <cell r="C1168" t="str">
            <v>Hridoy Chandra Das</v>
          </cell>
          <cell r="D1168" t="str">
            <v>Motijheel</v>
          </cell>
          <cell r="E1168" t="str">
            <v>Motijheel</v>
          </cell>
          <cell r="P1168">
            <v>64300</v>
          </cell>
          <cell r="AJ1168">
            <v>501510</v>
          </cell>
          <cell r="BA1168">
            <v>9750</v>
          </cell>
        </row>
        <row r="1169">
          <cell r="A1169" t="str">
            <v>ETLCUST-00152</v>
          </cell>
          <cell r="B1169" t="str">
            <v>MULTILINK COMPUTERS - UTTARA</v>
          </cell>
          <cell r="C1169" t="str">
            <v>Dulal Sarker</v>
          </cell>
          <cell r="D1169" t="str">
            <v>Uttara</v>
          </cell>
          <cell r="E1169" t="str">
            <v>Uttara</v>
          </cell>
          <cell r="O1169">
            <v>25850</v>
          </cell>
          <cell r="P1169">
            <v>65000</v>
          </cell>
          <cell r="Q1169">
            <v>2240</v>
          </cell>
          <cell r="R1169">
            <v>2723400</v>
          </cell>
          <cell r="S1169">
            <v>0</v>
          </cell>
          <cell r="T1169">
            <v>22000</v>
          </cell>
          <cell r="U1169">
            <v>7800</v>
          </cell>
          <cell r="X1169">
            <v>156000</v>
          </cell>
          <cell r="AF1169">
            <v>18800</v>
          </cell>
          <cell r="AJ1169">
            <v>546650</v>
          </cell>
          <cell r="AM1169">
            <v>605135</v>
          </cell>
          <cell r="AO1169">
            <v>167000</v>
          </cell>
          <cell r="AR1169">
            <v>14000</v>
          </cell>
          <cell r="AT1169">
            <v>618700</v>
          </cell>
          <cell r="AV1169">
            <v>66800</v>
          </cell>
          <cell r="AZ1169">
            <v>3850</v>
          </cell>
          <cell r="BA1169">
            <v>8169880</v>
          </cell>
        </row>
        <row r="1170">
          <cell r="A1170" t="str">
            <v>ETLCUST-01467</v>
          </cell>
          <cell r="B1170" t="str">
            <v>MULTIMEDIA COMPUTER - PATUAKHALI</v>
          </cell>
          <cell r="C1170" t="str">
            <v>Shah Imran</v>
          </cell>
          <cell r="D1170" t="str">
            <v>South Bengal</v>
          </cell>
          <cell r="E1170" t="str">
            <v>South Bengal</v>
          </cell>
          <cell r="G1170">
            <v>20400</v>
          </cell>
          <cell r="O1170">
            <v>11000</v>
          </cell>
          <cell r="P1170">
            <v>25600</v>
          </cell>
          <cell r="R1170">
            <v>36800</v>
          </cell>
          <cell r="X1170">
            <v>166200</v>
          </cell>
          <cell r="AM1170">
            <v>0</v>
          </cell>
          <cell r="AO1170">
            <v>19810</v>
          </cell>
          <cell r="AT1170">
            <v>2500</v>
          </cell>
          <cell r="BA1170">
            <v>151855</v>
          </cell>
        </row>
        <row r="1171">
          <cell r="A1171" t="str">
            <v>ETLCUST-00133</v>
          </cell>
          <cell r="B1171" t="str">
            <v>MULTIMEDIA COMPUTER - UTTARA</v>
          </cell>
          <cell r="C1171" t="str">
            <v>Dulal Sarker</v>
          </cell>
          <cell r="D1171" t="str">
            <v>Uttara</v>
          </cell>
          <cell r="E1171" t="str">
            <v>Uttara</v>
          </cell>
          <cell r="S1171">
            <v>0</v>
          </cell>
          <cell r="AJ1171">
            <v>145000</v>
          </cell>
          <cell r="AQ1171">
            <v>0</v>
          </cell>
          <cell r="AT1171">
            <v>2500</v>
          </cell>
          <cell r="BA1171">
            <v>2027890</v>
          </cell>
        </row>
        <row r="1172">
          <cell r="A1172" t="str">
            <v>ETLCUST-05346</v>
          </cell>
          <cell r="B1172" t="str">
            <v>MULTIPLAN COMPUTER - BARISAL</v>
          </cell>
          <cell r="C1172" t="str">
            <v>Md. Aminul Islam</v>
          </cell>
          <cell r="D1172" t="str">
            <v>South Bengal</v>
          </cell>
          <cell r="E1172" t="str">
            <v>South Bengal</v>
          </cell>
          <cell r="X1172">
            <v>20750</v>
          </cell>
          <cell r="AL1172">
            <v>9810</v>
          </cell>
          <cell r="AM1172">
            <v>7625</v>
          </cell>
          <cell r="AO1172">
            <v>1490</v>
          </cell>
          <cell r="BA1172">
            <v>40800</v>
          </cell>
        </row>
        <row r="1173">
          <cell r="A1173" t="str">
            <v>ETLCUST-01350</v>
          </cell>
          <cell r="B1173" t="str">
            <v>MULTIPLUS COMPUTER - N.GONJ</v>
          </cell>
          <cell r="C1173" t="str">
            <v>Arafat Hossain</v>
          </cell>
          <cell r="D1173" t="str">
            <v>South Bengal</v>
          </cell>
          <cell r="E1173" t="str">
            <v>South Bengal</v>
          </cell>
          <cell r="T1173">
            <v>5000</v>
          </cell>
          <cell r="U1173">
            <v>7900</v>
          </cell>
          <cell r="X1173">
            <v>26800</v>
          </cell>
        </row>
        <row r="1174">
          <cell r="A1174" t="str">
            <v>ETLCUST-01532</v>
          </cell>
          <cell r="B1174" t="str">
            <v>MULTISYSTEM SOLUTION - CTG</v>
          </cell>
          <cell r="C1174" t="str">
            <v>Shahidul Alam Chowdhury</v>
          </cell>
          <cell r="D1174" t="str">
            <v>CTG</v>
          </cell>
          <cell r="E1174" t="str">
            <v>CTG</v>
          </cell>
          <cell r="P1174">
            <v>77000</v>
          </cell>
          <cell r="R1174">
            <v>73500</v>
          </cell>
          <cell r="AF1174">
            <v>1732500</v>
          </cell>
          <cell r="AM1174">
            <v>425</v>
          </cell>
          <cell r="AO1174">
            <v>750</v>
          </cell>
          <cell r="BA1174">
            <v>74415</v>
          </cell>
        </row>
        <row r="1175">
          <cell r="A1175" t="str">
            <v>ETLCUST-01378</v>
          </cell>
          <cell r="B1175" t="str">
            <v>MUNSHIGANJ IT - N.GONJ</v>
          </cell>
          <cell r="C1175" t="str">
            <v>Arafat Hossain</v>
          </cell>
          <cell r="D1175" t="str">
            <v>South Bengal</v>
          </cell>
          <cell r="E1175" t="str">
            <v>South Bengal</v>
          </cell>
          <cell r="Q1175">
            <v>890</v>
          </cell>
          <cell r="AM1175">
            <v>159660</v>
          </cell>
          <cell r="AR1175">
            <v>4750</v>
          </cell>
          <cell r="BA1175">
            <v>866580</v>
          </cell>
        </row>
        <row r="1176">
          <cell r="A1176" t="str">
            <v>ETLCUST-04734</v>
          </cell>
          <cell r="B1176" t="str">
            <v>MUSARRAT MIKE HOUSE - SYLHET</v>
          </cell>
          <cell r="C1176" t="str">
            <v>Sanwar Husen</v>
          </cell>
          <cell r="D1176" t="str">
            <v>Sylhet</v>
          </cell>
          <cell r="E1176" t="str">
            <v>Sylhet</v>
          </cell>
          <cell r="AZ1176">
            <v>130750</v>
          </cell>
        </row>
        <row r="1177">
          <cell r="A1177" t="str">
            <v>ETLCUST-03023</v>
          </cell>
          <cell r="B1177" t="str">
            <v>MUSTAFA COMPUTER AND TECHNOLOGY - COX'S BAZAR</v>
          </cell>
          <cell r="C1177" t="str">
            <v>Md. Mamunur Rashid</v>
          </cell>
          <cell r="D1177" t="str">
            <v>CTG</v>
          </cell>
          <cell r="E1177" t="str">
            <v>CTG</v>
          </cell>
          <cell r="G1177">
            <v>102000</v>
          </cell>
          <cell r="P1177">
            <v>12800</v>
          </cell>
          <cell r="Q1177">
            <v>890</v>
          </cell>
          <cell r="R1177">
            <v>192000</v>
          </cell>
          <cell r="X1177">
            <v>207500</v>
          </cell>
          <cell r="AJ1177">
            <v>22300</v>
          </cell>
          <cell r="AL1177">
            <v>129350</v>
          </cell>
          <cell r="AM1177">
            <v>1140</v>
          </cell>
          <cell r="AO1177">
            <v>15225</v>
          </cell>
          <cell r="AQ1177">
            <v>0</v>
          </cell>
          <cell r="BA1177">
            <v>837815</v>
          </cell>
        </row>
        <row r="1178">
          <cell r="A1178" t="str">
            <v>ETLCUST-02308</v>
          </cell>
          <cell r="B1178" t="str">
            <v>MUTUAL TRUST BANK PLC.</v>
          </cell>
          <cell r="C1178" t="str">
            <v>Hasibul Hasan Symoon</v>
          </cell>
          <cell r="D1178" t="str">
            <v>Corporate</v>
          </cell>
          <cell r="E1178" t="str">
            <v>Corporate</v>
          </cell>
          <cell r="U1178">
            <v>270000</v>
          </cell>
          <cell r="AD1178">
            <v>146931.79999999999</v>
          </cell>
          <cell r="AF1178">
            <v>56841</v>
          </cell>
          <cell r="AT1178">
            <v>264944</v>
          </cell>
        </row>
        <row r="1179">
          <cell r="A1179" t="str">
            <v>ETLCUST-00661</v>
          </cell>
          <cell r="B1179" t="str">
            <v>MY COMPUTER - NARAIL</v>
          </cell>
          <cell r="C1179" t="str">
            <v>Md Husaun</v>
          </cell>
          <cell r="D1179" t="str">
            <v>Khulna</v>
          </cell>
          <cell r="E1179" t="str">
            <v>Khulna</v>
          </cell>
          <cell r="AK1179">
            <v>46000</v>
          </cell>
        </row>
        <row r="1180">
          <cell r="A1180" t="str">
            <v>ETLCUST-03540</v>
          </cell>
          <cell r="B1180" t="str">
            <v xml:space="preserve">N SOLUTION BD -MULTIPLAN </v>
          </cell>
          <cell r="C1180" t="str">
            <v>Md. Anamul Hoque</v>
          </cell>
          <cell r="D1180" t="str">
            <v>Multiplan</v>
          </cell>
          <cell r="E1180" t="str">
            <v>Multiplan</v>
          </cell>
          <cell r="H1180">
            <v>222600</v>
          </cell>
          <cell r="X1180">
            <v>391625</v>
          </cell>
          <cell r="AJ1180">
            <v>26000</v>
          </cell>
          <cell r="AL1180">
            <v>112350</v>
          </cell>
          <cell r="AM1180">
            <v>1275</v>
          </cell>
          <cell r="AR1180">
            <v>34000</v>
          </cell>
          <cell r="AV1180">
            <v>116200</v>
          </cell>
          <cell r="BA1180">
            <v>50250</v>
          </cell>
        </row>
        <row r="1181">
          <cell r="A1181" t="str">
            <v>ETLCUST-03921</v>
          </cell>
          <cell r="B1181" t="str">
            <v>N. TELCOMMUNICATION SYSTEM - MOTIJHEEL</v>
          </cell>
          <cell r="C1181" t="str">
            <v>Md Tanjilur Rakib</v>
          </cell>
          <cell r="D1181" t="str">
            <v>HO-SI</v>
          </cell>
          <cell r="E1181" t="str">
            <v>HO-SI</v>
          </cell>
          <cell r="U1181">
            <v>105400</v>
          </cell>
          <cell r="AS1181">
            <v>1220000</v>
          </cell>
        </row>
        <row r="1182">
          <cell r="A1182" t="str">
            <v>ETLCUST-01216</v>
          </cell>
          <cell r="B1182" t="str">
            <v>N.S. COMPUTER AND ENGINEERING - MOTIJHEEL</v>
          </cell>
          <cell r="C1182" t="str">
            <v>Hridoy Chandra Das</v>
          </cell>
          <cell r="D1182" t="str">
            <v>Motijheel</v>
          </cell>
          <cell r="E1182" t="str">
            <v>Motijheel</v>
          </cell>
          <cell r="AJ1182">
            <v>657190</v>
          </cell>
          <cell r="AO1182">
            <v>452400</v>
          </cell>
          <cell r="AV1182">
            <v>16700</v>
          </cell>
        </row>
        <row r="1183">
          <cell r="A1183" t="str">
            <v>ETLCUST-05090</v>
          </cell>
          <cell r="B1183" t="str">
            <v>N.Z. TEXTILE LIMITED</v>
          </cell>
          <cell r="C1183" t="str">
            <v>Md. Raihan Ali</v>
          </cell>
          <cell r="D1183" t="str">
            <v>Corporate</v>
          </cell>
          <cell r="E1183" t="str">
            <v>Corporate</v>
          </cell>
          <cell r="U1183">
            <v>22215</v>
          </cell>
          <cell r="AV1183">
            <v>34318.6</v>
          </cell>
        </row>
        <row r="1184">
          <cell r="A1184" t="str">
            <v>ETLCUST-05102</v>
          </cell>
          <cell r="B1184" t="str">
            <v>NABIL GROUP OF INDUSTRIES</v>
          </cell>
          <cell r="C1184" t="str">
            <v>Md. Anisur Rahman</v>
          </cell>
          <cell r="D1184" t="str">
            <v>Corporate</v>
          </cell>
          <cell r="E1184" t="str">
            <v>Corporate</v>
          </cell>
          <cell r="H1184">
            <v>88000</v>
          </cell>
          <cell r="AR1184">
            <v>82000</v>
          </cell>
        </row>
        <row r="1185">
          <cell r="A1185" t="str">
            <v>ETLCUST-04227</v>
          </cell>
          <cell r="B1185" t="str">
            <v>NADIYA ELECTRONICS - TANGAIL</v>
          </cell>
          <cell r="C1185" t="str">
            <v>Niloy Ghosh</v>
          </cell>
          <cell r="D1185" t="str">
            <v>DHK-EXT</v>
          </cell>
          <cell r="E1185" t="str">
            <v>DHK-EXT</v>
          </cell>
          <cell r="G1185">
            <v>100400</v>
          </cell>
          <cell r="S1185">
            <v>0</v>
          </cell>
          <cell r="X1185">
            <v>344175</v>
          </cell>
          <cell r="AF1185">
            <v>25400</v>
          </cell>
          <cell r="AL1185">
            <v>68830</v>
          </cell>
          <cell r="AM1185">
            <v>1056900</v>
          </cell>
          <cell r="AQ1185">
            <v>0</v>
          </cell>
          <cell r="BA1185">
            <v>2497900</v>
          </cell>
        </row>
        <row r="1186">
          <cell r="A1186" t="str">
            <v>ETLCUST-04120</v>
          </cell>
          <cell r="B1186" t="str">
            <v>NAFISA INTERNATIONAL TRADING (BD.) LTD.</v>
          </cell>
          <cell r="C1186" t="str">
            <v>Sabbir Ahmed</v>
          </cell>
          <cell r="D1186" t="str">
            <v>Corporate</v>
          </cell>
          <cell r="E1186" t="str">
            <v>Corporate</v>
          </cell>
          <cell r="F1186">
            <v>264000</v>
          </cell>
          <cell r="I1186">
            <v>173431.54</v>
          </cell>
          <cell r="L1186">
            <v>32800</v>
          </cell>
          <cell r="M1186">
            <v>53684.21</v>
          </cell>
          <cell r="P1186">
            <v>87100</v>
          </cell>
          <cell r="U1186">
            <v>147473.68</v>
          </cell>
          <cell r="AK1186">
            <v>36000</v>
          </cell>
          <cell r="AV1186">
            <v>40120</v>
          </cell>
          <cell r="BA1186">
            <v>5150</v>
          </cell>
        </row>
        <row r="1187">
          <cell r="A1187" t="str">
            <v>ETLCUST-01209</v>
          </cell>
          <cell r="B1187" t="str">
            <v>NAHID TRADERS - B.MUKARRAM</v>
          </cell>
          <cell r="C1187" t="str">
            <v>Noor Hossain</v>
          </cell>
          <cell r="D1187" t="str">
            <v>Gulistan</v>
          </cell>
          <cell r="E1187" t="str">
            <v>Gulistan</v>
          </cell>
          <cell r="AZ1187">
            <v>153200</v>
          </cell>
        </row>
        <row r="1188">
          <cell r="A1188" t="str">
            <v>ETLCUST-03622</v>
          </cell>
          <cell r="B1188" t="str">
            <v>NAIM ENTERPRISE - GULISTAN</v>
          </cell>
          <cell r="C1188" t="str">
            <v>Md Kamrul Hasan Sabuz</v>
          </cell>
          <cell r="D1188" t="str">
            <v>Gulistan</v>
          </cell>
          <cell r="E1188" t="str">
            <v>Gulistan</v>
          </cell>
          <cell r="AZ1188">
            <v>3098350</v>
          </cell>
        </row>
        <row r="1189">
          <cell r="A1189" t="str">
            <v>ETLCUST-01541</v>
          </cell>
          <cell r="B1189" t="str">
            <v>NANO COMPUTER - CTG</v>
          </cell>
          <cell r="C1189" t="str">
            <v>Manjurul Huda Parvez</v>
          </cell>
          <cell r="D1189" t="str">
            <v>CTG</v>
          </cell>
          <cell r="E1189" t="str">
            <v>CTG</v>
          </cell>
          <cell r="H1189">
            <v>30500</v>
          </cell>
          <cell r="R1189">
            <v>855000</v>
          </cell>
          <cell r="T1189">
            <v>12600</v>
          </cell>
          <cell r="X1189">
            <v>209200</v>
          </cell>
          <cell r="AL1189">
            <v>6625</v>
          </cell>
          <cell r="AM1189">
            <v>21575</v>
          </cell>
          <cell r="AO1189">
            <v>31400</v>
          </cell>
          <cell r="BA1189">
            <v>451375</v>
          </cell>
        </row>
        <row r="1190">
          <cell r="A1190" t="str">
            <v>ETLCUST-05008</v>
          </cell>
          <cell r="B1190" t="str">
            <v>NANO TECH - NARSINGDI</v>
          </cell>
          <cell r="C1190" t="str">
            <v>Arafat Hossain</v>
          </cell>
          <cell r="D1190" t="str">
            <v>South Bengal</v>
          </cell>
          <cell r="E1190" t="str">
            <v>South Bengal</v>
          </cell>
          <cell r="G1190">
            <v>20400</v>
          </cell>
          <cell r="S1190">
            <v>0</v>
          </cell>
          <cell r="BA1190">
            <v>316625</v>
          </cell>
        </row>
        <row r="1191">
          <cell r="A1191" t="str">
            <v>ETLCUST-05365</v>
          </cell>
          <cell r="B1191" t="str">
            <v>NanoNet Solutions Ltd. - Kalabagan</v>
          </cell>
          <cell r="C1191" t="str">
            <v>Md. Abdus Satter</v>
          </cell>
          <cell r="D1191" t="str">
            <v>HO-SI</v>
          </cell>
          <cell r="E1191" t="str">
            <v>HO-SI</v>
          </cell>
          <cell r="U1191">
            <v>744000</v>
          </cell>
        </row>
        <row r="1192">
          <cell r="A1192" t="str">
            <v>ETLCUST-04202</v>
          </cell>
          <cell r="B1192" t="str">
            <v>NASIR GLASS INDUSTRIES LIMITED</v>
          </cell>
          <cell r="C1192" t="str">
            <v>Hasibul Hasan Symoon</v>
          </cell>
          <cell r="D1192" t="str">
            <v>Corporate</v>
          </cell>
          <cell r="E1192" t="str">
            <v>Corporate</v>
          </cell>
          <cell r="I1192">
            <v>32494.5</v>
          </cell>
          <cell r="S1192">
            <v>270542.69999999995</v>
          </cell>
          <cell r="X1192">
            <v>215132.06</v>
          </cell>
          <cell r="AY1192">
            <v>178684</v>
          </cell>
          <cell r="BA1192">
            <v>14602.98</v>
          </cell>
        </row>
        <row r="1193">
          <cell r="A1193" t="str">
            <v>ETLCUST-01869</v>
          </cell>
          <cell r="B1193" t="str">
            <v>NATIONAL COMPUTER - MOTIJHEEL</v>
          </cell>
          <cell r="C1193" t="str">
            <v>Md. Sahedul Islam</v>
          </cell>
          <cell r="D1193" t="str">
            <v>Motijheel</v>
          </cell>
          <cell r="E1193" t="str">
            <v>Motijheel</v>
          </cell>
          <cell r="P1193">
            <v>448000</v>
          </cell>
          <cell r="V1193">
            <v>9500</v>
          </cell>
          <cell r="Y1193">
            <v>250500</v>
          </cell>
          <cell r="AD1193">
            <v>520000</v>
          </cell>
          <cell r="AT1193">
            <v>117000</v>
          </cell>
        </row>
        <row r="1194">
          <cell r="A1194" t="str">
            <v>ETLCUST-00983</v>
          </cell>
          <cell r="B1194" t="str">
            <v>NATIONAL COMPUTER AND TECHNOLOGY - ISHWARDI</v>
          </cell>
          <cell r="C1194" t="str">
            <v>Forhad Rubel</v>
          </cell>
          <cell r="D1194" t="str">
            <v>North Bengal</v>
          </cell>
          <cell r="E1194" t="str">
            <v>North Bengal</v>
          </cell>
          <cell r="G1194">
            <v>70700</v>
          </cell>
          <cell r="S1194">
            <v>0</v>
          </cell>
          <cell r="T1194">
            <v>22000</v>
          </cell>
          <cell r="X1194">
            <v>270150</v>
          </cell>
          <cell r="AM1194">
            <v>62750</v>
          </cell>
          <cell r="AO1194">
            <v>18500</v>
          </cell>
          <cell r="AT1194">
            <v>58000</v>
          </cell>
          <cell r="BA1194">
            <v>875915</v>
          </cell>
        </row>
        <row r="1195">
          <cell r="A1195" t="str">
            <v>ETLCUST-01361</v>
          </cell>
          <cell r="B1195" t="str">
            <v>NATIONAL COMPUTER SERVICE - GOPALGONJ</v>
          </cell>
          <cell r="C1195" t="str">
            <v>Hanif shek</v>
          </cell>
          <cell r="D1195" t="str">
            <v>South Bengal</v>
          </cell>
          <cell r="E1195" t="str">
            <v>South Bengal</v>
          </cell>
          <cell r="R1195">
            <v>37500</v>
          </cell>
          <cell r="T1195">
            <v>39000</v>
          </cell>
          <cell r="X1195">
            <v>318800</v>
          </cell>
          <cell r="AL1195">
            <v>51260</v>
          </cell>
          <cell r="AM1195">
            <v>24340</v>
          </cell>
          <cell r="AQ1195">
            <v>0</v>
          </cell>
          <cell r="BA1195">
            <v>76800</v>
          </cell>
        </row>
        <row r="1196">
          <cell r="A1196" t="str">
            <v>ETLCUST-03784</v>
          </cell>
          <cell r="B1196" t="str">
            <v>NATIONAL DEVELOPMENT ENGINEERS LTD.</v>
          </cell>
          <cell r="C1196" t="str">
            <v>Mohammad Maruf Hasan</v>
          </cell>
          <cell r="D1196" t="str">
            <v>Corporate</v>
          </cell>
          <cell r="E1196" t="str">
            <v>Corporate</v>
          </cell>
          <cell r="I1196">
            <v>369950</v>
          </cell>
          <cell r="U1196">
            <v>250250</v>
          </cell>
          <cell r="X1196">
            <v>1626600</v>
          </cell>
          <cell r="AF1196">
            <v>58000</v>
          </cell>
          <cell r="AV1196">
            <v>95200</v>
          </cell>
        </row>
        <row r="1197">
          <cell r="A1197" t="str">
            <v>ETLCUST-03277</v>
          </cell>
          <cell r="B1197" t="str">
            <v>NATIONAL ELECTRONICS - GULISTAN</v>
          </cell>
          <cell r="C1197" t="str">
            <v>Shamim Hossain</v>
          </cell>
          <cell r="D1197" t="str">
            <v>Gulistan</v>
          </cell>
          <cell r="E1197" t="str">
            <v>Gulistan</v>
          </cell>
          <cell r="AZ1197">
            <v>139300</v>
          </cell>
        </row>
        <row r="1198">
          <cell r="A1198" t="str">
            <v>ETLCUST-02378</v>
          </cell>
          <cell r="B1198" t="str">
            <v>NAVANA REAL ESTATE LTD.</v>
          </cell>
          <cell r="C1198" t="str">
            <v>Mohammad Maruf Hasan</v>
          </cell>
          <cell r="D1198" t="str">
            <v>Corporate</v>
          </cell>
          <cell r="E1198" t="str">
            <v>Corporate</v>
          </cell>
          <cell r="U1198">
            <v>460414.59</v>
          </cell>
        </row>
        <row r="1199">
          <cell r="A1199" t="str">
            <v>ETLCUST-02634</v>
          </cell>
          <cell r="B1199" t="str">
            <v>NAVIGATION SERVICE SOLUTION - JAMUNA FUTURE PARK</v>
          </cell>
          <cell r="C1199" t="str">
            <v>Jiku Saha</v>
          </cell>
          <cell r="D1199" t="str">
            <v>Uttara</v>
          </cell>
          <cell r="E1199" t="str">
            <v>Uttara</v>
          </cell>
          <cell r="AJ1199">
            <v>200150</v>
          </cell>
          <cell r="BA1199">
            <v>229995</v>
          </cell>
        </row>
        <row r="1200">
          <cell r="A1200" t="str">
            <v>ETLCUST-03583</v>
          </cell>
          <cell r="B1200" t="str">
            <v>NAZ COMPUTER CITY - SYLHET</v>
          </cell>
          <cell r="C1200" t="str">
            <v>Kunjaraj Singha</v>
          </cell>
          <cell r="D1200" t="str">
            <v>Sylhet</v>
          </cell>
          <cell r="E1200" t="str">
            <v>Sylhet</v>
          </cell>
          <cell r="R1200">
            <v>847000</v>
          </cell>
          <cell r="S1200">
            <v>0</v>
          </cell>
          <cell r="AL1200">
            <v>199060</v>
          </cell>
          <cell r="AM1200">
            <v>1140</v>
          </cell>
          <cell r="AO1200">
            <v>13750</v>
          </cell>
          <cell r="AT1200">
            <v>22000</v>
          </cell>
          <cell r="AZ1200">
            <v>10000</v>
          </cell>
          <cell r="BA1200">
            <v>1128330</v>
          </cell>
        </row>
        <row r="1201">
          <cell r="A1201" t="str">
            <v>ETLCUST-00508</v>
          </cell>
          <cell r="B1201" t="str">
            <v>NCLL SYSTEM LTD - IDB</v>
          </cell>
          <cell r="C1201" t="str">
            <v>Fajle Rabbi</v>
          </cell>
          <cell r="D1201" t="str">
            <v>IDB</v>
          </cell>
          <cell r="E1201" t="str">
            <v>IDB</v>
          </cell>
          <cell r="AF1201">
            <v>44200</v>
          </cell>
          <cell r="AK1201">
            <v>52600</v>
          </cell>
        </row>
        <row r="1202">
          <cell r="A1202" t="str">
            <v>ETLCUST-00424</v>
          </cell>
          <cell r="B1202" t="str">
            <v>NEEF IT LIMITED - KISHOREGONJ</v>
          </cell>
          <cell r="C1202" t="str">
            <v>Md. Imran Miah Khandakar</v>
          </cell>
          <cell r="D1202" t="str">
            <v>Sylhet</v>
          </cell>
          <cell r="E1202" t="str">
            <v>Sylhet</v>
          </cell>
          <cell r="S1202">
            <v>0</v>
          </cell>
          <cell r="T1202">
            <v>515450</v>
          </cell>
          <cell r="X1202">
            <v>17000</v>
          </cell>
          <cell r="AL1202">
            <v>218460</v>
          </cell>
          <cell r="AM1202">
            <v>1091880</v>
          </cell>
          <cell r="AQ1202">
            <v>0</v>
          </cell>
          <cell r="AZ1202">
            <v>25870</v>
          </cell>
          <cell r="BA1202">
            <v>3276050</v>
          </cell>
        </row>
        <row r="1203">
          <cell r="A1203" t="str">
            <v>ETLCUST-02251</v>
          </cell>
          <cell r="B1203" t="str">
            <v>NESTLE BANGLADESH PLC.</v>
          </cell>
          <cell r="C1203" t="str">
            <v>Sabbir Ahmed</v>
          </cell>
          <cell r="D1203" t="str">
            <v>Corporate</v>
          </cell>
          <cell r="E1203" t="str">
            <v>Corporate</v>
          </cell>
          <cell r="S1203">
            <v>206099</v>
          </cell>
          <cell r="X1203">
            <v>28000</v>
          </cell>
          <cell r="AV1203">
            <v>34400</v>
          </cell>
          <cell r="AY1203">
            <v>36530</v>
          </cell>
          <cell r="BA1203">
            <v>192500</v>
          </cell>
        </row>
        <row r="1204">
          <cell r="A1204" t="str">
            <v>ETLCUST-05286</v>
          </cell>
          <cell r="B1204" t="str">
            <v>NET CONNECT - SHYAMOLI</v>
          </cell>
          <cell r="C1204" t="str">
            <v>Sadekur Rahman</v>
          </cell>
          <cell r="D1204" t="str">
            <v>HO-SI</v>
          </cell>
          <cell r="E1204" t="str">
            <v>HO-SI</v>
          </cell>
          <cell r="X1204">
            <v>290000</v>
          </cell>
        </row>
        <row r="1205">
          <cell r="A1205" t="str">
            <v>ETLCUST-01130</v>
          </cell>
          <cell r="B1205" t="str">
            <v>NET STAR - PVT LTD. - IDB</v>
          </cell>
          <cell r="C1205" t="str">
            <v>Amit Sarker</v>
          </cell>
          <cell r="D1205" t="str">
            <v>IDB</v>
          </cell>
          <cell r="E1205" t="str">
            <v>IDB</v>
          </cell>
          <cell r="U1205">
            <v>74750</v>
          </cell>
          <cell r="AM1205">
            <v>9130</v>
          </cell>
          <cell r="AP1205">
            <v>19200</v>
          </cell>
          <cell r="BA1205">
            <v>12400</v>
          </cell>
        </row>
        <row r="1206">
          <cell r="A1206" t="str">
            <v>ETLCUST-04684</v>
          </cell>
          <cell r="B1206" t="str">
            <v>NETBEE - CTG</v>
          </cell>
          <cell r="C1206" t="str">
            <v>Md. Mamunur Rashid</v>
          </cell>
          <cell r="D1206" t="str">
            <v>CTG</v>
          </cell>
          <cell r="E1206" t="str">
            <v>CTG</v>
          </cell>
          <cell r="U1206">
            <v>76500</v>
          </cell>
          <cell r="AK1206">
            <v>26800</v>
          </cell>
          <cell r="BA1206">
            <v>11700</v>
          </cell>
        </row>
        <row r="1207">
          <cell r="A1207" t="str">
            <v>ETLCUST-05249</v>
          </cell>
          <cell r="B1207" t="str">
            <v>NETWAY SOLUTIONS  -UTTARKHAN</v>
          </cell>
          <cell r="C1207" t="str">
            <v>Md. Abdus Satter</v>
          </cell>
          <cell r="D1207" t="str">
            <v>HO-SI</v>
          </cell>
          <cell r="E1207" t="str">
            <v>HO-SI</v>
          </cell>
          <cell r="X1207">
            <v>107900</v>
          </cell>
          <cell r="AR1207">
            <v>97600</v>
          </cell>
        </row>
        <row r="1208">
          <cell r="A1208" t="str">
            <v>ETLCUST-04207</v>
          </cell>
          <cell r="B1208" t="str">
            <v>NETWORK POINT - HAZIGANJ</v>
          </cell>
          <cell r="C1208" t="str">
            <v>Nazmul Amin Sajib</v>
          </cell>
          <cell r="D1208" t="str">
            <v>CTG</v>
          </cell>
          <cell r="E1208" t="str">
            <v>CTG</v>
          </cell>
          <cell r="T1208">
            <v>15000</v>
          </cell>
          <cell r="X1208">
            <v>2616100</v>
          </cell>
          <cell r="AK1208">
            <v>12500</v>
          </cell>
          <cell r="AL1208">
            <v>589765</v>
          </cell>
          <cell r="AM1208">
            <v>95925</v>
          </cell>
          <cell r="AQ1208">
            <v>0</v>
          </cell>
          <cell r="BA1208">
            <v>507440</v>
          </cell>
        </row>
        <row r="1209">
          <cell r="A1209" t="str">
            <v>ETLCUST-03302</v>
          </cell>
          <cell r="B1209" t="str">
            <v>NETWORK SOLUTION BD - E.Road</v>
          </cell>
          <cell r="C1209" t="str">
            <v>Mohammad Mostofa</v>
          </cell>
          <cell r="D1209" t="str">
            <v>Multiplan</v>
          </cell>
          <cell r="E1209" t="str">
            <v>Multiplan</v>
          </cell>
          <cell r="G1209">
            <v>3360000</v>
          </cell>
          <cell r="S1209">
            <v>0</v>
          </cell>
          <cell r="AL1209">
            <v>786290</v>
          </cell>
          <cell r="AM1209">
            <v>3476540</v>
          </cell>
          <cell r="AQ1209">
            <v>0</v>
          </cell>
          <cell r="AR1209">
            <v>10850</v>
          </cell>
          <cell r="AV1209">
            <v>49800</v>
          </cell>
          <cell r="BA1209">
            <v>10506225</v>
          </cell>
        </row>
        <row r="1210">
          <cell r="A1210" t="str">
            <v>ETLCUST-05092</v>
          </cell>
          <cell r="B1210" t="str">
            <v>NETWORK SOLUTIONS - TANGAIL</v>
          </cell>
          <cell r="C1210" t="str">
            <v>Niloy Ghosh</v>
          </cell>
          <cell r="D1210" t="str">
            <v>DHK-EXT</v>
          </cell>
          <cell r="E1210" t="str">
            <v>DHK-EXT</v>
          </cell>
          <cell r="G1210">
            <v>176000</v>
          </cell>
          <cell r="AL1210">
            <v>50880</v>
          </cell>
          <cell r="AM1210">
            <v>77210</v>
          </cell>
          <cell r="BA1210">
            <v>343400</v>
          </cell>
        </row>
        <row r="1211">
          <cell r="A1211" t="str">
            <v>ETLCUST-03791</v>
          </cell>
          <cell r="B1211" t="str">
            <v>NETWORK ZONE -  BAGERHAT</v>
          </cell>
          <cell r="C1211" t="str">
            <v>Imrul Rayhan</v>
          </cell>
          <cell r="D1211" t="str">
            <v>Khulna</v>
          </cell>
          <cell r="E1211" t="str">
            <v>Khulna</v>
          </cell>
          <cell r="G1211">
            <v>130300</v>
          </cell>
          <cell r="S1211">
            <v>0</v>
          </cell>
          <cell r="T1211">
            <v>10600</v>
          </cell>
          <cell r="X1211">
            <v>21900</v>
          </cell>
          <cell r="AL1211">
            <v>72640</v>
          </cell>
          <cell r="AM1211">
            <v>119730</v>
          </cell>
          <cell r="AQ1211">
            <v>0</v>
          </cell>
          <cell r="BA1211">
            <v>677720</v>
          </cell>
        </row>
        <row r="1212">
          <cell r="A1212" t="str">
            <v>ETLCUST-01053</v>
          </cell>
          <cell r="B1212" t="str">
            <v>NETZERO - CTG</v>
          </cell>
          <cell r="C1212" t="str">
            <v>Titul Dutta</v>
          </cell>
          <cell r="D1212" t="str">
            <v>CTG</v>
          </cell>
          <cell r="E1212" t="str">
            <v>CTG</v>
          </cell>
          <cell r="G1212">
            <v>2003000</v>
          </cell>
          <cell r="Q1212">
            <v>1350</v>
          </cell>
          <cell r="S1212">
            <v>0</v>
          </cell>
          <cell r="AL1212">
            <v>430800</v>
          </cell>
          <cell r="AM1212">
            <v>2874715</v>
          </cell>
          <cell r="BA1212">
            <v>18648060</v>
          </cell>
        </row>
        <row r="1213">
          <cell r="A1213" t="str">
            <v>ETLCUST-01878</v>
          </cell>
          <cell r="B1213" t="str">
            <v>NEW AMENA CORPORATION - PALTAN</v>
          </cell>
          <cell r="C1213" t="str">
            <v>Md. Akram Rashid</v>
          </cell>
          <cell r="D1213" t="str">
            <v>Motijheel</v>
          </cell>
          <cell r="E1213" t="str">
            <v>Motijheel</v>
          </cell>
          <cell r="P1213">
            <v>25800</v>
          </cell>
          <cell r="AK1213">
            <v>17000</v>
          </cell>
        </row>
        <row r="1214">
          <cell r="A1214" t="str">
            <v>ETLCUST-05296</v>
          </cell>
          <cell r="B1214" t="str">
            <v>NEW AUTOMATION ENGINEERING - CHATTOGRAM</v>
          </cell>
          <cell r="C1214" t="str">
            <v>Mohammad Mamunur Rashid</v>
          </cell>
          <cell r="D1214" t="str">
            <v>CTG</v>
          </cell>
          <cell r="E1214" t="str">
            <v>CTG</v>
          </cell>
          <cell r="U1214">
            <v>600000</v>
          </cell>
        </row>
        <row r="1215">
          <cell r="A1215" t="str">
            <v>ETLCUST-00958</v>
          </cell>
          <cell r="B1215" t="str">
            <v>NEW BAKSHI ELECTRONICS - GULISTAN</v>
          </cell>
          <cell r="C1215" t="str">
            <v>Noor Hossain</v>
          </cell>
          <cell r="D1215" t="str">
            <v>Gulistan</v>
          </cell>
          <cell r="E1215" t="str">
            <v>Gulistan</v>
          </cell>
          <cell r="AZ1215">
            <v>204850</v>
          </cell>
        </row>
        <row r="1216">
          <cell r="A1216" t="str">
            <v>ETLCUST-00277</v>
          </cell>
          <cell r="B1216" t="str">
            <v>NEW BOSHUNDHARA ELECTRONICS - SYLHET</v>
          </cell>
          <cell r="C1216" t="str">
            <v>Sanwar Husen</v>
          </cell>
          <cell r="D1216" t="str">
            <v>Sylhet</v>
          </cell>
          <cell r="E1216" t="str">
            <v>Sylhet</v>
          </cell>
          <cell r="AZ1216">
            <v>340740</v>
          </cell>
        </row>
        <row r="1217">
          <cell r="A1217" t="str">
            <v>ETLCUST-01461</v>
          </cell>
          <cell r="B1217" t="str">
            <v>NEW CHIPS AND BYTES - PIROJPUR</v>
          </cell>
          <cell r="C1217" t="str">
            <v>Md. Aminul Islam</v>
          </cell>
          <cell r="D1217" t="str">
            <v>South Bengal</v>
          </cell>
          <cell r="E1217" t="str">
            <v>South Bengal</v>
          </cell>
          <cell r="R1217">
            <v>149000</v>
          </cell>
          <cell r="AZ1217">
            <v>58400</v>
          </cell>
          <cell r="BA1217">
            <v>7080</v>
          </cell>
        </row>
        <row r="1218">
          <cell r="A1218" t="str">
            <v>ETLCUST-01578</v>
          </cell>
          <cell r="B1218" t="str">
            <v>NEW CITY ELECTRONICS - NAWABPUR</v>
          </cell>
          <cell r="C1218" t="str">
            <v>Shamim Hossain</v>
          </cell>
          <cell r="D1218" t="str">
            <v>Gulistan</v>
          </cell>
          <cell r="E1218" t="str">
            <v>Gulistan</v>
          </cell>
          <cell r="AZ1218">
            <v>772300</v>
          </cell>
        </row>
        <row r="1219">
          <cell r="A1219" t="str">
            <v>ETLCUST-00788</v>
          </cell>
          <cell r="B1219" t="str">
            <v>NEW COMPUTER CITY - RAJSHAHI</v>
          </cell>
          <cell r="C1219" t="str">
            <v>Ahmed Bulbul</v>
          </cell>
          <cell r="D1219" t="str">
            <v>Rajshahi</v>
          </cell>
          <cell r="E1219" t="str">
            <v>Rajshahi</v>
          </cell>
          <cell r="T1219">
            <v>366500</v>
          </cell>
          <cell r="X1219">
            <v>681125</v>
          </cell>
          <cell r="Z1219">
            <v>147000</v>
          </cell>
          <cell r="BA1219">
            <v>4190</v>
          </cell>
        </row>
        <row r="1220">
          <cell r="A1220" t="str">
            <v>ETLCUST-00621</v>
          </cell>
          <cell r="B1220" t="str">
            <v>NEW COMPUTER MUSEUM - RANGPUR</v>
          </cell>
          <cell r="C1220" t="str">
            <v>Md Abdullah Al Mamun</v>
          </cell>
          <cell r="D1220" t="str">
            <v>North Bengal</v>
          </cell>
          <cell r="E1220" t="str">
            <v>North Bengal</v>
          </cell>
          <cell r="AS1220">
            <v>170000</v>
          </cell>
        </row>
        <row r="1221">
          <cell r="A1221" t="str">
            <v>ETLCUST-00707</v>
          </cell>
          <cell r="B1221" t="str">
            <v>NEW DALIM ELECTRONICS - KHULNA</v>
          </cell>
          <cell r="C1221" t="str">
            <v>Imrul Rayhan</v>
          </cell>
          <cell r="D1221" t="str">
            <v>Khulna</v>
          </cell>
          <cell r="E1221" t="str">
            <v>Khulna</v>
          </cell>
          <cell r="AK1221">
            <v>2242000</v>
          </cell>
          <cell r="BA1221">
            <v>2090</v>
          </cell>
        </row>
        <row r="1222">
          <cell r="A1222" t="str">
            <v>ETLCUST-03942</v>
          </cell>
          <cell r="B1222" t="str">
            <v>NEW DATA COMPUTER - PIROJPUR</v>
          </cell>
          <cell r="C1222" t="str">
            <v>Md. Aminul Islam</v>
          </cell>
          <cell r="D1222" t="str">
            <v>South Bengal</v>
          </cell>
          <cell r="E1222" t="str">
            <v>South Bengal</v>
          </cell>
          <cell r="G1222">
            <v>28000</v>
          </cell>
          <cell r="T1222">
            <v>16250</v>
          </cell>
          <cell r="V1222">
            <v>16800</v>
          </cell>
          <cell r="X1222">
            <v>61300</v>
          </cell>
          <cell r="AJ1222">
            <v>3750</v>
          </cell>
          <cell r="AM1222">
            <v>13900</v>
          </cell>
          <cell r="AO1222">
            <v>7500</v>
          </cell>
          <cell r="BA1222">
            <v>54615</v>
          </cell>
        </row>
        <row r="1223">
          <cell r="A1223" t="str">
            <v>ETLCUST-01304</v>
          </cell>
          <cell r="B1223" t="str">
            <v>NEW DIMENSION - NOAKHALI</v>
          </cell>
          <cell r="C1223" t="str">
            <v>Reazuddin</v>
          </cell>
          <cell r="D1223" t="str">
            <v>CTG</v>
          </cell>
          <cell r="E1223" t="str">
            <v>CTG</v>
          </cell>
          <cell r="S1223">
            <v>0</v>
          </cell>
          <cell r="T1223">
            <v>121750</v>
          </cell>
          <cell r="AL1223">
            <v>197750</v>
          </cell>
          <cell r="AM1223">
            <v>164660</v>
          </cell>
          <cell r="BA1223">
            <v>530985</v>
          </cell>
        </row>
        <row r="1224">
          <cell r="A1224" t="str">
            <v>ETLCUST-04463</v>
          </cell>
          <cell r="B1224" t="str">
            <v>NEW EXCELLENT SOLUTION - SYLHET</v>
          </cell>
          <cell r="C1224" t="str">
            <v>Sanwar Husen</v>
          </cell>
          <cell r="D1224" t="str">
            <v>Sylhet</v>
          </cell>
          <cell r="E1224" t="str">
            <v>Sylhet</v>
          </cell>
          <cell r="T1224">
            <v>19050</v>
          </cell>
        </row>
        <row r="1225">
          <cell r="A1225" t="str">
            <v>ETLCUST-02599</v>
          </cell>
          <cell r="B1225" t="str">
            <v>NEW GULSHAN COMPUTERS - UTTARA</v>
          </cell>
          <cell r="C1225" t="str">
            <v>Dulal Sarker</v>
          </cell>
          <cell r="D1225" t="str">
            <v>Uttara</v>
          </cell>
          <cell r="E1225" t="str">
            <v>Uttara</v>
          </cell>
          <cell r="O1225">
            <v>7000</v>
          </cell>
          <cell r="AJ1225">
            <v>65420</v>
          </cell>
        </row>
        <row r="1226">
          <cell r="A1226" t="str">
            <v>ETLCUST-03981</v>
          </cell>
          <cell r="B1226" t="str">
            <v xml:space="preserve">NEW M.S ENTERPRISE - KHULNA </v>
          </cell>
          <cell r="C1226" t="str">
            <v>Imrul Rayhan</v>
          </cell>
          <cell r="D1226" t="str">
            <v>Khulna</v>
          </cell>
          <cell r="E1226" t="str">
            <v>Khulna</v>
          </cell>
          <cell r="G1226">
            <v>130000</v>
          </cell>
          <cell r="S1226">
            <v>0</v>
          </cell>
          <cell r="T1226">
            <v>16800</v>
          </cell>
          <cell r="X1226">
            <v>104825</v>
          </cell>
          <cell r="BA1226">
            <v>241945</v>
          </cell>
        </row>
        <row r="1227">
          <cell r="A1227" t="str">
            <v>ETLCUST-01050</v>
          </cell>
          <cell r="B1227" t="str">
            <v>NEW MAMUN ELECTRONICS - CTG</v>
          </cell>
          <cell r="C1227" t="str">
            <v>Manjurul Huda Parvez</v>
          </cell>
          <cell r="D1227" t="str">
            <v>CTG</v>
          </cell>
          <cell r="E1227" t="str">
            <v>CTG</v>
          </cell>
          <cell r="Q1227">
            <v>2700</v>
          </cell>
          <cell r="S1227">
            <v>0</v>
          </cell>
          <cell r="AL1227">
            <v>2449145</v>
          </cell>
          <cell r="AM1227">
            <v>1610070</v>
          </cell>
          <cell r="AR1227">
            <v>52000</v>
          </cell>
          <cell r="BA1227">
            <v>17159025</v>
          </cell>
        </row>
        <row r="1228">
          <cell r="A1228" t="str">
            <v>ETLCUST-01369</v>
          </cell>
          <cell r="B1228" t="str">
            <v>NEW MASUM COMPUTECH - N.GONJ</v>
          </cell>
          <cell r="C1228" t="str">
            <v>Arafat Hossain</v>
          </cell>
          <cell r="D1228" t="str">
            <v>South Bengal</v>
          </cell>
          <cell r="E1228" t="str">
            <v>South Bengal</v>
          </cell>
          <cell r="BA1228">
            <v>13075</v>
          </cell>
        </row>
        <row r="1229">
          <cell r="A1229" t="str">
            <v>ETLCUST-00464</v>
          </cell>
          <cell r="B1229" t="str">
            <v>NEW MAYER DOYA ELECTRONICS - GULISTAN</v>
          </cell>
          <cell r="C1229" t="str">
            <v>Md Kamrul Hasan Sabuz</v>
          </cell>
          <cell r="D1229" t="str">
            <v>Gulistan</v>
          </cell>
          <cell r="E1229" t="str">
            <v>Gulistan</v>
          </cell>
          <cell r="AZ1229">
            <v>294600</v>
          </cell>
        </row>
        <row r="1230">
          <cell r="A1230" t="str">
            <v>ETLCUST-00954</v>
          </cell>
          <cell r="B1230" t="str">
            <v>NEW MUM ELECTRONICS - GULISTAN</v>
          </cell>
          <cell r="C1230" t="str">
            <v>Noor Hossain</v>
          </cell>
          <cell r="D1230" t="str">
            <v>Gulistan</v>
          </cell>
          <cell r="E1230" t="str">
            <v>Gulistan</v>
          </cell>
          <cell r="AZ1230">
            <v>356800</v>
          </cell>
        </row>
        <row r="1231">
          <cell r="A1231" t="str">
            <v>ETLCUST-04960</v>
          </cell>
          <cell r="B1231" t="str">
            <v>NEW PC LINK - RANGPUR</v>
          </cell>
          <cell r="C1231" t="str">
            <v>Md Abdullah Al Mamun</v>
          </cell>
          <cell r="D1231" t="str">
            <v>North Bengal</v>
          </cell>
          <cell r="E1231" t="str">
            <v>North Bengal</v>
          </cell>
          <cell r="P1231">
            <v>6400</v>
          </cell>
          <cell r="AZ1231">
            <v>21600</v>
          </cell>
        </row>
        <row r="1232">
          <cell r="A1232" t="str">
            <v>ETLCUST-01580</v>
          </cell>
          <cell r="B1232" t="str">
            <v>NEW PRIME ELECTRONICS - GULISTAN</v>
          </cell>
          <cell r="C1232" t="str">
            <v>Shamim Hossain</v>
          </cell>
          <cell r="D1232" t="str">
            <v>Gulistan</v>
          </cell>
          <cell r="E1232" t="str">
            <v>Gulistan</v>
          </cell>
          <cell r="AZ1232">
            <v>1093700</v>
          </cell>
        </row>
        <row r="1233">
          <cell r="A1233" t="str">
            <v>ETLCUST-01384</v>
          </cell>
          <cell r="B1233" t="str">
            <v>NEW R.L COMPUTER - KONABARI</v>
          </cell>
          <cell r="C1233" t="str">
            <v>MD. Shipon Ali</v>
          </cell>
          <cell r="D1233" t="str">
            <v>Uttara</v>
          </cell>
          <cell r="E1233" t="str">
            <v>Uttara</v>
          </cell>
          <cell r="R1233">
            <v>6480</v>
          </cell>
          <cell r="V1233">
            <v>3900</v>
          </cell>
          <cell r="AO1233">
            <v>2250</v>
          </cell>
          <cell r="AR1233">
            <v>4500</v>
          </cell>
          <cell r="BA1233">
            <v>19500</v>
          </cell>
        </row>
        <row r="1234">
          <cell r="A1234" t="str">
            <v>ETLCUST-00032</v>
          </cell>
          <cell r="B1234" t="str">
            <v>NEW RAJA ELECTRONICS - SAYEDPUR</v>
          </cell>
          <cell r="C1234" t="str">
            <v>Akramul Haque</v>
          </cell>
          <cell r="D1234" t="str">
            <v>North Bengal</v>
          </cell>
          <cell r="E1234" t="str">
            <v>North Bengal</v>
          </cell>
          <cell r="G1234">
            <v>777000</v>
          </cell>
          <cell r="Q1234">
            <v>1350</v>
          </cell>
          <cell r="S1234">
            <v>0</v>
          </cell>
          <cell r="AL1234">
            <v>413400</v>
          </cell>
          <cell r="AM1234">
            <v>989290</v>
          </cell>
          <cell r="AQ1234">
            <v>0</v>
          </cell>
          <cell r="AR1234">
            <v>44900</v>
          </cell>
          <cell r="BA1234">
            <v>9647590</v>
          </cell>
        </row>
        <row r="1235">
          <cell r="A1235" t="str">
            <v>ETLCUST-03595</v>
          </cell>
          <cell r="B1235" t="str">
            <v>NEW SHIBANI TRAVELS AND GIFT CENTER -SATKHIRA</v>
          </cell>
          <cell r="C1235" t="str">
            <v>Imrul Rayhan</v>
          </cell>
          <cell r="D1235" t="str">
            <v>Khulna</v>
          </cell>
          <cell r="E1235" t="str">
            <v>Khulna</v>
          </cell>
          <cell r="G1235">
            <v>267000</v>
          </cell>
          <cell r="S1235">
            <v>0</v>
          </cell>
          <cell r="T1235">
            <v>19450</v>
          </cell>
          <cell r="AM1235">
            <v>299710</v>
          </cell>
          <cell r="AQ1235">
            <v>0</v>
          </cell>
          <cell r="BA1235">
            <v>1580170</v>
          </cell>
        </row>
        <row r="1236">
          <cell r="A1236" t="str">
            <v>ETLCUST-00946</v>
          </cell>
          <cell r="B1236" t="str">
            <v>NEW SONY ELECTRONICS - GULISTAN</v>
          </cell>
          <cell r="C1236" t="str">
            <v>Noor Hossain</v>
          </cell>
          <cell r="D1236" t="str">
            <v>Gulistan</v>
          </cell>
          <cell r="E1236" t="str">
            <v>Gulistan</v>
          </cell>
          <cell r="AZ1236">
            <v>650500</v>
          </cell>
        </row>
        <row r="1237">
          <cell r="A1237" t="str">
            <v>ETLCUST-04988</v>
          </cell>
          <cell r="B1237" t="str">
            <v>NEW SUCHONA COMPUTER - SUNAMGANJ</v>
          </cell>
          <cell r="C1237" t="str">
            <v>Amit Das</v>
          </cell>
          <cell r="D1237" t="str">
            <v>Sylhet</v>
          </cell>
          <cell r="E1237" t="str">
            <v>Sylhet</v>
          </cell>
          <cell r="P1237">
            <v>51200</v>
          </cell>
          <cell r="R1237">
            <v>211240</v>
          </cell>
          <cell r="T1237">
            <v>39100</v>
          </cell>
          <cell r="X1237">
            <v>748550</v>
          </cell>
          <cell r="AL1237">
            <v>3180</v>
          </cell>
          <cell r="AM1237">
            <v>194640</v>
          </cell>
          <cell r="BA1237">
            <v>510665</v>
          </cell>
        </row>
        <row r="1238">
          <cell r="A1238" t="str">
            <v>ETLCUST-01324</v>
          </cell>
          <cell r="B1238" t="str">
            <v>NEW TATA ELECTRONICS - CHANDPUR</v>
          </cell>
          <cell r="C1238" t="str">
            <v>Nazmul Amin Sajib</v>
          </cell>
          <cell r="D1238" t="str">
            <v>CTG</v>
          </cell>
          <cell r="E1238" t="str">
            <v>CTG</v>
          </cell>
          <cell r="AK1238">
            <v>13000</v>
          </cell>
          <cell r="AL1238">
            <v>162050</v>
          </cell>
          <cell r="AM1238">
            <v>850</v>
          </cell>
          <cell r="BA1238">
            <v>1784750</v>
          </cell>
        </row>
        <row r="1239">
          <cell r="A1239" t="str">
            <v>ETLCUST-05257</v>
          </cell>
          <cell r="B1239" t="str">
            <v>NEW TATA ELECTRONICS - HAZIGANJ</v>
          </cell>
          <cell r="C1239" t="str">
            <v>Nazmul Amin Sajib</v>
          </cell>
          <cell r="D1239" t="str">
            <v>CTG</v>
          </cell>
          <cell r="E1239" t="str">
            <v>CTG</v>
          </cell>
          <cell r="S1239">
            <v>0</v>
          </cell>
          <cell r="AM1239">
            <v>77480</v>
          </cell>
          <cell r="AQ1239">
            <v>0</v>
          </cell>
          <cell r="BA1239">
            <v>306980</v>
          </cell>
        </row>
        <row r="1240">
          <cell r="A1240" t="str">
            <v>ETLCUST-01422</v>
          </cell>
          <cell r="B1240" t="str">
            <v>NEW TECH COMPUTER - SREEPUR</v>
          </cell>
          <cell r="C1240" t="str">
            <v>MD. Shipon Ali</v>
          </cell>
          <cell r="D1240" t="str">
            <v>Uttara</v>
          </cell>
          <cell r="E1240" t="str">
            <v>Uttara</v>
          </cell>
          <cell r="P1240">
            <v>13000</v>
          </cell>
          <cell r="S1240">
            <v>0</v>
          </cell>
          <cell r="X1240">
            <v>574000</v>
          </cell>
          <cell r="AL1240">
            <v>311375</v>
          </cell>
          <cell r="AM1240">
            <v>2491160</v>
          </cell>
          <cell r="AQ1240">
            <v>0</v>
          </cell>
          <cell r="BA1240">
            <v>21578955</v>
          </cell>
        </row>
        <row r="1241">
          <cell r="A1241" t="str">
            <v>ETLCUST-03219</v>
          </cell>
          <cell r="B1241" t="str">
            <v>NEW WINTACK COMPUTER - JHALKATHI</v>
          </cell>
          <cell r="C1241" t="str">
            <v>Md. Aminul Islam</v>
          </cell>
          <cell r="D1241" t="str">
            <v>South Bengal</v>
          </cell>
          <cell r="E1241" t="str">
            <v>South Bengal</v>
          </cell>
          <cell r="AL1241">
            <v>5830</v>
          </cell>
          <cell r="AM1241">
            <v>59010</v>
          </cell>
          <cell r="AO1241">
            <v>9000</v>
          </cell>
          <cell r="AZ1241">
            <v>29700</v>
          </cell>
          <cell r="BA1241">
            <v>360550</v>
          </cell>
        </row>
        <row r="1242">
          <cell r="A1242" t="str">
            <v>ETLCUST-02322</v>
          </cell>
          <cell r="B1242" t="str">
            <v>NEW ZEALAND DAIRY PRODUCTS BANGLADESH LIMITED</v>
          </cell>
          <cell r="C1242" t="str">
            <v>Ashraful Islam</v>
          </cell>
          <cell r="D1242" t="str">
            <v>Corporate</v>
          </cell>
          <cell r="E1242" t="str">
            <v>Corporate</v>
          </cell>
          <cell r="AD1242">
            <v>107740.5</v>
          </cell>
          <cell r="AY1242">
            <v>1000</v>
          </cell>
        </row>
        <row r="1243">
          <cell r="A1243" t="str">
            <v>ETLCUST-00390</v>
          </cell>
          <cell r="B1243" t="str">
            <v>NEXT COMPUTER - TANGAIL</v>
          </cell>
          <cell r="C1243" t="str">
            <v>Niloy Ghosh</v>
          </cell>
          <cell r="D1243" t="str">
            <v>DHK-EXT</v>
          </cell>
          <cell r="E1243" t="str">
            <v>DHK-EXT</v>
          </cell>
          <cell r="G1243">
            <v>56000</v>
          </cell>
          <cell r="S1243">
            <v>0</v>
          </cell>
          <cell r="X1243">
            <v>270875</v>
          </cell>
          <cell r="AL1243">
            <v>200615</v>
          </cell>
          <cell r="AM1243">
            <v>147930</v>
          </cell>
          <cell r="AO1243">
            <v>168950</v>
          </cell>
          <cell r="AQ1243">
            <v>0</v>
          </cell>
          <cell r="BA1243">
            <v>658125</v>
          </cell>
        </row>
        <row r="1244">
          <cell r="A1244" t="str">
            <v>ETLCUST-03689</v>
          </cell>
          <cell r="B1244" t="str">
            <v>NEXT GEN COMPUTER - BARISAL</v>
          </cell>
          <cell r="C1244" t="str">
            <v>Md. Aminul Islam</v>
          </cell>
          <cell r="D1244" t="str">
            <v>South Bengal</v>
          </cell>
          <cell r="E1244" t="str">
            <v>South Bengal</v>
          </cell>
          <cell r="P1244">
            <v>79400</v>
          </cell>
          <cell r="S1244">
            <v>0</v>
          </cell>
          <cell r="X1244">
            <v>36600</v>
          </cell>
          <cell r="AL1244">
            <v>55030</v>
          </cell>
          <cell r="AM1244">
            <v>32520</v>
          </cell>
          <cell r="AT1244">
            <v>56000</v>
          </cell>
          <cell r="AZ1244">
            <v>80100</v>
          </cell>
          <cell r="BA1244">
            <v>407855</v>
          </cell>
        </row>
        <row r="1245">
          <cell r="A1245" t="str">
            <v>ETLCUST-05298</v>
          </cell>
          <cell r="B1245" t="str">
            <v>NEXT GEN SECURITY -MIRPUR 10</v>
          </cell>
          <cell r="C1245" t="str">
            <v>Amit Sarker</v>
          </cell>
          <cell r="D1245" t="str">
            <v>IDB</v>
          </cell>
          <cell r="E1245" t="str">
            <v>IDB</v>
          </cell>
          <cell r="H1245">
            <v>854000</v>
          </cell>
          <cell r="X1245">
            <v>2849850</v>
          </cell>
        </row>
        <row r="1246">
          <cell r="A1246" t="str">
            <v>ETLCUST-03292</v>
          </cell>
          <cell r="B1246" t="str">
            <v>NEXT GENERATION IT &amp; SERVICING CENTER - GHATAIL</v>
          </cell>
          <cell r="C1246" t="str">
            <v>Niloy Ghosh</v>
          </cell>
          <cell r="D1246" t="str">
            <v>DHK-EXT</v>
          </cell>
          <cell r="E1246" t="str">
            <v>DHK-EXT</v>
          </cell>
          <cell r="X1246">
            <v>153125</v>
          </cell>
        </row>
        <row r="1247">
          <cell r="A1247" t="str">
            <v>ETLCUST-04476</v>
          </cell>
          <cell r="B1247" t="str">
            <v>NEXTGEN TECHNOLOGY LTD - MULTIPLAN</v>
          </cell>
          <cell r="C1247" t="str">
            <v>Md. Anamul Hoque</v>
          </cell>
          <cell r="D1247" t="str">
            <v>Multiplan</v>
          </cell>
          <cell r="E1247" t="str">
            <v>Multiplan</v>
          </cell>
          <cell r="S1247">
            <v>0</v>
          </cell>
          <cell r="Y1247">
            <v>1110000</v>
          </cell>
          <cell r="AS1247">
            <v>280000</v>
          </cell>
          <cell r="AZ1247">
            <v>111300</v>
          </cell>
        </row>
        <row r="1248">
          <cell r="A1248" t="str">
            <v>ETLCUST-01086</v>
          </cell>
          <cell r="B1248" t="str">
            <v>NEXUS - IDB</v>
          </cell>
          <cell r="C1248" t="str">
            <v>Amit Sarker</v>
          </cell>
          <cell r="D1248" t="str">
            <v>IDB</v>
          </cell>
          <cell r="E1248" t="str">
            <v>IDB</v>
          </cell>
          <cell r="Q1248">
            <v>890</v>
          </cell>
          <cell r="AJ1248">
            <v>3700</v>
          </cell>
          <cell r="BA1248">
            <v>201125</v>
          </cell>
        </row>
        <row r="1249">
          <cell r="A1249" t="str">
            <v>ETLCUST-01470</v>
          </cell>
          <cell r="B1249" t="str">
            <v>NEXUS IT AND COMPUTER SOLUTION - BARISAL</v>
          </cell>
          <cell r="C1249" t="str">
            <v>Shah Imran</v>
          </cell>
          <cell r="D1249" t="str">
            <v>South Bengal</v>
          </cell>
          <cell r="E1249" t="str">
            <v>South Bengal</v>
          </cell>
          <cell r="BA1249">
            <v>54650</v>
          </cell>
        </row>
        <row r="1250">
          <cell r="A1250" t="str">
            <v>ETLCUST-02856</v>
          </cell>
          <cell r="B1250" t="str">
            <v>NEXZEN SECURITY - SYLHET</v>
          </cell>
          <cell r="C1250" t="str">
            <v>Sanwar Husen</v>
          </cell>
          <cell r="D1250" t="str">
            <v>Sylhet</v>
          </cell>
          <cell r="E1250" t="str">
            <v>Sylhet</v>
          </cell>
          <cell r="T1250">
            <v>128500</v>
          </cell>
          <cell r="X1250">
            <v>115600</v>
          </cell>
          <cell r="AL1250">
            <v>2890</v>
          </cell>
        </row>
        <row r="1251">
          <cell r="A1251" t="str">
            <v>ETLCUST-04076</v>
          </cell>
          <cell r="B1251" t="str">
            <v>NEYAMOT ENTERPRISE - KHILKHET</v>
          </cell>
          <cell r="C1251" t="str">
            <v>Jiku Saha</v>
          </cell>
          <cell r="D1251" t="str">
            <v>Uttara</v>
          </cell>
          <cell r="E1251" t="str">
            <v>Uttara</v>
          </cell>
          <cell r="U1251">
            <v>177000</v>
          </cell>
        </row>
        <row r="1252">
          <cell r="A1252" t="str">
            <v>ETLCUST-04593</v>
          </cell>
          <cell r="B1252" t="str">
            <v>NHQ DISTRIBUTIONS PVT. LTD - BADDA</v>
          </cell>
          <cell r="C1252" t="str">
            <v>Liton Biswas</v>
          </cell>
          <cell r="D1252" t="str">
            <v>HO-SI</v>
          </cell>
          <cell r="E1252" t="str">
            <v>HO-SI</v>
          </cell>
          <cell r="U1252">
            <v>51000</v>
          </cell>
        </row>
        <row r="1253">
          <cell r="A1253" t="str">
            <v>ETLCUST-05379</v>
          </cell>
          <cell r="B1253" t="str">
            <v>NICE DENIM MILLS LTD.</v>
          </cell>
          <cell r="C1253" t="str">
            <v>Md. Raihan Ali</v>
          </cell>
          <cell r="D1253" t="str">
            <v>Corporate</v>
          </cell>
          <cell r="E1253" t="str">
            <v>Corporate</v>
          </cell>
          <cell r="U1253">
            <v>486947.25</v>
          </cell>
          <cell r="AV1253">
            <v>21421.15</v>
          </cell>
          <cell r="AY1253">
            <v>15789</v>
          </cell>
        </row>
        <row r="1254">
          <cell r="A1254" t="str">
            <v>ETLCUST-03244</v>
          </cell>
          <cell r="B1254" t="str">
            <v>NIGHT RAVEN ENTERPRISE - E. ROAD</v>
          </cell>
          <cell r="C1254" t="str">
            <v>Md. Rony Ahmed</v>
          </cell>
          <cell r="D1254" t="str">
            <v>DHB</v>
          </cell>
          <cell r="E1254" t="str">
            <v>DHB</v>
          </cell>
          <cell r="G1254">
            <v>7516530</v>
          </cell>
          <cell r="I1254">
            <v>4500</v>
          </cell>
          <cell r="AV1254">
            <v>36000</v>
          </cell>
        </row>
        <row r="1255">
          <cell r="A1255" t="str">
            <v>ETLCUST-04090</v>
          </cell>
          <cell r="B1255" t="str">
            <v>NIHAL MULTIMEDIA &amp; ELECTRONICS - KUSHTIA</v>
          </cell>
          <cell r="C1255" t="str">
            <v>Md Rakibul Islam</v>
          </cell>
          <cell r="D1255" t="str">
            <v>South Bengal</v>
          </cell>
          <cell r="E1255" t="str">
            <v>South Bengal</v>
          </cell>
          <cell r="G1255">
            <v>570000</v>
          </cell>
          <cell r="S1255">
            <v>0</v>
          </cell>
          <cell r="AL1255">
            <v>18550</v>
          </cell>
          <cell r="AM1255">
            <v>22770</v>
          </cell>
          <cell r="AQ1255">
            <v>0</v>
          </cell>
          <cell r="BA1255">
            <v>116575</v>
          </cell>
        </row>
        <row r="1256">
          <cell r="A1256" t="str">
            <v>ETLCUST-04885</v>
          </cell>
          <cell r="B1256" t="str">
            <v>NIKEL ELECTRONICS - GOURIPUR</v>
          </cell>
          <cell r="C1256" t="str">
            <v>Rafiqul Islam Sumon</v>
          </cell>
          <cell r="D1256" t="str">
            <v>Mymensingh</v>
          </cell>
          <cell r="E1256" t="str">
            <v>Mymensingh</v>
          </cell>
          <cell r="G1256">
            <v>11200</v>
          </cell>
          <cell r="AL1256">
            <v>35800</v>
          </cell>
          <cell r="AM1256">
            <v>79990</v>
          </cell>
          <cell r="BA1256">
            <v>321080</v>
          </cell>
        </row>
        <row r="1257">
          <cell r="A1257" t="str">
            <v>ETLCUST-04718</v>
          </cell>
          <cell r="B1257" t="str">
            <v>NIKHUT COMPUTER - BHOLA</v>
          </cell>
          <cell r="C1257" t="str">
            <v>Md. Aminul Islam</v>
          </cell>
          <cell r="D1257" t="str">
            <v>South Bengal</v>
          </cell>
          <cell r="E1257" t="str">
            <v>South Bengal</v>
          </cell>
          <cell r="G1257">
            <v>40000</v>
          </cell>
        </row>
        <row r="1258">
          <cell r="A1258" t="str">
            <v>ETLCUST-05334</v>
          </cell>
          <cell r="B1258" t="str">
            <v>NIPA CYCLE AND ELECTRONICS - LALMONIRHAT</v>
          </cell>
          <cell r="C1258" t="str">
            <v>Md. Arif Arman</v>
          </cell>
          <cell r="D1258" t="str">
            <v>North Bengal</v>
          </cell>
          <cell r="E1258" t="str">
            <v>North Bengal</v>
          </cell>
          <cell r="X1258">
            <v>104900</v>
          </cell>
          <cell r="BA1258">
            <v>8180</v>
          </cell>
        </row>
        <row r="1259">
          <cell r="A1259" t="str">
            <v>ETLCUST-05111</v>
          </cell>
          <cell r="B1259" t="str">
            <v>NIPPON PAINT (BANGLADESH) PRIVATE LIMITED</v>
          </cell>
          <cell r="C1259" t="str">
            <v>Md Saim Ali Rezvy</v>
          </cell>
          <cell r="D1259" t="str">
            <v>Corporate</v>
          </cell>
          <cell r="E1259" t="str">
            <v>Corporate</v>
          </cell>
          <cell r="BA1259">
            <v>40000</v>
          </cell>
        </row>
        <row r="1260">
          <cell r="A1260" t="str">
            <v>ETLCUST-00470</v>
          </cell>
          <cell r="B1260" t="str">
            <v>NIROB ELECTRONICS - GULISTAN</v>
          </cell>
          <cell r="C1260" t="str">
            <v>Md Kamrul Hasan Sabuz</v>
          </cell>
          <cell r="D1260" t="str">
            <v>Gulistan</v>
          </cell>
          <cell r="E1260" t="str">
            <v>Gulistan</v>
          </cell>
          <cell r="AZ1260">
            <v>86400</v>
          </cell>
        </row>
        <row r="1261">
          <cell r="A1261" t="str">
            <v>ETLCUST-00768</v>
          </cell>
          <cell r="B1261" t="str">
            <v>NISHAD ENTERPRISE - MULTIPLAN</v>
          </cell>
          <cell r="C1261" t="str">
            <v>Md Mokshed Ali</v>
          </cell>
          <cell r="D1261" t="str">
            <v>Multiplan</v>
          </cell>
          <cell r="E1261" t="str">
            <v>Multiplan</v>
          </cell>
          <cell r="R1261">
            <v>112500</v>
          </cell>
          <cell r="S1261">
            <v>0</v>
          </cell>
          <cell r="AT1261">
            <v>1260000</v>
          </cell>
        </row>
        <row r="1262">
          <cell r="A1262" t="str">
            <v>ETLCUST-04066</v>
          </cell>
          <cell r="B1262" t="str">
            <v>NITOL MOTORS LIMITED</v>
          </cell>
          <cell r="C1262" t="str">
            <v>Hasibul Hasan Symoon</v>
          </cell>
          <cell r="D1262" t="str">
            <v>Corporate</v>
          </cell>
          <cell r="E1262" t="str">
            <v>Corporate</v>
          </cell>
          <cell r="AI1262">
            <v>93660</v>
          </cell>
        </row>
        <row r="1263">
          <cell r="A1263" t="str">
            <v>ETLCUST-00911</v>
          </cell>
          <cell r="B1263" t="str">
            <v>NITS COMPUTER AND MOBILE - NARAIL</v>
          </cell>
          <cell r="C1263" t="str">
            <v>Md Rakibul Islam</v>
          </cell>
          <cell r="D1263" t="str">
            <v>South Bengal</v>
          </cell>
          <cell r="E1263" t="str">
            <v>South Bengal</v>
          </cell>
          <cell r="AZ1263">
            <v>19500</v>
          </cell>
          <cell r="BA1263">
            <v>7890</v>
          </cell>
        </row>
        <row r="1264">
          <cell r="A1264" t="str">
            <v>ETLCUST-03303</v>
          </cell>
          <cell r="B1264" t="str">
            <v>NITSOL BANGLADESH LTD.</v>
          </cell>
          <cell r="C1264" t="str">
            <v>Md. Abdus Satter</v>
          </cell>
          <cell r="D1264" t="str">
            <v>HO-SI</v>
          </cell>
          <cell r="E1264" t="str">
            <v>HO-SI</v>
          </cell>
          <cell r="T1264">
            <v>465000</v>
          </cell>
          <cell r="X1264">
            <v>2317900</v>
          </cell>
          <cell r="AF1264">
            <v>1220000</v>
          </cell>
          <cell r="AT1264">
            <v>12300</v>
          </cell>
        </row>
        <row r="1265">
          <cell r="A1265" t="str">
            <v>ETLCUST-03506</v>
          </cell>
          <cell r="B1265" t="str">
            <v>NOAPARA IT PARK - NOAPARA</v>
          </cell>
          <cell r="C1265" t="str">
            <v>Md Husaun</v>
          </cell>
          <cell r="D1265" t="str">
            <v>Khulna</v>
          </cell>
          <cell r="E1265" t="str">
            <v>Khulna</v>
          </cell>
          <cell r="S1265">
            <v>0</v>
          </cell>
          <cell r="X1265">
            <v>2103750</v>
          </cell>
          <cell r="BA1265">
            <v>380280</v>
          </cell>
        </row>
        <row r="1266">
          <cell r="A1266" t="str">
            <v>ETLCUST-04662</v>
          </cell>
          <cell r="B1266" t="str">
            <v>NOMAN  COMPUTER - JAMALPUR</v>
          </cell>
          <cell r="C1266" t="str">
            <v>Md. Sujon Mia</v>
          </cell>
          <cell r="D1266" t="str">
            <v>Mymensingh</v>
          </cell>
          <cell r="E1266" t="str">
            <v>Mymensingh</v>
          </cell>
          <cell r="L1266">
            <v>70000</v>
          </cell>
          <cell r="R1266">
            <v>219050</v>
          </cell>
          <cell r="S1266">
            <v>0</v>
          </cell>
          <cell r="T1266">
            <v>247500</v>
          </cell>
          <cell r="V1266">
            <v>27100</v>
          </cell>
          <cell r="X1266">
            <v>18300</v>
          </cell>
          <cell r="AL1266">
            <v>43750</v>
          </cell>
          <cell r="AM1266">
            <v>26465</v>
          </cell>
          <cell r="AP1266">
            <v>14500</v>
          </cell>
          <cell r="AQ1266">
            <v>0</v>
          </cell>
          <cell r="BA1266">
            <v>482890</v>
          </cell>
        </row>
        <row r="1267">
          <cell r="A1267" t="str">
            <v>ETLCUST-00964</v>
          </cell>
          <cell r="B1267" t="str">
            <v>NOOR TRADING - GULISTAN</v>
          </cell>
          <cell r="C1267" t="str">
            <v>Noor Hossain</v>
          </cell>
          <cell r="D1267" t="str">
            <v>Gulistan</v>
          </cell>
          <cell r="E1267" t="str">
            <v>Gulistan</v>
          </cell>
          <cell r="AZ1267">
            <v>261350</v>
          </cell>
        </row>
        <row r="1268">
          <cell r="A1268" t="str">
            <v>ETLCUST-01638</v>
          </cell>
          <cell r="B1268" t="str">
            <v>NORTH SOUTH UNIVERSITY</v>
          </cell>
          <cell r="C1268" t="str">
            <v>Md Saim Ali Rezvy</v>
          </cell>
          <cell r="D1268" t="str">
            <v>Corporate</v>
          </cell>
          <cell r="E1268" t="str">
            <v>Corporate</v>
          </cell>
          <cell r="AD1268">
            <v>441826.79</v>
          </cell>
        </row>
        <row r="1269">
          <cell r="A1269" t="str">
            <v>ETLCUST-04962</v>
          </cell>
          <cell r="B1269" t="str">
            <v>NORTHERN UNIVERSITY BANGLADESH</v>
          </cell>
          <cell r="C1269" t="str">
            <v>Md Saim Ali Rezvy</v>
          </cell>
          <cell r="D1269" t="str">
            <v>Corporate</v>
          </cell>
          <cell r="E1269" t="str">
            <v>Corporate</v>
          </cell>
          <cell r="R1269">
            <v>397000</v>
          </cell>
          <cell r="U1269">
            <v>215000.04</v>
          </cell>
        </row>
        <row r="1270">
          <cell r="A1270" t="str">
            <v>ETLCUST-05074</v>
          </cell>
          <cell r="B1270" t="str">
            <v>NOVA POWERTRONICS</v>
          </cell>
          <cell r="C1270" t="str">
            <v>Md. Anisur Rahman</v>
          </cell>
          <cell r="D1270" t="str">
            <v>Corporate</v>
          </cell>
          <cell r="E1270" t="str">
            <v>Corporate</v>
          </cell>
          <cell r="AJ1270">
            <v>-16000</v>
          </cell>
        </row>
        <row r="1271">
          <cell r="A1271" t="str">
            <v>ETLCUST-00057</v>
          </cell>
          <cell r="B1271" t="str">
            <v>NPL COMPUTER AND IT - ASHULIA</v>
          </cell>
          <cell r="C1271" t="str">
            <v>Biplop Kumar</v>
          </cell>
          <cell r="D1271" t="str">
            <v>DHK-EXT</v>
          </cell>
          <cell r="E1271" t="str">
            <v>DHK-EXT</v>
          </cell>
          <cell r="G1271">
            <v>100000</v>
          </cell>
          <cell r="S1271">
            <v>0</v>
          </cell>
          <cell r="X1271">
            <v>428025</v>
          </cell>
          <cell r="AM1271">
            <v>175440</v>
          </cell>
          <cell r="BA1271">
            <v>1665405</v>
          </cell>
        </row>
        <row r="1272">
          <cell r="A1272" t="str">
            <v>ETLCUST-03608</v>
          </cell>
          <cell r="B1272" t="str">
            <v>NR MEDIA - CTG</v>
          </cell>
          <cell r="C1272" t="str">
            <v>Shahidul Alam Chowdhury</v>
          </cell>
          <cell r="D1272" t="str">
            <v>CTG</v>
          </cell>
          <cell r="E1272" t="str">
            <v>CTG</v>
          </cell>
          <cell r="X1272">
            <v>305500</v>
          </cell>
        </row>
        <row r="1273">
          <cell r="A1273" t="str">
            <v>ETLCUST-02858</v>
          </cell>
          <cell r="B1273" t="str">
            <v>NRB BANK PLC.</v>
          </cell>
          <cell r="C1273" t="str">
            <v>Mohammad Maruf Hasan</v>
          </cell>
          <cell r="D1273" t="str">
            <v>Corporate</v>
          </cell>
          <cell r="E1273" t="str">
            <v>Corporate</v>
          </cell>
          <cell r="F1273">
            <v>37392.35</v>
          </cell>
          <cell r="S1273">
            <v>5335.79</v>
          </cell>
          <cell r="BA1273">
            <v>19272.73</v>
          </cell>
        </row>
        <row r="1274">
          <cell r="A1274" t="str">
            <v>ETLCUST-04817</v>
          </cell>
          <cell r="B1274" t="str">
            <v>NUVISTA PHARMA PLC.</v>
          </cell>
          <cell r="C1274" t="str">
            <v>Hasibul Hasan Symoon</v>
          </cell>
          <cell r="D1274" t="str">
            <v>Corporate</v>
          </cell>
          <cell r="E1274" t="str">
            <v>Corporate</v>
          </cell>
          <cell r="M1274">
            <v>12104.55</v>
          </cell>
          <cell r="U1274">
            <v>25263.599999999999</v>
          </cell>
          <cell r="X1274">
            <v>262240.53999999998</v>
          </cell>
          <cell r="AV1274">
            <v>18950</v>
          </cell>
          <cell r="BA1274">
            <v>3474.55</v>
          </cell>
        </row>
        <row r="1275">
          <cell r="A1275" t="str">
            <v>ETLCUST-01036</v>
          </cell>
          <cell r="B1275" t="str">
            <v>NYTA COMPUTER AND TECHNOLOGIES - COX'S BAZAR</v>
          </cell>
          <cell r="C1275" t="str">
            <v>Md. Mamunur Rashid</v>
          </cell>
          <cell r="D1275" t="str">
            <v>CTG</v>
          </cell>
          <cell r="E1275" t="str">
            <v>CTG</v>
          </cell>
          <cell r="R1275">
            <v>498000</v>
          </cell>
          <cell r="X1275">
            <v>103700</v>
          </cell>
          <cell r="AO1275">
            <v>39600</v>
          </cell>
          <cell r="BA1275">
            <v>144950</v>
          </cell>
        </row>
        <row r="1276">
          <cell r="A1276" t="str">
            <v>ETLCUST-04863</v>
          </cell>
          <cell r="B1276" t="str">
            <v>NZ SOLUTION - NARAIL</v>
          </cell>
          <cell r="C1276" t="str">
            <v>Md Husaun</v>
          </cell>
          <cell r="D1276" t="str">
            <v>Khulna</v>
          </cell>
          <cell r="E1276" t="str">
            <v>Khulna</v>
          </cell>
          <cell r="BA1276">
            <v>2090</v>
          </cell>
        </row>
        <row r="1277">
          <cell r="A1277" t="str">
            <v>ETLCUST-00932</v>
          </cell>
          <cell r="B1277" t="str">
            <v>O.M TELECOM - GULISHTAN</v>
          </cell>
          <cell r="C1277" t="str">
            <v>Shamim Hossain</v>
          </cell>
          <cell r="D1277" t="str">
            <v>Gulistan</v>
          </cell>
          <cell r="E1277" t="str">
            <v>Gulistan</v>
          </cell>
          <cell r="S1277">
            <v>0</v>
          </cell>
          <cell r="AM1277">
            <v>52760</v>
          </cell>
          <cell r="BA1277">
            <v>1531340</v>
          </cell>
        </row>
        <row r="1278">
          <cell r="A1278" t="str">
            <v>ETLCUST-05175</v>
          </cell>
          <cell r="B1278" t="str">
            <v>OISHI COMPUTER &amp; SOLUTIONS - MOTIJHEEL</v>
          </cell>
          <cell r="C1278" t="str">
            <v>Hridoy Chandra Das</v>
          </cell>
          <cell r="D1278" t="str">
            <v>Motijheel</v>
          </cell>
          <cell r="E1278" t="str">
            <v>Motijheel</v>
          </cell>
          <cell r="T1278">
            <v>9500</v>
          </cell>
        </row>
        <row r="1279">
          <cell r="A1279" t="str">
            <v>ETLCUST-01506</v>
          </cell>
          <cell r="B1279" t="str">
            <v>OMEGA COMPUTER - CTG</v>
          </cell>
          <cell r="C1279" t="str">
            <v>Shahidul Alam Chowdhury</v>
          </cell>
          <cell r="D1279" t="str">
            <v>CTG</v>
          </cell>
          <cell r="E1279" t="str">
            <v>CTG</v>
          </cell>
          <cell r="R1279">
            <v>250000</v>
          </cell>
        </row>
        <row r="1280">
          <cell r="A1280" t="str">
            <v>ETLCUST-03054</v>
          </cell>
          <cell r="B1280" t="str">
            <v>OMEGA EXIM LIMITED - PANTAPATH</v>
          </cell>
          <cell r="C1280" t="str">
            <v>Md. Abdus Satter</v>
          </cell>
          <cell r="D1280" t="str">
            <v>HO-SI</v>
          </cell>
          <cell r="E1280" t="str">
            <v>HO-SI</v>
          </cell>
          <cell r="H1280">
            <v>285000</v>
          </cell>
          <cell r="I1280">
            <v>113500</v>
          </cell>
        </row>
        <row r="1281">
          <cell r="A1281" t="str">
            <v>ETLCUST-03901</v>
          </cell>
          <cell r="B1281" t="str">
            <v>ON POINT TECHNOLOGIES LTD - MOHAMMADPUR</v>
          </cell>
          <cell r="C1281" t="str">
            <v>Liton Biswas</v>
          </cell>
          <cell r="D1281" t="str">
            <v>HO-SI</v>
          </cell>
          <cell r="E1281" t="str">
            <v>HO-SI</v>
          </cell>
          <cell r="M1281">
            <v>59500</v>
          </cell>
        </row>
        <row r="1282">
          <cell r="A1282" t="str">
            <v>ETLCUST-01750</v>
          </cell>
          <cell r="B1282" t="str">
            <v>ONE BANK PLC.</v>
          </cell>
          <cell r="C1282" t="str">
            <v>Md. Anisur Rahman</v>
          </cell>
          <cell r="D1282" t="str">
            <v>Corporate</v>
          </cell>
          <cell r="E1282" t="str">
            <v>Corporate</v>
          </cell>
          <cell r="AR1282">
            <v>126545.4</v>
          </cell>
        </row>
        <row r="1283">
          <cell r="A1283" t="str">
            <v>ETLCUST-00172</v>
          </cell>
          <cell r="B1283" t="str">
            <v>ONE STOP SERVICE AND SOLUTION - IDB</v>
          </cell>
          <cell r="C1283" t="str">
            <v>Gaji Parvin Nesa</v>
          </cell>
          <cell r="D1283" t="str">
            <v>IDB</v>
          </cell>
          <cell r="E1283" t="str">
            <v>IDB</v>
          </cell>
          <cell r="H1283">
            <v>43500</v>
          </cell>
          <cell r="P1283">
            <v>6400</v>
          </cell>
          <cell r="R1283">
            <v>72000</v>
          </cell>
          <cell r="S1283">
            <v>15000</v>
          </cell>
          <cell r="U1283">
            <v>172700</v>
          </cell>
          <cell r="Y1283">
            <v>255000</v>
          </cell>
          <cell r="AM1283">
            <v>30660</v>
          </cell>
          <cell r="AP1283">
            <v>66500</v>
          </cell>
          <cell r="BA1283">
            <v>6150</v>
          </cell>
        </row>
        <row r="1284">
          <cell r="A1284" t="str">
            <v>ETLCUST-04317</v>
          </cell>
          <cell r="B1284" t="str">
            <v>ONE STOP SOLUTION - E. ROAD</v>
          </cell>
          <cell r="C1284" t="str">
            <v>Mohotasim Rana</v>
          </cell>
          <cell r="D1284" t="str">
            <v>DHB</v>
          </cell>
          <cell r="E1284" t="str">
            <v>DHB</v>
          </cell>
          <cell r="AO1284">
            <v>36625</v>
          </cell>
        </row>
        <row r="1285">
          <cell r="A1285" t="str">
            <v>ETLCUST-00186</v>
          </cell>
          <cell r="B1285" t="str">
            <v>ONIX COMPUTERS SYSTEM - IDB</v>
          </cell>
          <cell r="C1285" t="str">
            <v>Gaji Parvin Nesa</v>
          </cell>
          <cell r="D1285" t="str">
            <v>IDB</v>
          </cell>
          <cell r="E1285" t="str">
            <v>IDB</v>
          </cell>
          <cell r="O1285">
            <v>4000</v>
          </cell>
          <cell r="R1285">
            <v>85000</v>
          </cell>
          <cell r="U1285">
            <v>48750</v>
          </cell>
          <cell r="V1285">
            <v>17100</v>
          </cell>
          <cell r="X1285">
            <v>291200</v>
          </cell>
          <cell r="AM1285">
            <v>12180</v>
          </cell>
          <cell r="AO1285">
            <v>570</v>
          </cell>
          <cell r="AP1285">
            <v>8300</v>
          </cell>
          <cell r="BA1285">
            <v>245180</v>
          </cell>
        </row>
        <row r="1286">
          <cell r="A1286" t="str">
            <v>ETLCUST-04291</v>
          </cell>
          <cell r="B1286" t="str">
            <v>ONLINE COMPUTER - SATKHIRA</v>
          </cell>
          <cell r="C1286" t="str">
            <v>Imrul Rayhan</v>
          </cell>
          <cell r="D1286" t="str">
            <v>Khulna</v>
          </cell>
          <cell r="E1286" t="str">
            <v>Khulna</v>
          </cell>
          <cell r="G1286">
            <v>78000</v>
          </cell>
          <cell r="S1286">
            <v>0</v>
          </cell>
          <cell r="X1286">
            <v>126000</v>
          </cell>
          <cell r="AL1286">
            <v>15900</v>
          </cell>
          <cell r="AM1286">
            <v>63580</v>
          </cell>
          <cell r="BA1286">
            <v>465680</v>
          </cell>
        </row>
        <row r="1287">
          <cell r="A1287" t="str">
            <v>ETLCUST-02872</v>
          </cell>
          <cell r="B1287" t="str">
            <v>ONY SATALITTE AND TELECOM ACCESSORY - CTG</v>
          </cell>
          <cell r="C1287" t="str">
            <v>Shahidul Alam Chowdhury</v>
          </cell>
          <cell r="D1287" t="str">
            <v>CTG</v>
          </cell>
          <cell r="E1287" t="str">
            <v>CTG</v>
          </cell>
          <cell r="G1287">
            <v>3634000</v>
          </cell>
          <cell r="S1287">
            <v>0</v>
          </cell>
          <cell r="AJ1287">
            <v>750</v>
          </cell>
          <cell r="AL1287">
            <v>1189320</v>
          </cell>
          <cell r="AM1287">
            <v>1565140</v>
          </cell>
          <cell r="AO1287">
            <v>1350</v>
          </cell>
          <cell r="AQ1287">
            <v>0</v>
          </cell>
          <cell r="AR1287">
            <v>5600</v>
          </cell>
          <cell r="BA1287">
            <v>21343685</v>
          </cell>
        </row>
        <row r="1288">
          <cell r="A1288" t="str">
            <v>ETLCUST-04571</v>
          </cell>
          <cell r="B1288" t="str">
            <v>OPERA COMPUTERS - RAJSHAHI</v>
          </cell>
          <cell r="C1288" t="str">
            <v>Md Moniruzzaman Masum</v>
          </cell>
          <cell r="D1288" t="str">
            <v>Rajshahi</v>
          </cell>
          <cell r="E1288" t="str">
            <v>Rajshahi</v>
          </cell>
          <cell r="G1288">
            <v>1121000</v>
          </cell>
          <cell r="Q1288">
            <v>1350</v>
          </cell>
          <cell r="S1288">
            <v>0</v>
          </cell>
          <cell r="T1288">
            <v>1295000</v>
          </cell>
          <cell r="AM1288">
            <v>57380</v>
          </cell>
          <cell r="BA1288">
            <v>1627445</v>
          </cell>
        </row>
        <row r="1289">
          <cell r="A1289" t="str">
            <v>ETLCUST-03600</v>
          </cell>
          <cell r="B1289" t="str">
            <v>OPSONIN PHARMA LIMITED</v>
          </cell>
          <cell r="C1289" t="str">
            <v>Abu Zahid Sobuj</v>
          </cell>
          <cell r="D1289" t="str">
            <v>Corporate</v>
          </cell>
          <cell r="E1289" t="str">
            <v>Corporate</v>
          </cell>
          <cell r="R1289">
            <v>481600</v>
          </cell>
          <cell r="S1289">
            <v>0</v>
          </cell>
          <cell r="U1289">
            <v>237800</v>
          </cell>
          <cell r="X1289">
            <v>124000</v>
          </cell>
          <cell r="AD1289">
            <v>132000</v>
          </cell>
          <cell r="AR1289">
            <v>363850</v>
          </cell>
          <cell r="BA1289">
            <v>0</v>
          </cell>
        </row>
        <row r="1290">
          <cell r="A1290" t="str">
            <v>ETLCUST-01454</v>
          </cell>
          <cell r="B1290" t="str">
            <v>OPTIMA COMPUTER - BHOLA</v>
          </cell>
          <cell r="C1290" t="str">
            <v>Md. Aminul Islam</v>
          </cell>
          <cell r="D1290" t="str">
            <v>South Bengal</v>
          </cell>
          <cell r="E1290" t="str">
            <v>South Bengal</v>
          </cell>
          <cell r="G1290">
            <v>20200</v>
          </cell>
          <cell r="L1290">
            <v>28800</v>
          </cell>
          <cell r="O1290">
            <v>4800</v>
          </cell>
          <cell r="AL1290">
            <v>9540</v>
          </cell>
          <cell r="AM1290">
            <v>8740</v>
          </cell>
          <cell r="AT1290">
            <v>2000</v>
          </cell>
          <cell r="AZ1290">
            <v>46400</v>
          </cell>
          <cell r="BA1290">
            <v>132640</v>
          </cell>
        </row>
        <row r="1291">
          <cell r="A1291" t="str">
            <v>ETLCUST-00531</v>
          </cell>
          <cell r="B1291" t="str">
            <v>OPTIMAL TECHNOLOGY - PVT LTD - GULSHAN</v>
          </cell>
          <cell r="C1291" t="str">
            <v>Md Tanjilur Rakib</v>
          </cell>
          <cell r="D1291" t="str">
            <v>HO-SI</v>
          </cell>
          <cell r="E1291" t="str">
            <v>HO-SI</v>
          </cell>
          <cell r="BA1291">
            <v>75700</v>
          </cell>
        </row>
        <row r="1292">
          <cell r="A1292" t="str">
            <v>ETLCUST-04315</v>
          </cell>
          <cell r="B1292" t="str">
            <v>ORACA SOFT CORPORATION - SYLHET</v>
          </cell>
          <cell r="C1292" t="str">
            <v>Sanwar Husen</v>
          </cell>
          <cell r="D1292" t="str">
            <v>Sylhet</v>
          </cell>
          <cell r="E1292" t="str">
            <v>Sylhet</v>
          </cell>
          <cell r="R1292">
            <v>2560</v>
          </cell>
          <cell r="U1292">
            <v>372400</v>
          </cell>
          <cell r="X1292">
            <v>367900</v>
          </cell>
          <cell r="AK1292">
            <v>6700</v>
          </cell>
          <cell r="AM1292">
            <v>1610</v>
          </cell>
          <cell r="AP1292">
            <v>13000</v>
          </cell>
          <cell r="AR1292">
            <v>28000</v>
          </cell>
          <cell r="AV1292">
            <v>235800</v>
          </cell>
          <cell r="BA1292">
            <v>103815</v>
          </cell>
        </row>
        <row r="1293">
          <cell r="A1293" t="str">
            <v>ETLCUST-00305</v>
          </cell>
          <cell r="B1293" t="str">
            <v>ORANGE COMPUTER - MULTIPLAN</v>
          </cell>
          <cell r="C1293" t="str">
            <v>Md. Anamul Hoque</v>
          </cell>
          <cell r="D1293" t="str">
            <v>Multiplan</v>
          </cell>
          <cell r="E1293" t="str">
            <v>Multiplan</v>
          </cell>
          <cell r="AJ1293">
            <v>200500</v>
          </cell>
          <cell r="AK1293">
            <v>53600</v>
          </cell>
        </row>
        <row r="1294">
          <cell r="A1294" t="str">
            <v>ETLCUST-03517</v>
          </cell>
          <cell r="B1294" t="str">
            <v>ORBITECH TECHNOLOGY -SUVASTU ARCHADE</v>
          </cell>
          <cell r="C1294" t="str">
            <v>Md Shamim Miah</v>
          </cell>
          <cell r="D1294" t="str">
            <v>DHB</v>
          </cell>
          <cell r="E1294" t="str">
            <v>DHB</v>
          </cell>
          <cell r="H1294">
            <v>1621000</v>
          </cell>
          <cell r="I1294">
            <v>21760</v>
          </cell>
          <cell r="AA1294">
            <v>13800</v>
          </cell>
          <cell r="AP1294">
            <v>82000</v>
          </cell>
          <cell r="AV1294">
            <v>42000</v>
          </cell>
        </row>
        <row r="1295">
          <cell r="A1295" t="str">
            <v>ETLCUST-00368</v>
          </cell>
          <cell r="B1295" t="str">
            <v>ORIGINAL STORE LTD - GULSHAN</v>
          </cell>
          <cell r="C1295" t="str">
            <v>Jiku Saha</v>
          </cell>
          <cell r="D1295" t="str">
            <v>Uttara</v>
          </cell>
          <cell r="E1295" t="str">
            <v>Uttara</v>
          </cell>
          <cell r="I1295">
            <v>51000</v>
          </cell>
          <cell r="P1295">
            <v>12800</v>
          </cell>
          <cell r="Q1295">
            <v>890</v>
          </cell>
          <cell r="R1295">
            <v>24250</v>
          </cell>
          <cell r="S1295">
            <v>0</v>
          </cell>
          <cell r="U1295">
            <v>24780</v>
          </cell>
          <cell r="X1295">
            <v>36500</v>
          </cell>
          <cell r="AJ1295">
            <v>414875</v>
          </cell>
          <cell r="AM1295">
            <v>850</v>
          </cell>
          <cell r="AO1295">
            <v>5875</v>
          </cell>
          <cell r="AR1295">
            <v>28500</v>
          </cell>
          <cell r="AV1295">
            <v>166000</v>
          </cell>
          <cell r="BA1295">
            <v>313780</v>
          </cell>
        </row>
        <row r="1296">
          <cell r="A1296" t="str">
            <v>ETLCUST-02350</v>
          </cell>
          <cell r="B1296" t="str">
            <v>ORION PHARMA LIMITED</v>
          </cell>
          <cell r="C1296" t="str">
            <v>Shakil Ahmed</v>
          </cell>
          <cell r="D1296" t="str">
            <v>Corporate</v>
          </cell>
          <cell r="E1296" t="str">
            <v>Corporate</v>
          </cell>
          <cell r="X1296">
            <v>21400</v>
          </cell>
        </row>
        <row r="1297">
          <cell r="A1297" t="str">
            <v>ETLCUST-03472</v>
          </cell>
          <cell r="B1297" t="str">
            <v>OTECH TECHNOLOGIES - E.ROAD</v>
          </cell>
          <cell r="C1297" t="str">
            <v>Md Shamim Miah</v>
          </cell>
          <cell r="D1297" t="str">
            <v>DHB</v>
          </cell>
          <cell r="E1297" t="str">
            <v>DHB</v>
          </cell>
          <cell r="U1297">
            <v>30000</v>
          </cell>
          <cell r="AA1297">
            <v>66400</v>
          </cell>
          <cell r="AK1297">
            <v>137500</v>
          </cell>
        </row>
        <row r="1298">
          <cell r="A1298" t="str">
            <v>ETLCUST-04780</v>
          </cell>
          <cell r="B1298" t="str">
            <v>PACIFIC - BARISHAL</v>
          </cell>
          <cell r="C1298" t="str">
            <v>Md. Aminul Islam</v>
          </cell>
          <cell r="D1298" t="str">
            <v>South Bengal</v>
          </cell>
          <cell r="E1298" t="str">
            <v>South Bengal</v>
          </cell>
          <cell r="G1298">
            <v>5100</v>
          </cell>
          <cell r="L1298">
            <v>24400</v>
          </cell>
          <cell r="P1298">
            <v>91800</v>
          </cell>
          <cell r="R1298">
            <v>848000</v>
          </cell>
          <cell r="S1298">
            <v>0</v>
          </cell>
          <cell r="T1298">
            <v>279600</v>
          </cell>
          <cell r="X1298">
            <v>641875</v>
          </cell>
          <cell r="AL1298">
            <v>34715</v>
          </cell>
          <cell r="AM1298">
            <v>56515</v>
          </cell>
          <cell r="AO1298">
            <v>35150</v>
          </cell>
          <cell r="BA1298">
            <v>738760</v>
          </cell>
        </row>
        <row r="1299">
          <cell r="A1299" t="str">
            <v>ETLCUST-03313</v>
          </cell>
          <cell r="B1299" t="str">
            <v>PACIFIC JEANS LIMITED</v>
          </cell>
          <cell r="C1299" t="str">
            <v>Akter Hossen Nishan</v>
          </cell>
          <cell r="D1299" t="str">
            <v>Corporate</v>
          </cell>
          <cell r="E1299" t="str">
            <v>Corporate</v>
          </cell>
          <cell r="H1299">
            <v>2219430</v>
          </cell>
          <cell r="I1299">
            <v>86130</v>
          </cell>
          <cell r="P1299">
            <v>18425</v>
          </cell>
          <cell r="AA1299">
            <v>53685</v>
          </cell>
          <cell r="AJ1299">
            <v>19590</v>
          </cell>
          <cell r="AV1299">
            <v>2732270</v>
          </cell>
        </row>
        <row r="1300">
          <cell r="A1300" t="str">
            <v>ETLCUST-00678</v>
          </cell>
          <cell r="B1300" t="str">
            <v>PADMA ENTERPRISE - KHULNA</v>
          </cell>
          <cell r="C1300" t="str">
            <v>Saidur Rahman Khokan</v>
          </cell>
          <cell r="D1300" t="str">
            <v>Khulna</v>
          </cell>
          <cell r="E1300" t="str">
            <v>Khulna</v>
          </cell>
          <cell r="AZ1300">
            <v>3800</v>
          </cell>
        </row>
        <row r="1301">
          <cell r="A1301" t="str">
            <v>ETLCUST-00417</v>
          </cell>
          <cell r="B1301" t="str">
            <v>PALASH COMPUTERS - KISHOREGONJ</v>
          </cell>
          <cell r="C1301" t="str">
            <v>Md. Imran Miah Khandakar</v>
          </cell>
          <cell r="D1301" t="str">
            <v>Sylhet</v>
          </cell>
          <cell r="E1301" t="str">
            <v>Sylhet</v>
          </cell>
          <cell r="S1301">
            <v>0</v>
          </cell>
          <cell r="BA1301">
            <v>667310</v>
          </cell>
        </row>
        <row r="1302">
          <cell r="A1302" t="str">
            <v>ETLCUST-01922</v>
          </cell>
          <cell r="B1302" t="str">
            <v>PALLI KARMA-SAHAYAK FOUNDATION (PKSF)</v>
          </cell>
          <cell r="C1302" t="str">
            <v>Abu Zahid Sobuj</v>
          </cell>
          <cell r="D1302" t="str">
            <v>Corporate</v>
          </cell>
          <cell r="E1302" t="str">
            <v>Corporate</v>
          </cell>
          <cell r="AD1302">
            <v>12727.27</v>
          </cell>
        </row>
        <row r="1303">
          <cell r="A1303" t="str">
            <v>ETLCUST-02354</v>
          </cell>
          <cell r="B1303" t="str">
            <v>PALMAL GROUP OF INDUSTRIES</v>
          </cell>
          <cell r="C1303" t="str">
            <v>Ashraful Islam</v>
          </cell>
          <cell r="D1303" t="str">
            <v>Corporate</v>
          </cell>
          <cell r="E1303" t="str">
            <v>Corporate</v>
          </cell>
          <cell r="X1303">
            <v>-34000</v>
          </cell>
        </row>
        <row r="1304">
          <cell r="A1304" t="str">
            <v>ETLCUST-02906</v>
          </cell>
          <cell r="B1304" t="str">
            <v>PAN CARGO INTERNATIONAL LTD</v>
          </cell>
          <cell r="C1304" t="str">
            <v>Mohammad Maruf Hasan</v>
          </cell>
          <cell r="D1304" t="str">
            <v>Corporate</v>
          </cell>
          <cell r="E1304" t="str">
            <v>Corporate</v>
          </cell>
          <cell r="AD1304">
            <v>8300</v>
          </cell>
        </row>
        <row r="1305">
          <cell r="A1305" t="str">
            <v>ETLCUST-04403</v>
          </cell>
          <cell r="B1305" t="str">
            <v>PANAM GROUP</v>
          </cell>
          <cell r="C1305" t="str">
            <v>Hasibul Hasan Symoon</v>
          </cell>
          <cell r="D1305" t="str">
            <v>Corporate</v>
          </cell>
          <cell r="E1305" t="str">
            <v>Corporate</v>
          </cell>
          <cell r="X1305">
            <v>134000</v>
          </cell>
          <cell r="AA1305">
            <v>417152.84999999992</v>
          </cell>
        </row>
        <row r="1306">
          <cell r="A1306" t="str">
            <v>ETLCUST-00302</v>
          </cell>
          <cell r="B1306" t="str">
            <v>PANAROMA COMPUTER - MULTIPLAN</v>
          </cell>
          <cell r="C1306" t="str">
            <v>Mohammad Mostofa</v>
          </cell>
          <cell r="D1306" t="str">
            <v>Multiplan</v>
          </cell>
          <cell r="E1306" t="str">
            <v>Multiplan</v>
          </cell>
          <cell r="H1306">
            <v>24000</v>
          </cell>
          <cell r="R1306">
            <v>115800</v>
          </cell>
          <cell r="U1306">
            <v>152150</v>
          </cell>
        </row>
        <row r="1307">
          <cell r="A1307" t="str">
            <v>ETLCUST-00318</v>
          </cell>
          <cell r="B1307" t="str">
            <v>PANAROMA TECHNOLOGY - MULTIPLAN</v>
          </cell>
          <cell r="C1307" t="str">
            <v>Md. Anamul Hoque</v>
          </cell>
          <cell r="D1307" t="str">
            <v>Multiplan</v>
          </cell>
          <cell r="E1307" t="str">
            <v>Multiplan</v>
          </cell>
          <cell r="P1307">
            <v>64000</v>
          </cell>
        </row>
        <row r="1308">
          <cell r="A1308" t="str">
            <v>ETLCUST-05220</v>
          </cell>
          <cell r="B1308" t="str">
            <v>PANDUGHAR LIMITED</v>
          </cell>
          <cell r="C1308" t="str">
            <v>Rafsan Jani</v>
          </cell>
          <cell r="D1308" t="str">
            <v>Corporate</v>
          </cell>
          <cell r="E1308" t="str">
            <v>Corporate</v>
          </cell>
          <cell r="U1308">
            <v>362460</v>
          </cell>
          <cell r="AR1308">
            <v>21000</v>
          </cell>
        </row>
        <row r="1309">
          <cell r="A1309" t="str">
            <v>ETLCUST-02433</v>
          </cell>
          <cell r="B1309" t="str">
            <v>PARAGON GROUP</v>
          </cell>
          <cell r="C1309" t="str">
            <v>Abu Zahid Sobuj</v>
          </cell>
          <cell r="D1309" t="str">
            <v>Corporate</v>
          </cell>
          <cell r="E1309" t="str">
            <v>Corporate</v>
          </cell>
          <cell r="U1309">
            <v>144527.22999999992</v>
          </cell>
          <cell r="AV1309">
            <v>20845</v>
          </cell>
        </row>
        <row r="1310">
          <cell r="A1310" t="str">
            <v>ETLCUST-02868</v>
          </cell>
          <cell r="B1310" t="str">
            <v>PARAMOUNT TEXTILE PLC.</v>
          </cell>
          <cell r="C1310" t="str">
            <v>Rafsan Jani</v>
          </cell>
          <cell r="D1310" t="str">
            <v>Corporate</v>
          </cell>
          <cell r="E1310" t="str">
            <v>Corporate</v>
          </cell>
          <cell r="R1310">
            <v>94800</v>
          </cell>
          <cell r="S1310">
            <v>0</v>
          </cell>
          <cell r="U1310">
            <v>32500</v>
          </cell>
        </row>
        <row r="1311">
          <cell r="A1311" t="str">
            <v>ETLCUST-02664</v>
          </cell>
          <cell r="B1311" t="str">
            <v>PARENTS COMPUTER - MIRPUR</v>
          </cell>
          <cell r="C1311" t="str">
            <v>Amit Sarker</v>
          </cell>
          <cell r="D1311" t="str">
            <v>IDB</v>
          </cell>
          <cell r="E1311" t="str">
            <v>IDB</v>
          </cell>
          <cell r="P1311">
            <v>4100</v>
          </cell>
          <cell r="T1311">
            <v>4700</v>
          </cell>
          <cell r="X1311">
            <v>3200</v>
          </cell>
          <cell r="AJ1311">
            <v>38625</v>
          </cell>
          <cell r="AM1311">
            <v>1520</v>
          </cell>
          <cell r="BA1311">
            <v>166485</v>
          </cell>
        </row>
        <row r="1312">
          <cell r="A1312" t="str">
            <v>ETLCUST-04491</v>
          </cell>
          <cell r="B1312" t="str">
            <v>PARSHA TRADING - GAIBANDHA</v>
          </cell>
          <cell r="C1312" t="str">
            <v>Md Abdullah Al Mamun</v>
          </cell>
          <cell r="D1312" t="str">
            <v>North Bengal</v>
          </cell>
          <cell r="E1312" t="str">
            <v>North Bengal</v>
          </cell>
          <cell r="Q1312">
            <v>890</v>
          </cell>
          <cell r="AM1312">
            <v>26550</v>
          </cell>
          <cell r="BA1312">
            <v>35800</v>
          </cell>
        </row>
        <row r="1313">
          <cell r="A1313" t="str">
            <v>ETLCUST-00429</v>
          </cell>
          <cell r="B1313" t="str">
            <v>PATH FINDER COMPUTER SYSTEM - TANGAIL</v>
          </cell>
          <cell r="C1313" t="str">
            <v>Niloy Ghosh</v>
          </cell>
          <cell r="D1313" t="str">
            <v>DHK-EXT</v>
          </cell>
          <cell r="E1313" t="str">
            <v>DHK-EXT</v>
          </cell>
          <cell r="G1313">
            <v>312000</v>
          </cell>
          <cell r="P1313">
            <v>109000</v>
          </cell>
          <cell r="R1313">
            <v>153420</v>
          </cell>
          <cell r="T1313">
            <v>161000</v>
          </cell>
          <cell r="AL1313">
            <v>57675</v>
          </cell>
          <cell r="AM1313">
            <v>55070</v>
          </cell>
          <cell r="AQ1313">
            <v>0</v>
          </cell>
          <cell r="BA1313">
            <v>1225760</v>
          </cell>
        </row>
        <row r="1314">
          <cell r="A1314" t="str">
            <v>ETLCUST-01431</v>
          </cell>
          <cell r="B1314" t="str">
            <v>PATWARY ELECTRONICS - GAZIPUR</v>
          </cell>
          <cell r="C1314" t="str">
            <v>Saifullah Akndah</v>
          </cell>
          <cell r="D1314" t="str">
            <v>Uttara</v>
          </cell>
          <cell r="E1314" t="str">
            <v>Uttara</v>
          </cell>
          <cell r="P1314">
            <v>19200</v>
          </cell>
          <cell r="S1314">
            <v>0</v>
          </cell>
          <cell r="X1314">
            <v>36500</v>
          </cell>
          <cell r="AL1314">
            <v>217565</v>
          </cell>
          <cell r="AM1314">
            <v>1585270</v>
          </cell>
          <cell r="AQ1314">
            <v>0</v>
          </cell>
          <cell r="AZ1314">
            <v>249000</v>
          </cell>
          <cell r="BA1314">
            <v>19072510</v>
          </cell>
        </row>
        <row r="1315">
          <cell r="A1315" t="str">
            <v>ETLCUST-04018</v>
          </cell>
          <cell r="B1315" t="str">
            <v>PATWARY TECHNOLOGY - GULISTAN</v>
          </cell>
          <cell r="C1315" t="str">
            <v>Noor Hossain</v>
          </cell>
          <cell r="D1315" t="str">
            <v>Gulistan</v>
          </cell>
          <cell r="E1315" t="str">
            <v>Gulistan</v>
          </cell>
          <cell r="AZ1315">
            <v>651850</v>
          </cell>
        </row>
        <row r="1316">
          <cell r="A1316" t="str">
            <v>ETLCUST-05327</v>
          </cell>
          <cell r="B1316" t="str">
            <v>PAYEL TELECOM - RAJSHAHI</v>
          </cell>
          <cell r="C1316" t="str">
            <v>Ahmed Bulbul</v>
          </cell>
          <cell r="D1316" t="str">
            <v>Rajshahi</v>
          </cell>
          <cell r="E1316" t="str">
            <v>Rajshahi</v>
          </cell>
          <cell r="G1316">
            <v>140000</v>
          </cell>
          <cell r="AM1316">
            <v>121760</v>
          </cell>
          <cell r="AO1316">
            <v>57725</v>
          </cell>
          <cell r="AZ1316">
            <v>264350</v>
          </cell>
          <cell r="BA1316">
            <v>225400</v>
          </cell>
        </row>
        <row r="1317">
          <cell r="A1317" t="str">
            <v>ETLCUST-00132</v>
          </cell>
          <cell r="B1317" t="str">
            <v>PC CARNIVAL - UTTARA</v>
          </cell>
          <cell r="C1317" t="str">
            <v>Dulal Sarker</v>
          </cell>
          <cell r="D1317" t="str">
            <v>Uttara</v>
          </cell>
          <cell r="E1317" t="str">
            <v>Uttara</v>
          </cell>
        </row>
        <row r="1318">
          <cell r="A1318" t="str">
            <v>ETLCUST-03263</v>
          </cell>
          <cell r="B1318" t="str">
            <v>PC COMPUTER - UTTARA</v>
          </cell>
          <cell r="C1318" t="str">
            <v>Dulal Sarker</v>
          </cell>
          <cell r="D1318" t="str">
            <v>Uttara</v>
          </cell>
          <cell r="E1318" t="str">
            <v>Uttara</v>
          </cell>
          <cell r="O1318">
            <v>14300</v>
          </cell>
          <cell r="P1318">
            <v>167000</v>
          </cell>
          <cell r="X1318">
            <v>-12000</v>
          </cell>
          <cell r="AO1318">
            <v>27000</v>
          </cell>
          <cell r="AV1318">
            <v>75000</v>
          </cell>
        </row>
        <row r="1319">
          <cell r="A1319" t="str">
            <v>ETLCUST-01518</v>
          </cell>
          <cell r="B1319" t="str">
            <v>PC CORNER - CTG</v>
          </cell>
          <cell r="C1319" t="str">
            <v>Manjurul Huda Parvez</v>
          </cell>
          <cell r="D1319" t="str">
            <v>CTG</v>
          </cell>
          <cell r="E1319" t="str">
            <v>CTG</v>
          </cell>
          <cell r="Q1319">
            <v>890</v>
          </cell>
          <cell r="R1319">
            <v>22500</v>
          </cell>
          <cell r="S1319">
            <v>0</v>
          </cell>
          <cell r="U1319">
            <v>8400</v>
          </cell>
          <cell r="AM1319">
            <v>16190</v>
          </cell>
          <cell r="AO1319">
            <v>6650</v>
          </cell>
          <cell r="AV1319">
            <v>33000</v>
          </cell>
          <cell r="BA1319">
            <v>400500</v>
          </cell>
        </row>
        <row r="1320">
          <cell r="A1320" t="str">
            <v>ETLCUST-03646</v>
          </cell>
          <cell r="B1320" t="str">
            <v>PC EXPRESS - ELEPHANT ROAD</v>
          </cell>
          <cell r="C1320" t="str">
            <v>Mohotasim Rana</v>
          </cell>
          <cell r="D1320" t="str">
            <v>DHB</v>
          </cell>
          <cell r="E1320" t="str">
            <v>DHB</v>
          </cell>
          <cell r="AO1320">
            <v>13500</v>
          </cell>
        </row>
        <row r="1321">
          <cell r="A1321" t="str">
            <v>ETLCUST-02959</v>
          </cell>
          <cell r="B1321" t="str">
            <v>PC NET COMPUTERS - CUMILLA</v>
          </cell>
          <cell r="C1321" t="str">
            <v>Nazmul Amin Sajib</v>
          </cell>
          <cell r="D1321" t="str">
            <v>CTG</v>
          </cell>
          <cell r="E1321" t="str">
            <v>CTG</v>
          </cell>
          <cell r="BA1321">
            <v>15180</v>
          </cell>
        </row>
        <row r="1322">
          <cell r="A1322" t="str">
            <v>ETLCUST-05408</v>
          </cell>
          <cell r="B1322" t="str">
            <v>PC PLUS SOLUTION LTD - BANANI</v>
          </cell>
          <cell r="C1322" t="str">
            <v>Md. Abdus Satter</v>
          </cell>
          <cell r="D1322" t="str">
            <v>HO-SI</v>
          </cell>
          <cell r="E1322" t="str">
            <v>HO-SI</v>
          </cell>
          <cell r="R1322">
            <v>21000</v>
          </cell>
        </row>
        <row r="1323">
          <cell r="A1323" t="str">
            <v>ETLCUST-01021</v>
          </cell>
          <cell r="B1323" t="str">
            <v>PC SOLUTION - CTG</v>
          </cell>
          <cell r="C1323" t="str">
            <v>Titul Dutta</v>
          </cell>
          <cell r="D1323" t="str">
            <v>CTG</v>
          </cell>
          <cell r="E1323" t="str">
            <v>CTG</v>
          </cell>
          <cell r="Q1323">
            <v>890</v>
          </cell>
          <cell r="AD1323">
            <v>18900</v>
          </cell>
          <cell r="AR1323">
            <v>55780</v>
          </cell>
          <cell r="BA1323">
            <v>52500</v>
          </cell>
        </row>
        <row r="1324">
          <cell r="A1324" t="str">
            <v>ETLCUST-04667</v>
          </cell>
          <cell r="B1324" t="str">
            <v>PC World - ALAMDANGA</v>
          </cell>
          <cell r="C1324" t="str">
            <v>Md. Hasanuzzaman</v>
          </cell>
          <cell r="D1324" t="str">
            <v>South Bengal</v>
          </cell>
          <cell r="E1324" t="str">
            <v>South Bengal</v>
          </cell>
          <cell r="G1324">
            <v>50000</v>
          </cell>
          <cell r="P1324">
            <v>12800</v>
          </cell>
          <cell r="S1324">
            <v>0</v>
          </cell>
          <cell r="T1324">
            <v>22000</v>
          </cell>
          <cell r="X1324">
            <v>101425</v>
          </cell>
          <cell r="AL1324">
            <v>4505</v>
          </cell>
          <cell r="AM1324">
            <v>19480</v>
          </cell>
          <cell r="BA1324">
            <v>849810</v>
          </cell>
        </row>
        <row r="1325">
          <cell r="A1325" t="str">
            <v>ETLCUST-04616</v>
          </cell>
          <cell r="B1325" t="str">
            <v>PC WORLD - CHANDPUR</v>
          </cell>
          <cell r="C1325" t="str">
            <v>Nazmul Amin Sajib</v>
          </cell>
          <cell r="D1325" t="str">
            <v>CTG</v>
          </cell>
          <cell r="E1325" t="str">
            <v>CTG</v>
          </cell>
          <cell r="X1325">
            <v>503300</v>
          </cell>
          <cell r="AL1325">
            <v>47700</v>
          </cell>
          <cell r="BA1325">
            <v>908030</v>
          </cell>
        </row>
        <row r="1326">
          <cell r="A1326" t="str">
            <v>ETLCUST-00852</v>
          </cell>
          <cell r="B1326" t="str">
            <v>PEACE TECHNOLOGY - MULTIPLAN</v>
          </cell>
          <cell r="C1326" t="str">
            <v>Mohammad Mostofa</v>
          </cell>
          <cell r="D1326" t="str">
            <v>Multiplan</v>
          </cell>
          <cell r="E1326" t="str">
            <v>Multiplan</v>
          </cell>
          <cell r="U1326">
            <v>10300</v>
          </cell>
        </row>
        <row r="1327">
          <cell r="A1327" t="str">
            <v>ETLCUST-03377</v>
          </cell>
          <cell r="B1327" t="str">
            <v>PERFECT ACCESSORIES AND TRADING - MIRPUR</v>
          </cell>
          <cell r="C1327" t="str">
            <v>Sabuj Das</v>
          </cell>
          <cell r="D1327" t="str">
            <v>HO-SI</v>
          </cell>
          <cell r="E1327" t="str">
            <v>HO-SI</v>
          </cell>
          <cell r="X1327">
            <v>66000</v>
          </cell>
          <cell r="AJ1327">
            <v>1950</v>
          </cell>
          <cell r="AR1327">
            <v>177000</v>
          </cell>
          <cell r="AV1327">
            <v>100000</v>
          </cell>
        </row>
        <row r="1328">
          <cell r="A1328" t="str">
            <v>ETLCUST-00439</v>
          </cell>
          <cell r="B1328" t="str">
            <v>PERFECT COMPUTER - TANGAIL</v>
          </cell>
          <cell r="C1328" t="str">
            <v>Niloy Ghosh</v>
          </cell>
          <cell r="D1328" t="str">
            <v>DHK-EXT</v>
          </cell>
          <cell r="E1328" t="str">
            <v>DHK-EXT</v>
          </cell>
          <cell r="G1328">
            <v>107000</v>
          </cell>
          <cell r="R1328">
            <v>80500</v>
          </cell>
          <cell r="S1328">
            <v>0</v>
          </cell>
          <cell r="T1328">
            <v>333100</v>
          </cell>
          <cell r="X1328">
            <v>684375</v>
          </cell>
          <cell r="AF1328">
            <v>113000</v>
          </cell>
          <cell r="AM1328">
            <v>58425</v>
          </cell>
          <cell r="BA1328">
            <v>1572965</v>
          </cell>
        </row>
        <row r="1329">
          <cell r="A1329" t="str">
            <v>ETLCUST-03028</v>
          </cell>
          <cell r="B1329" t="str">
            <v>PERFECT COMPUTERS - HABIGONJ</v>
          </cell>
          <cell r="C1329" t="str">
            <v>Md. Imran Miah Khandakar</v>
          </cell>
          <cell r="D1329" t="str">
            <v>Sylhet</v>
          </cell>
          <cell r="E1329" t="str">
            <v>Sylhet</v>
          </cell>
          <cell r="R1329">
            <v>25600</v>
          </cell>
          <cell r="T1329">
            <v>265400</v>
          </cell>
          <cell r="AK1329">
            <v>33600</v>
          </cell>
          <cell r="AL1329">
            <v>3180</v>
          </cell>
          <cell r="AM1329">
            <v>49600</v>
          </cell>
          <cell r="BA1329">
            <v>162115</v>
          </cell>
        </row>
        <row r="1330">
          <cell r="A1330" t="str">
            <v>ETLCUST-04101</v>
          </cell>
          <cell r="B1330" t="str">
            <v>PERFETTI VAN MELLE BANGLADESH PRIVATE LIMITED</v>
          </cell>
          <cell r="C1330" t="str">
            <v>Ashraful Islam</v>
          </cell>
          <cell r="D1330" t="str">
            <v>Corporate</v>
          </cell>
          <cell r="E1330" t="str">
            <v>Corporate</v>
          </cell>
          <cell r="AD1330">
            <v>18374.55</v>
          </cell>
        </row>
        <row r="1331">
          <cell r="A1331" t="str">
            <v>ETLCUST-03892</v>
          </cell>
          <cell r="B1331" t="str">
            <v>PERMIT DENY LIMITED - MOHAMMADPUR</v>
          </cell>
          <cell r="C1331" t="str">
            <v>Liton Biswas</v>
          </cell>
          <cell r="D1331" t="str">
            <v>HO-SI</v>
          </cell>
          <cell r="E1331" t="str">
            <v>HO-SI</v>
          </cell>
          <cell r="U1331">
            <v>212250</v>
          </cell>
          <cell r="AA1331">
            <v>33000</v>
          </cell>
          <cell r="BA1331">
            <v>3750</v>
          </cell>
        </row>
        <row r="1332">
          <cell r="A1332" t="str">
            <v>ETLCUST-04654</v>
          </cell>
          <cell r="B1332" t="str">
            <v>PIONEER APPARELS LIMITED</v>
          </cell>
          <cell r="C1332" t="str">
            <v>Hasibul Hasan Symoon</v>
          </cell>
          <cell r="D1332" t="str">
            <v>Corporate</v>
          </cell>
          <cell r="E1332" t="str">
            <v>Corporate</v>
          </cell>
          <cell r="H1332">
            <v>78948</v>
          </cell>
          <cell r="I1332">
            <v>162210</v>
          </cell>
          <cell r="M1332">
            <v>28425</v>
          </cell>
          <cell r="U1332">
            <v>18960</v>
          </cell>
          <cell r="X1332">
            <v>2200</v>
          </cell>
          <cell r="AA1332">
            <v>168420</v>
          </cell>
          <cell r="AF1332">
            <v>209480</v>
          </cell>
          <cell r="AJ1332">
            <v>17055</v>
          </cell>
          <cell r="AP1332">
            <v>214740</v>
          </cell>
          <cell r="AV1332">
            <v>276990</v>
          </cell>
        </row>
        <row r="1333">
          <cell r="A1333" t="str">
            <v>ETLCUST-02317</v>
          </cell>
          <cell r="B1333" t="str">
            <v>PIONEER DENIM LIMITED</v>
          </cell>
          <cell r="C1333" t="str">
            <v>Shakil Ahmed</v>
          </cell>
          <cell r="D1333" t="str">
            <v>Corporate</v>
          </cell>
          <cell r="E1333" t="str">
            <v>Corporate</v>
          </cell>
          <cell r="R1333">
            <v>44919.09</v>
          </cell>
        </row>
        <row r="1334">
          <cell r="A1334" t="str">
            <v>ETLCUST-05212</v>
          </cell>
          <cell r="B1334" t="str">
            <v>PIRGANJ COMPUTER</v>
          </cell>
          <cell r="C1334" t="str">
            <v>Akramul Haque</v>
          </cell>
          <cell r="D1334" t="str">
            <v>North Bengal</v>
          </cell>
          <cell r="E1334" t="str">
            <v>North Bengal</v>
          </cell>
          <cell r="X1334">
            <v>101650</v>
          </cell>
          <cell r="AL1334">
            <v>19875</v>
          </cell>
          <cell r="AM1334">
            <v>51170</v>
          </cell>
          <cell r="AQ1334">
            <v>0</v>
          </cell>
          <cell r="BA1334">
            <v>173650</v>
          </cell>
        </row>
        <row r="1335">
          <cell r="A1335" t="str">
            <v>ETLCUST-00033</v>
          </cell>
          <cell r="B1335" t="str">
            <v>PIXEL IT - THAKURGOAN</v>
          </cell>
          <cell r="C1335" t="str">
            <v>Akramul Haque</v>
          </cell>
          <cell r="D1335" t="str">
            <v>North Bengal</v>
          </cell>
          <cell r="E1335" t="str">
            <v>North Bengal</v>
          </cell>
          <cell r="P1335">
            <v>25600</v>
          </cell>
          <cell r="S1335">
            <v>0</v>
          </cell>
          <cell r="V1335">
            <v>22500</v>
          </cell>
          <cell r="X1335">
            <v>155250</v>
          </cell>
          <cell r="AM1335">
            <v>2000</v>
          </cell>
          <cell r="AO1335">
            <v>30125</v>
          </cell>
          <cell r="AQ1335">
            <v>0</v>
          </cell>
          <cell r="BA1335">
            <v>2950075</v>
          </cell>
        </row>
        <row r="1336">
          <cell r="A1336" t="str">
            <v>ETLCUST-00773</v>
          </cell>
          <cell r="B1336" t="str">
            <v>PIXELS - PVT LTD - RAJSHAHI</v>
          </cell>
          <cell r="C1336" t="str">
            <v>Ahmed Bulbul</v>
          </cell>
          <cell r="D1336" t="str">
            <v>Rajshahi</v>
          </cell>
          <cell r="E1336" t="str">
            <v>Rajshahi</v>
          </cell>
          <cell r="P1336">
            <v>17400</v>
          </cell>
          <cell r="R1336">
            <v>1265000</v>
          </cell>
          <cell r="AJ1336">
            <v>2450</v>
          </cell>
          <cell r="AK1336">
            <v>27300</v>
          </cell>
          <cell r="AM1336">
            <v>16500</v>
          </cell>
          <cell r="AN1336">
            <v>315000</v>
          </cell>
          <cell r="AO1336">
            <v>24800</v>
          </cell>
          <cell r="AR1336">
            <v>579050</v>
          </cell>
          <cell r="AT1336">
            <v>52600</v>
          </cell>
          <cell r="AV1336">
            <v>300000</v>
          </cell>
          <cell r="BA1336">
            <v>312560</v>
          </cell>
        </row>
        <row r="1337">
          <cell r="A1337" t="str">
            <v>ETLCUST-05093</v>
          </cell>
          <cell r="B1337" t="str">
            <v>PLANET COM TECHNOLOGY</v>
          </cell>
          <cell r="C1337" t="str">
            <v>Liton Biswas</v>
          </cell>
          <cell r="D1337" t="str">
            <v>HO-SI</v>
          </cell>
          <cell r="E1337" t="str">
            <v>HO-SI</v>
          </cell>
          <cell r="I1337">
            <v>280000</v>
          </cell>
          <cell r="U1337">
            <v>202000</v>
          </cell>
          <cell r="X1337">
            <v>182000</v>
          </cell>
          <cell r="AA1337">
            <v>286000</v>
          </cell>
          <cell r="AV1337">
            <v>166000</v>
          </cell>
          <cell r="BA1337">
            <v>7350</v>
          </cell>
        </row>
        <row r="1338">
          <cell r="A1338" t="str">
            <v>ETLCUST-04017</v>
          </cell>
          <cell r="B1338" t="str">
            <v>PLANTECH COMMUNICATION - TEJGAON</v>
          </cell>
          <cell r="C1338" t="str">
            <v>Md Tanjilur Rakib</v>
          </cell>
          <cell r="D1338" t="str">
            <v>HO-SI</v>
          </cell>
          <cell r="E1338" t="str">
            <v>HO-SI</v>
          </cell>
          <cell r="P1338">
            <v>3200</v>
          </cell>
          <cell r="U1338">
            <v>239700</v>
          </cell>
          <cell r="AF1338">
            <v>63000</v>
          </cell>
          <cell r="AR1338">
            <v>218100</v>
          </cell>
          <cell r="AY1338">
            <v>8000</v>
          </cell>
          <cell r="BA1338">
            <v>2100</v>
          </cell>
        </row>
        <row r="1339">
          <cell r="A1339" t="str">
            <v>ETLCUST-00205</v>
          </cell>
          <cell r="B1339" t="str">
            <v>PLATINUM COMPUTER - E.ROAD</v>
          </cell>
          <cell r="C1339" t="str">
            <v>Md Shamim Miah</v>
          </cell>
          <cell r="D1339" t="str">
            <v>DHB</v>
          </cell>
          <cell r="E1339" t="str">
            <v>DHB</v>
          </cell>
          <cell r="AO1339">
            <v>202950</v>
          </cell>
        </row>
        <row r="1340">
          <cell r="A1340" t="str">
            <v>ETLCUST-02847</v>
          </cell>
          <cell r="B1340" t="str">
            <v>PLATINUM GROUP</v>
          </cell>
          <cell r="C1340" t="str">
            <v>Ashraful Islam</v>
          </cell>
          <cell r="D1340" t="str">
            <v>Corporate</v>
          </cell>
          <cell r="E1340" t="str">
            <v>Corporate</v>
          </cell>
          <cell r="P1340">
            <v>7200</v>
          </cell>
          <cell r="S1340">
            <v>30110</v>
          </cell>
          <cell r="X1340">
            <v>112450</v>
          </cell>
          <cell r="AR1340">
            <v>29600</v>
          </cell>
          <cell r="AV1340">
            <v>3000</v>
          </cell>
          <cell r="AY1340">
            <v>10600</v>
          </cell>
        </row>
        <row r="1341">
          <cell r="A1341" t="str">
            <v>ETLCUST-00276</v>
          </cell>
          <cell r="B1341" t="str">
            <v>PLATONIC ZONE - SYLHET</v>
          </cell>
          <cell r="C1341" t="str">
            <v>Kunjaraj Singha</v>
          </cell>
          <cell r="D1341" t="str">
            <v>Sylhet</v>
          </cell>
          <cell r="E1341" t="str">
            <v>Sylhet</v>
          </cell>
          <cell r="S1341">
            <v>0</v>
          </cell>
          <cell r="T1341">
            <v>3080400</v>
          </cell>
          <cell r="X1341">
            <v>14211075</v>
          </cell>
          <cell r="BA1341">
            <v>4488300</v>
          </cell>
        </row>
        <row r="1342">
          <cell r="A1342" t="str">
            <v>ETLCUST-03283</v>
          </cell>
          <cell r="B1342" t="str">
            <v>PLEXUS CLOUD LTD. - RAMPURA</v>
          </cell>
          <cell r="C1342" t="str">
            <v>Md. Abdus Satter</v>
          </cell>
          <cell r="D1342" t="str">
            <v>HO-SI</v>
          </cell>
          <cell r="E1342" t="str">
            <v>HO-SI</v>
          </cell>
          <cell r="G1342">
            <v>33000</v>
          </cell>
          <cell r="BA1342">
            <v>17500</v>
          </cell>
        </row>
        <row r="1343">
          <cell r="A1343" t="str">
            <v>ETLCUST-05114</v>
          </cell>
          <cell r="B1343" t="str">
            <v>PLUSNET INC. - CHATTAGRAM</v>
          </cell>
          <cell r="C1343" t="str">
            <v>Mohammad Mamunur Rashid</v>
          </cell>
          <cell r="D1343" t="str">
            <v>CTG</v>
          </cell>
          <cell r="E1343" t="str">
            <v>CTG</v>
          </cell>
          <cell r="AL1343">
            <v>3090</v>
          </cell>
          <cell r="BA1343">
            <v>9380</v>
          </cell>
        </row>
        <row r="1344">
          <cell r="A1344" t="str">
            <v>ETLCUST-04282</v>
          </cell>
          <cell r="B1344" t="str">
            <v>PLUSNET INC. - CTG</v>
          </cell>
          <cell r="C1344" t="str">
            <v>Md. Abdus Satter</v>
          </cell>
          <cell r="D1344" t="str">
            <v>HO-SI</v>
          </cell>
          <cell r="E1344" t="str">
            <v>HO-SI</v>
          </cell>
          <cell r="BA1344">
            <v>175000</v>
          </cell>
        </row>
        <row r="1345">
          <cell r="A1345" t="str">
            <v>ETLCUST-05396</v>
          </cell>
          <cell r="B1345" t="str">
            <v xml:space="preserve">POPULAR COMPUTER - DINAJPUR </v>
          </cell>
          <cell r="C1345" t="str">
            <v>Akramul Haque</v>
          </cell>
          <cell r="D1345" t="str">
            <v>North Bengal</v>
          </cell>
          <cell r="E1345" t="str">
            <v>North Bengal</v>
          </cell>
          <cell r="S1345">
            <v>0</v>
          </cell>
          <cell r="X1345">
            <v>103750</v>
          </cell>
          <cell r="AM1345">
            <v>11500</v>
          </cell>
          <cell r="BA1345">
            <v>83000</v>
          </cell>
        </row>
        <row r="1346">
          <cell r="A1346" t="str">
            <v>ETLCUST-02360</v>
          </cell>
          <cell r="B1346" t="str">
            <v>POPULAR DIAGNOSTICS CENTER LTD.</v>
          </cell>
          <cell r="C1346" t="str">
            <v>Sabbir Ahmed</v>
          </cell>
          <cell r="D1346" t="str">
            <v>Corporate</v>
          </cell>
          <cell r="E1346" t="str">
            <v>Corporate</v>
          </cell>
          <cell r="R1346">
            <v>2165900</v>
          </cell>
          <cell r="S1346">
            <v>24500</v>
          </cell>
          <cell r="U1346">
            <v>1744350</v>
          </cell>
          <cell r="V1346">
            <v>54600</v>
          </cell>
          <cell r="Y1346">
            <v>791000</v>
          </cell>
          <cell r="AJ1346">
            <v>37000</v>
          </cell>
          <cell r="AY1346">
            <v>6000</v>
          </cell>
        </row>
        <row r="1347">
          <cell r="A1347" t="str">
            <v>ETLCUST-04448</v>
          </cell>
          <cell r="B1347" t="str">
            <v>POPULAR DIAGNOSTICS CENTER LTD. AMC SERVICE</v>
          </cell>
          <cell r="C1347" t="str">
            <v>Mohammad Jamil</v>
          </cell>
          <cell r="D1347" t="str">
            <v>CSP</v>
          </cell>
          <cell r="E1347" t="str">
            <v>CSP</v>
          </cell>
          <cell r="R1347">
            <v>12781300</v>
          </cell>
        </row>
        <row r="1348">
          <cell r="A1348" t="str">
            <v>ETLCUST-02361</v>
          </cell>
          <cell r="B1348" t="str">
            <v>POPULAR PHARMACEUTICALS PLC.</v>
          </cell>
          <cell r="C1348" t="str">
            <v>Sabbir Ahmed</v>
          </cell>
          <cell r="D1348" t="str">
            <v>Corporate</v>
          </cell>
          <cell r="E1348" t="str">
            <v>Corporate</v>
          </cell>
          <cell r="L1348">
            <v>10800</v>
          </cell>
          <cell r="P1348">
            <v>83850</v>
          </cell>
          <cell r="S1348">
            <v>7380</v>
          </cell>
          <cell r="U1348">
            <v>791250</v>
          </cell>
          <cell r="X1348">
            <v>287900</v>
          </cell>
          <cell r="Y1348">
            <v>1224620</v>
          </cell>
          <cell r="AF1348">
            <v>103800</v>
          </cell>
        </row>
        <row r="1349">
          <cell r="A1349" t="str">
            <v>ETLCUST-00587</v>
          </cell>
          <cell r="B1349" t="str">
            <v>POPULAR TEKNOWLOGIES LTD - RAMPURA</v>
          </cell>
          <cell r="C1349" t="str">
            <v>Liton Biswas</v>
          </cell>
          <cell r="D1349" t="str">
            <v>HO-SI</v>
          </cell>
          <cell r="E1349" t="str">
            <v>HO-SI</v>
          </cell>
          <cell r="H1349">
            <v>123000</v>
          </cell>
          <cell r="U1349">
            <v>195000</v>
          </cell>
          <cell r="AV1349">
            <v>116200</v>
          </cell>
        </row>
        <row r="1350">
          <cell r="A1350" t="str">
            <v>ETLCUST-00929</v>
          </cell>
          <cell r="B1350" t="str">
            <v>POPULAR WATCH - MAGURA</v>
          </cell>
          <cell r="C1350" t="str">
            <v>Md Rakibul Islam</v>
          </cell>
          <cell r="D1350" t="str">
            <v>South Bengal</v>
          </cell>
          <cell r="E1350" t="str">
            <v>South Bengal</v>
          </cell>
          <cell r="AZ1350">
            <v>71900</v>
          </cell>
        </row>
        <row r="1351">
          <cell r="A1351" t="str">
            <v>ETLCUST-03546</v>
          </cell>
          <cell r="B1351" t="str">
            <v>POWER IT SOURCE - UTTARA</v>
          </cell>
          <cell r="C1351" t="str">
            <v>Dulal Sarker</v>
          </cell>
          <cell r="D1351" t="str">
            <v>Uttara</v>
          </cell>
          <cell r="E1351" t="str">
            <v>Uttara</v>
          </cell>
          <cell r="P1351">
            <v>39950</v>
          </cell>
          <cell r="V1351">
            <v>14000</v>
          </cell>
          <cell r="AL1351">
            <v>7960</v>
          </cell>
          <cell r="AO1351">
            <v>477550</v>
          </cell>
          <cell r="BA1351">
            <v>51670</v>
          </cell>
        </row>
        <row r="1352">
          <cell r="A1352" t="str">
            <v>ETLCUST-01040</v>
          </cell>
          <cell r="B1352" t="str">
            <v>POWER LINE COMPUTER - CTG</v>
          </cell>
          <cell r="C1352" t="str">
            <v>Md. Mamunur Rashid</v>
          </cell>
          <cell r="D1352" t="str">
            <v>CTG</v>
          </cell>
          <cell r="E1352" t="str">
            <v>CTG</v>
          </cell>
          <cell r="L1352">
            <v>115000</v>
          </cell>
          <cell r="P1352">
            <v>409800</v>
          </cell>
          <cell r="R1352">
            <v>111000</v>
          </cell>
          <cell r="T1352">
            <v>25000</v>
          </cell>
          <cell r="U1352">
            <v>0</v>
          </cell>
          <cell r="X1352">
            <v>727000</v>
          </cell>
          <cell r="Y1352">
            <v>245000</v>
          </cell>
          <cell r="AA1352">
            <v>16500</v>
          </cell>
          <cell r="AF1352">
            <v>245800</v>
          </cell>
          <cell r="AK1352">
            <v>71000</v>
          </cell>
          <cell r="AL1352">
            <v>79550</v>
          </cell>
          <cell r="AR1352">
            <v>19800</v>
          </cell>
          <cell r="AV1352">
            <v>648180</v>
          </cell>
          <cell r="BA1352">
            <v>2023920</v>
          </cell>
        </row>
        <row r="1353">
          <cell r="A1353" t="str">
            <v>ETLCUST-03153</v>
          </cell>
          <cell r="B1353" t="str">
            <v>POWER LINE COMPUTER - SHAH AMANAT</v>
          </cell>
          <cell r="C1353" t="str">
            <v>Manjurul Huda Parvez</v>
          </cell>
          <cell r="D1353" t="str">
            <v>CTG</v>
          </cell>
          <cell r="E1353" t="str">
            <v>CTG</v>
          </cell>
          <cell r="P1353">
            <v>3200</v>
          </cell>
        </row>
        <row r="1354">
          <cell r="A1354" t="str">
            <v>ETLCUST-02666</v>
          </cell>
          <cell r="B1354" t="str">
            <v>POWER LINE COMPUTER - YUNUSCO CITY CTG</v>
          </cell>
          <cell r="C1354" t="str">
            <v>Shahidul Alam Chowdhury</v>
          </cell>
          <cell r="D1354" t="str">
            <v>CTG</v>
          </cell>
          <cell r="E1354" t="str">
            <v>CTG</v>
          </cell>
          <cell r="G1354">
            <v>10200</v>
          </cell>
          <cell r="S1354">
            <v>0</v>
          </cell>
          <cell r="T1354">
            <v>317350</v>
          </cell>
          <cell r="X1354">
            <v>104700</v>
          </cell>
          <cell r="AF1354">
            <v>24000</v>
          </cell>
          <cell r="AL1354">
            <v>70135</v>
          </cell>
          <cell r="AM1354">
            <v>63135</v>
          </cell>
          <cell r="AO1354">
            <v>50250</v>
          </cell>
          <cell r="AR1354">
            <v>7000</v>
          </cell>
          <cell r="BA1354">
            <v>727445</v>
          </cell>
        </row>
        <row r="1355">
          <cell r="A1355" t="str">
            <v>ETLCUST-00713</v>
          </cell>
          <cell r="B1355" t="str">
            <v>POWER POINT COMPUTER - SATKHIRA</v>
          </cell>
          <cell r="C1355" t="str">
            <v>Imrul Rayhan</v>
          </cell>
          <cell r="D1355" t="str">
            <v>Khulna</v>
          </cell>
          <cell r="E1355" t="str">
            <v>Khulna</v>
          </cell>
          <cell r="AQ1355">
            <v>0</v>
          </cell>
          <cell r="AZ1355">
            <v>33100</v>
          </cell>
          <cell r="BA1355">
            <v>131235</v>
          </cell>
        </row>
        <row r="1356">
          <cell r="A1356" t="str">
            <v>ETLCUST-03504</v>
          </cell>
          <cell r="B1356" t="str">
            <v>PQS.COM.BD LTD - MULTIPLAN</v>
          </cell>
          <cell r="C1356" t="str">
            <v>Mohammad Mostofa</v>
          </cell>
          <cell r="D1356" t="str">
            <v>Multiplan</v>
          </cell>
          <cell r="E1356" t="str">
            <v>Multiplan</v>
          </cell>
          <cell r="L1356">
            <v>697000</v>
          </cell>
          <cell r="P1356">
            <v>162400</v>
          </cell>
          <cell r="U1356">
            <v>21600</v>
          </cell>
          <cell r="Y1356">
            <v>248000</v>
          </cell>
        </row>
        <row r="1357">
          <cell r="A1357" t="str">
            <v>ETLCUST-02365</v>
          </cell>
          <cell r="B1357" t="str">
            <v>PRAN RFL</v>
          </cell>
          <cell r="C1357" t="str">
            <v>Rafsan Jani</v>
          </cell>
          <cell r="D1357" t="str">
            <v>Corporate</v>
          </cell>
          <cell r="E1357" t="str">
            <v>Corporate</v>
          </cell>
          <cell r="R1357">
            <v>2694500</v>
          </cell>
          <cell r="S1357">
            <v>0</v>
          </cell>
          <cell r="AJ1357">
            <v>400000</v>
          </cell>
          <cell r="BA1357">
            <v>127680</v>
          </cell>
        </row>
        <row r="1358">
          <cell r="A1358" t="str">
            <v>ETLCUST-01844</v>
          </cell>
          <cell r="B1358" t="str">
            <v>PREMIER COMPUTER ASSOCIATES - MULTIPLAN</v>
          </cell>
          <cell r="C1358" t="str">
            <v>Mohammad Mostofa</v>
          </cell>
          <cell r="D1358" t="str">
            <v>Multiplan</v>
          </cell>
          <cell r="E1358" t="str">
            <v>Multiplan</v>
          </cell>
          <cell r="U1358">
            <v>3950</v>
          </cell>
          <cell r="AF1358">
            <v>34700</v>
          </cell>
        </row>
        <row r="1359">
          <cell r="A1359" t="str">
            <v>ETLCUST-05103</v>
          </cell>
          <cell r="B1359" t="str">
            <v>PREMIER UNIVERSITY CHITTAGONG TRUST</v>
          </cell>
          <cell r="C1359" t="str">
            <v>Sayed Golam Murtuza</v>
          </cell>
          <cell r="D1359" t="str">
            <v>Corporate</v>
          </cell>
          <cell r="E1359" t="str">
            <v>Corporate</v>
          </cell>
          <cell r="I1359">
            <v>128000</v>
          </cell>
          <cell r="P1359">
            <v>400000</v>
          </cell>
          <cell r="U1359">
            <v>30500</v>
          </cell>
          <cell r="X1359">
            <v>14400</v>
          </cell>
          <cell r="AV1359">
            <v>74600</v>
          </cell>
        </row>
        <row r="1360">
          <cell r="A1360" t="str">
            <v>ETLCUST-04659</v>
          </cell>
          <cell r="B1360" t="str">
            <v>PREMIUM IT - CTG</v>
          </cell>
          <cell r="C1360" t="str">
            <v>Md. Mamunur Rashid</v>
          </cell>
          <cell r="D1360" t="str">
            <v>CTG</v>
          </cell>
          <cell r="E1360" t="str">
            <v>CTG</v>
          </cell>
          <cell r="P1360">
            <v>279800</v>
          </cell>
          <cell r="X1360">
            <v>157000</v>
          </cell>
          <cell r="AF1360">
            <v>19000</v>
          </cell>
          <cell r="AT1360">
            <v>6000</v>
          </cell>
          <cell r="BA1360">
            <v>3600</v>
          </cell>
        </row>
        <row r="1361">
          <cell r="A1361" t="str">
            <v>ETLCUST-03289</v>
          </cell>
          <cell r="B1361" t="str">
            <v>PRIDE COMPUTER - FENI</v>
          </cell>
          <cell r="C1361" t="str">
            <v>Reazuddin</v>
          </cell>
          <cell r="D1361" t="str">
            <v>CTG</v>
          </cell>
          <cell r="E1361" t="str">
            <v>CTG</v>
          </cell>
          <cell r="T1361">
            <v>30750</v>
          </cell>
          <cell r="X1361">
            <v>48050</v>
          </cell>
        </row>
        <row r="1362">
          <cell r="A1362" t="str">
            <v>ETLCUST-02967</v>
          </cell>
          <cell r="B1362" t="str">
            <v>PRIME COMPUTER - JESSORE</v>
          </cell>
          <cell r="C1362" t="str">
            <v>Md Husaun</v>
          </cell>
          <cell r="D1362" t="str">
            <v>Khulna</v>
          </cell>
          <cell r="E1362" t="str">
            <v>Khulna</v>
          </cell>
          <cell r="AF1362">
            <v>-36000</v>
          </cell>
        </row>
        <row r="1363">
          <cell r="A1363" t="str">
            <v>ETLCUST-05288</v>
          </cell>
          <cell r="B1363" t="str">
            <v xml:space="preserve">PRIME LINK SOLUTIONS </v>
          </cell>
          <cell r="C1363" t="str">
            <v>Md Tanjilur Rakib</v>
          </cell>
          <cell r="D1363" t="str">
            <v>HO-SI</v>
          </cell>
          <cell r="E1363" t="str">
            <v>HO-SI</v>
          </cell>
          <cell r="AV1363">
            <v>832500</v>
          </cell>
        </row>
        <row r="1364">
          <cell r="A1364" t="str">
            <v>ETLCUST-03399</v>
          </cell>
          <cell r="B1364" t="str">
            <v>PRIME NET LTD. - KAWRAN BAZAR</v>
          </cell>
          <cell r="C1364" t="str">
            <v>Md. Abdus Satter</v>
          </cell>
          <cell r="D1364" t="str">
            <v>HO-SI</v>
          </cell>
          <cell r="E1364" t="str">
            <v>HO-SI</v>
          </cell>
          <cell r="U1364">
            <v>21000</v>
          </cell>
        </row>
        <row r="1365">
          <cell r="A1365" t="str">
            <v>ETLCUST-05370</v>
          </cell>
          <cell r="B1365" t="str">
            <v>PRIME POINT SOLUTIONS - MOTIJHEEL</v>
          </cell>
          <cell r="C1365" t="str">
            <v>Hridoy Chandra Das</v>
          </cell>
          <cell r="D1365" t="str">
            <v>Motijheel</v>
          </cell>
          <cell r="E1365" t="str">
            <v>Motijheel</v>
          </cell>
          <cell r="U1365">
            <v>4080</v>
          </cell>
          <cell r="AV1365">
            <v>52000</v>
          </cell>
        </row>
        <row r="1366">
          <cell r="A1366" t="str">
            <v>ETLCUST-05149</v>
          </cell>
          <cell r="B1366" t="str">
            <v>PRIME TECHNOLOGY- E. ROAD</v>
          </cell>
          <cell r="C1366" t="str">
            <v>Mohotasim Rana</v>
          </cell>
          <cell r="D1366" t="str">
            <v>DHB</v>
          </cell>
          <cell r="E1366" t="str">
            <v>DHB</v>
          </cell>
          <cell r="T1366">
            <v>204000</v>
          </cell>
        </row>
        <row r="1367">
          <cell r="A1367" t="str">
            <v>ETLCUST-05319</v>
          </cell>
          <cell r="B1367" t="str">
            <v>PRIMITEK INDUSTRIES LIMITED</v>
          </cell>
          <cell r="C1367" t="str">
            <v>Md Saim Ali Rezvy</v>
          </cell>
          <cell r="D1367" t="str">
            <v>Corporate</v>
          </cell>
          <cell r="E1367" t="str">
            <v>Corporate</v>
          </cell>
          <cell r="H1367">
            <v>1170400</v>
          </cell>
          <cell r="I1367">
            <v>489176</v>
          </cell>
          <cell r="M1367">
            <v>94000</v>
          </cell>
          <cell r="U1367">
            <v>882200</v>
          </cell>
          <cell r="X1367">
            <v>160600</v>
          </cell>
          <cell r="AF1367">
            <v>9500</v>
          </cell>
          <cell r="AJ1367">
            <v>2050</v>
          </cell>
          <cell r="AP1367">
            <v>115500</v>
          </cell>
          <cell r="AV1367">
            <v>632000</v>
          </cell>
        </row>
        <row r="1368">
          <cell r="A1368" t="str">
            <v>ETLCUST-04895</v>
          </cell>
          <cell r="B1368" t="str">
            <v>PRINTER HOUSE - MANIKGANJ</v>
          </cell>
          <cell r="C1368" t="str">
            <v>Niloy Ghosh</v>
          </cell>
          <cell r="D1368" t="str">
            <v>DHK-EXT</v>
          </cell>
          <cell r="E1368" t="str">
            <v>DHK-EXT</v>
          </cell>
          <cell r="R1368">
            <v>10400</v>
          </cell>
        </row>
        <row r="1369">
          <cell r="A1369" t="str">
            <v>ETLCUST-00309</v>
          </cell>
          <cell r="B1369" t="str">
            <v>PRINTER SOLUTION - MULTIPLAN</v>
          </cell>
          <cell r="C1369" t="str">
            <v>Md Mokshed Ali</v>
          </cell>
          <cell r="D1369" t="str">
            <v>Multiplan</v>
          </cell>
          <cell r="E1369" t="str">
            <v>Multiplan</v>
          </cell>
          <cell r="R1369">
            <v>610000</v>
          </cell>
          <cell r="AT1369">
            <v>294000</v>
          </cell>
        </row>
        <row r="1370">
          <cell r="A1370" t="str">
            <v>ETLCUST-00418</v>
          </cell>
          <cell r="B1370" t="str">
            <v>PRINTER SOLUTION - TANGAIL</v>
          </cell>
          <cell r="C1370" t="str">
            <v>Niloy Ghosh</v>
          </cell>
          <cell r="D1370" t="str">
            <v>DHK-EXT</v>
          </cell>
          <cell r="E1370" t="str">
            <v>DHK-EXT</v>
          </cell>
          <cell r="R1370">
            <v>1401000</v>
          </cell>
        </row>
        <row r="1371">
          <cell r="A1371" t="str">
            <v>ETLCUST-01692</v>
          </cell>
          <cell r="B1371" t="str">
            <v>PRITOM ENTERPRISE - MIRPUR</v>
          </cell>
          <cell r="C1371" t="str">
            <v>Amit Sarker</v>
          </cell>
          <cell r="D1371" t="str">
            <v>IDB</v>
          </cell>
          <cell r="E1371" t="str">
            <v>IDB</v>
          </cell>
          <cell r="AV1371">
            <v>15750</v>
          </cell>
        </row>
        <row r="1372">
          <cell r="A1372" t="str">
            <v>ETLCUST-00370</v>
          </cell>
          <cell r="B1372" t="str">
            <v>PRIYOZON MULTIMEDIA - BADDA</v>
          </cell>
          <cell r="C1372" t="str">
            <v>Jiku Saha</v>
          </cell>
          <cell r="D1372" t="str">
            <v>Uttara</v>
          </cell>
          <cell r="E1372" t="str">
            <v>Uttara</v>
          </cell>
          <cell r="S1372">
            <v>0</v>
          </cell>
          <cell r="AL1372">
            <v>15900</v>
          </cell>
          <cell r="AM1372">
            <v>240500</v>
          </cell>
          <cell r="AQ1372">
            <v>0</v>
          </cell>
          <cell r="BA1372">
            <v>2679625</v>
          </cell>
        </row>
        <row r="1373">
          <cell r="A1373" t="str">
            <v>ETLCUST-00767</v>
          </cell>
          <cell r="B1373" t="str">
            <v>PRO CCTV SOLUTION - MULTIPLAN</v>
          </cell>
          <cell r="C1373" t="str">
            <v>Md Nur Karim Chowdhury</v>
          </cell>
          <cell r="D1373" t="str">
            <v>Multiplan</v>
          </cell>
          <cell r="E1373" t="str">
            <v>Multiplan</v>
          </cell>
          <cell r="T1373">
            <v>914000</v>
          </cell>
          <cell r="U1373">
            <v>8000</v>
          </cell>
          <cell r="X1373">
            <v>2825375</v>
          </cell>
          <cell r="AL1373">
            <v>128270</v>
          </cell>
          <cell r="AM1373">
            <v>425</v>
          </cell>
          <cell r="AQ1373">
            <v>0</v>
          </cell>
          <cell r="AV1373">
            <v>15000</v>
          </cell>
          <cell r="BA1373">
            <v>164500</v>
          </cell>
        </row>
        <row r="1374">
          <cell r="A1374" t="str">
            <v>ETLCUST-04369</v>
          </cell>
          <cell r="B1374" t="str">
            <v>PROJECTOR SERVICE - KAKRAIL</v>
          </cell>
          <cell r="C1374" t="str">
            <v>Hridoy Chandra Das</v>
          </cell>
          <cell r="D1374" t="str">
            <v>Motijheel</v>
          </cell>
          <cell r="E1374" t="str">
            <v>Motijheel</v>
          </cell>
          <cell r="R1374">
            <v>164000</v>
          </cell>
          <cell r="AS1374">
            <v>190000</v>
          </cell>
        </row>
        <row r="1375">
          <cell r="A1375" t="str">
            <v>ETLCUST-05281</v>
          </cell>
          <cell r="B1375" t="str">
            <v xml:space="preserve">PROJUKTI BAZAR - KURIGRAM </v>
          </cell>
          <cell r="C1375" t="str">
            <v>Md. Arif Arman</v>
          </cell>
          <cell r="D1375" t="str">
            <v>North Bengal</v>
          </cell>
          <cell r="E1375" t="str">
            <v>North Bengal</v>
          </cell>
          <cell r="T1375">
            <v>5000</v>
          </cell>
          <cell r="X1375">
            <v>353600</v>
          </cell>
          <cell r="AR1375">
            <v>17100</v>
          </cell>
          <cell r="AZ1375">
            <v>20250</v>
          </cell>
        </row>
        <row r="1376">
          <cell r="A1376" t="str">
            <v>ETLCUST-03887</v>
          </cell>
          <cell r="B1376" t="str">
            <v xml:space="preserve">PROTTASHA ELECTRONICS -SHERPUR </v>
          </cell>
          <cell r="C1376" t="str">
            <v>Md. Sujon Mia</v>
          </cell>
          <cell r="D1376" t="str">
            <v>Mymensingh</v>
          </cell>
          <cell r="E1376" t="str">
            <v>Mymensingh</v>
          </cell>
          <cell r="S1376">
            <v>0</v>
          </cell>
          <cell r="AZ1376">
            <v>107400</v>
          </cell>
          <cell r="BA1376">
            <v>199750</v>
          </cell>
        </row>
        <row r="1377">
          <cell r="A1377" t="str">
            <v>ETLCUST-03459</v>
          </cell>
          <cell r="B1377" t="str">
            <v>PRUDENT COMPUTERS- KUSHITA</v>
          </cell>
          <cell r="C1377" t="str">
            <v>Md Rakibul Islam</v>
          </cell>
          <cell r="D1377" t="str">
            <v>South Bengal</v>
          </cell>
          <cell r="E1377" t="str">
            <v>South Bengal</v>
          </cell>
          <cell r="S1377">
            <v>0</v>
          </cell>
          <cell r="AM1377">
            <v>10650</v>
          </cell>
          <cell r="BA1377">
            <v>115000</v>
          </cell>
        </row>
        <row r="1378">
          <cell r="A1378" t="str">
            <v>ETLCUST-02696</v>
          </cell>
          <cell r="B1378" t="str">
            <v>PUBALI BANK PLC.</v>
          </cell>
          <cell r="C1378" t="str">
            <v>Abu Zahid Sobuj</v>
          </cell>
          <cell r="D1378" t="str">
            <v>Corporate</v>
          </cell>
          <cell r="E1378" t="str">
            <v>Corporate</v>
          </cell>
          <cell r="AD1378">
            <v>11181.82</v>
          </cell>
        </row>
        <row r="1379">
          <cell r="A1379" t="str">
            <v>ETLCUST-03855</v>
          </cell>
          <cell r="B1379" t="str">
            <v>PURBANI GROUP</v>
          </cell>
          <cell r="C1379" t="str">
            <v>Md Saim Ali Rezvy</v>
          </cell>
          <cell r="D1379" t="str">
            <v>Corporate</v>
          </cell>
          <cell r="E1379" t="str">
            <v>Corporate</v>
          </cell>
          <cell r="AA1379">
            <v>154500</v>
          </cell>
        </row>
        <row r="1380">
          <cell r="A1380" t="str">
            <v>ETLCUST-05087</v>
          </cell>
          <cell r="B1380" t="str">
            <v>PURE POWER ELECTRIC &amp; ELECTRONICES - NAWABPUR</v>
          </cell>
          <cell r="C1380" t="str">
            <v>Md Kamrul Hasan Sabuz</v>
          </cell>
          <cell r="D1380" t="str">
            <v>Gulistan</v>
          </cell>
          <cell r="E1380" t="str">
            <v>Gulistan</v>
          </cell>
          <cell r="S1380">
            <v>0</v>
          </cell>
          <cell r="AK1380">
            <v>604200</v>
          </cell>
        </row>
        <row r="1381">
          <cell r="A1381" t="str">
            <v>ETLCUST-03087</v>
          </cell>
          <cell r="B1381" t="str">
            <v>PURNA SATELLITE AND INTERNET ACCESSORIES - CTG</v>
          </cell>
          <cell r="C1381" t="str">
            <v>Titul Dutta</v>
          </cell>
          <cell r="D1381" t="str">
            <v>CTG</v>
          </cell>
          <cell r="E1381" t="str">
            <v>CTG</v>
          </cell>
          <cell r="S1381">
            <v>0</v>
          </cell>
          <cell r="AL1381">
            <v>228695</v>
          </cell>
          <cell r="AM1381">
            <v>224440</v>
          </cell>
          <cell r="AR1381">
            <v>11200</v>
          </cell>
          <cell r="BA1381">
            <v>923945</v>
          </cell>
        </row>
        <row r="1382">
          <cell r="A1382" t="str">
            <v>ETLCUST-03756</v>
          </cell>
          <cell r="B1382" t="str">
            <v>Q7 ENTERPRISE - ISP E.ROAD</v>
          </cell>
          <cell r="C1382" t="str">
            <v>Md. Rony Ahmed</v>
          </cell>
          <cell r="D1382" t="str">
            <v>DHB</v>
          </cell>
          <cell r="E1382" t="str">
            <v>DHB</v>
          </cell>
          <cell r="G1382">
            <v>715000</v>
          </cell>
          <cell r="S1382">
            <v>0</v>
          </cell>
          <cell r="AM1382">
            <v>574000</v>
          </cell>
          <cell r="BA1382">
            <v>3860655</v>
          </cell>
        </row>
        <row r="1383">
          <cell r="A1383" t="str">
            <v>ETLCUST-04651</v>
          </cell>
          <cell r="B1383" t="str">
            <v>QUALITY COMPUTERS - CHAKARIA</v>
          </cell>
          <cell r="C1383" t="str">
            <v>Md. Mamunur Rashid</v>
          </cell>
          <cell r="D1383" t="str">
            <v>CTG</v>
          </cell>
          <cell r="E1383" t="str">
            <v>CTG</v>
          </cell>
          <cell r="G1383">
            <v>11200</v>
          </cell>
          <cell r="P1383">
            <v>51200</v>
          </cell>
          <cell r="R1383">
            <v>41000</v>
          </cell>
          <cell r="T1383">
            <v>39440</v>
          </cell>
          <cell r="V1383">
            <v>27000</v>
          </cell>
          <cell r="X1383">
            <v>416925</v>
          </cell>
          <cell r="AL1383">
            <v>91025</v>
          </cell>
          <cell r="AM1383">
            <v>13590</v>
          </cell>
          <cell r="AO1383">
            <v>46650</v>
          </cell>
          <cell r="BA1383">
            <v>523310</v>
          </cell>
        </row>
        <row r="1384">
          <cell r="A1384" t="str">
            <v>ETLCUST-02375</v>
          </cell>
          <cell r="B1384" t="str">
            <v>QUALITY FEEDS LIMITED</v>
          </cell>
          <cell r="C1384" t="str">
            <v>Rafsan Jani</v>
          </cell>
          <cell r="D1384" t="str">
            <v>Corporate</v>
          </cell>
          <cell r="E1384" t="str">
            <v>Corporate</v>
          </cell>
          <cell r="U1384">
            <v>175950.94</v>
          </cell>
          <cell r="X1384">
            <v>25267.919999999998</v>
          </cell>
        </row>
        <row r="1385">
          <cell r="A1385" t="str">
            <v>ETLCUST-05311</v>
          </cell>
          <cell r="B1385" t="str">
            <v>QUATTRO FASHION LIMITED</v>
          </cell>
          <cell r="C1385" t="str">
            <v>Md. Anisur Rahman</v>
          </cell>
          <cell r="D1385" t="str">
            <v>Corporate</v>
          </cell>
          <cell r="E1385" t="str">
            <v>Corporate</v>
          </cell>
          <cell r="AV1385">
            <v>34736</v>
          </cell>
        </row>
        <row r="1386">
          <cell r="A1386" t="str">
            <v>ETLCUST-03304</v>
          </cell>
          <cell r="B1386" t="str">
            <v>QUICK COMPUTER - KHULNA</v>
          </cell>
          <cell r="C1386" t="str">
            <v>Imrul Rayhan</v>
          </cell>
          <cell r="D1386" t="str">
            <v>Khulna</v>
          </cell>
          <cell r="E1386" t="str">
            <v>Khulna</v>
          </cell>
          <cell r="X1386">
            <v>784460</v>
          </cell>
          <cell r="AJ1386">
            <v>3570</v>
          </cell>
          <cell r="BA1386">
            <v>21100</v>
          </cell>
        </row>
        <row r="1387">
          <cell r="A1387" t="str">
            <v>ETLCUST-01051</v>
          </cell>
          <cell r="B1387" t="str">
            <v>QUICK LINK TECHNOLOGY - CTG</v>
          </cell>
          <cell r="C1387" t="str">
            <v>Juel Mia</v>
          </cell>
          <cell r="D1387" t="str">
            <v>SBU</v>
          </cell>
          <cell r="E1387" t="str">
            <v>SBU</v>
          </cell>
          <cell r="P1387">
            <v>3200</v>
          </cell>
          <cell r="S1387">
            <v>0</v>
          </cell>
          <cell r="T1387">
            <v>4395500</v>
          </cell>
          <cell r="X1387">
            <v>8207250</v>
          </cell>
          <cell r="AL1387">
            <v>4663190</v>
          </cell>
          <cell r="AM1387">
            <v>3568975</v>
          </cell>
          <cell r="AR1387">
            <v>82000</v>
          </cell>
          <cell r="BA1387">
            <v>41307445</v>
          </cell>
        </row>
        <row r="1388">
          <cell r="A1388" t="str">
            <v>ETLCUST-02377</v>
          </cell>
          <cell r="B1388" t="str">
            <v>QUINTET ALLIANCE PVT. LTD. - DHANMONDI</v>
          </cell>
          <cell r="C1388" t="str">
            <v>Md. Abdus Satter</v>
          </cell>
          <cell r="D1388" t="str">
            <v>HO-SI</v>
          </cell>
          <cell r="E1388" t="str">
            <v>HO-SI</v>
          </cell>
          <cell r="I1388">
            <v>104600</v>
          </cell>
        </row>
        <row r="1389">
          <cell r="A1389" t="str">
            <v>ETLCUST-04325</v>
          </cell>
          <cell r="B1389" t="str">
            <v>R H INTERNATIONAL - BAITUL MUKARRAM</v>
          </cell>
          <cell r="C1389" t="str">
            <v>Md. Sahedul Islam</v>
          </cell>
          <cell r="D1389" t="str">
            <v>Motijheel</v>
          </cell>
          <cell r="E1389" t="str">
            <v>Motijheel</v>
          </cell>
          <cell r="T1389">
            <v>764150</v>
          </cell>
          <cell r="X1389">
            <v>789375</v>
          </cell>
        </row>
        <row r="1390">
          <cell r="A1390" t="str">
            <v>ETLCUST-04406</v>
          </cell>
          <cell r="B1390" t="str">
            <v>R N TECHNOLOGY - RANGPUR</v>
          </cell>
          <cell r="C1390" t="str">
            <v>Md. Arif Arman</v>
          </cell>
          <cell r="D1390" t="str">
            <v>North Bengal</v>
          </cell>
          <cell r="E1390" t="str">
            <v>North Bengal</v>
          </cell>
          <cell r="X1390">
            <v>24000</v>
          </cell>
        </row>
        <row r="1391">
          <cell r="A1391" t="str">
            <v>ETLCUST-03947</v>
          </cell>
          <cell r="B1391" t="str">
            <v>R TECH - FARIDPUR</v>
          </cell>
          <cell r="C1391" t="str">
            <v>Hanif shek</v>
          </cell>
          <cell r="D1391" t="str">
            <v>South Bengal</v>
          </cell>
          <cell r="E1391" t="str">
            <v>South Bengal</v>
          </cell>
          <cell r="S1391">
            <v>0</v>
          </cell>
          <cell r="X1391">
            <v>52675</v>
          </cell>
          <cell r="AJ1391">
            <v>52450</v>
          </cell>
          <cell r="BA1391">
            <v>236500</v>
          </cell>
        </row>
        <row r="1392">
          <cell r="A1392" t="str">
            <v>ETLCUST-01429</v>
          </cell>
          <cell r="B1392" t="str">
            <v>R.A COMPUTER AND PRNTER SOLUTIONS - GAZIPUR</v>
          </cell>
          <cell r="C1392" t="str">
            <v>Md. Rahad</v>
          </cell>
          <cell r="D1392" t="str">
            <v>Uttara</v>
          </cell>
          <cell r="E1392" t="str">
            <v>Uttara</v>
          </cell>
          <cell r="R1392">
            <v>1054120</v>
          </cell>
          <cell r="X1392">
            <v>2800</v>
          </cell>
          <cell r="AJ1392">
            <v>104250</v>
          </cell>
          <cell r="BA1392">
            <v>20825</v>
          </cell>
        </row>
        <row r="1393">
          <cell r="A1393" t="str">
            <v>ETLCUST-03682</v>
          </cell>
          <cell r="B1393" t="str">
            <v>R.K COMPUTER SERVICE - FARIDPUR</v>
          </cell>
          <cell r="C1393" t="str">
            <v>Hanif shek</v>
          </cell>
          <cell r="D1393" t="str">
            <v>South Bengal</v>
          </cell>
          <cell r="E1393" t="str">
            <v>South Bengal</v>
          </cell>
          <cell r="Q1393">
            <v>11200</v>
          </cell>
          <cell r="R1393">
            <v>928400</v>
          </cell>
          <cell r="S1393">
            <v>0</v>
          </cell>
          <cell r="AM1393">
            <v>380</v>
          </cell>
          <cell r="BA1393">
            <v>833845</v>
          </cell>
        </row>
        <row r="1394">
          <cell r="A1394" t="str">
            <v>ETLCUST-03871</v>
          </cell>
          <cell r="B1394" t="str">
            <v>R.M COMPUTER - KHULNA</v>
          </cell>
          <cell r="C1394" t="str">
            <v>Imrul Rayhan</v>
          </cell>
          <cell r="D1394" t="str">
            <v>Khulna</v>
          </cell>
          <cell r="E1394" t="str">
            <v>Khulna</v>
          </cell>
          <cell r="X1394">
            <v>100825</v>
          </cell>
          <cell r="AM1394">
            <v>3490</v>
          </cell>
        </row>
        <row r="1395">
          <cell r="A1395" t="str">
            <v>ETLCUST-04394</v>
          </cell>
          <cell r="B1395" t="str">
            <v>R.M. ENTERPRISE - MOTIJHEEL</v>
          </cell>
          <cell r="C1395" t="str">
            <v>Md. Akram Rashid</v>
          </cell>
          <cell r="D1395" t="str">
            <v>Motijheel</v>
          </cell>
          <cell r="E1395" t="str">
            <v>Motijheel</v>
          </cell>
          <cell r="R1395">
            <v>786240</v>
          </cell>
        </row>
        <row r="1396">
          <cell r="A1396" t="str">
            <v>ETLCUST-02794</v>
          </cell>
          <cell r="B1396" t="str">
            <v>R.S. TECHNOLOGIES</v>
          </cell>
          <cell r="C1396" t="str">
            <v>Mohammad Maruf Hasan</v>
          </cell>
          <cell r="D1396" t="str">
            <v>Corporate</v>
          </cell>
          <cell r="E1396" t="str">
            <v>Corporate</v>
          </cell>
          <cell r="U1396">
            <v>125000</v>
          </cell>
          <cell r="X1396">
            <v>657635</v>
          </cell>
          <cell r="AR1396">
            <v>32400</v>
          </cell>
          <cell r="AV1396">
            <v>455400</v>
          </cell>
        </row>
        <row r="1397">
          <cell r="A1397" t="str">
            <v>ETLCUST-01826</v>
          </cell>
          <cell r="B1397" t="str">
            <v>R.T COMPUTER - SHERPUR</v>
          </cell>
          <cell r="C1397" t="str">
            <v>Md. Sujon Mia</v>
          </cell>
          <cell r="D1397" t="str">
            <v>Mymensingh</v>
          </cell>
          <cell r="E1397" t="str">
            <v>Mymensingh</v>
          </cell>
          <cell r="G1397">
            <v>20000</v>
          </cell>
          <cell r="P1397">
            <v>16000</v>
          </cell>
          <cell r="T1397">
            <v>86750</v>
          </cell>
          <cell r="V1397">
            <v>165400</v>
          </cell>
          <cell r="X1397">
            <v>133700</v>
          </cell>
          <cell r="AK1397">
            <v>27200</v>
          </cell>
          <cell r="AL1397">
            <v>15900</v>
          </cell>
          <cell r="AM1397">
            <v>16500</v>
          </cell>
          <cell r="AO1397">
            <v>4125</v>
          </cell>
          <cell r="BA1397">
            <v>256750</v>
          </cell>
        </row>
        <row r="1398">
          <cell r="A1398" t="str">
            <v>ETLCUST-02978</v>
          </cell>
          <cell r="B1398" t="str">
            <v>RABEYA COMPUTER WORLD -NOAKHALI</v>
          </cell>
          <cell r="C1398" t="str">
            <v>Reazuddin</v>
          </cell>
          <cell r="D1398" t="str">
            <v>CTG</v>
          </cell>
          <cell r="E1398" t="str">
            <v>CTG</v>
          </cell>
          <cell r="X1398">
            <v>56650</v>
          </cell>
        </row>
        <row r="1399">
          <cell r="A1399" t="str">
            <v>ETLCUST-02638</v>
          </cell>
          <cell r="B1399" t="str">
            <v xml:space="preserve">RACE ONLINE LTD. </v>
          </cell>
          <cell r="C1399" t="str">
            <v>Liton Biswas</v>
          </cell>
          <cell r="D1399" t="str">
            <v>HO-SI</v>
          </cell>
          <cell r="E1399" t="str">
            <v>HO-SI</v>
          </cell>
          <cell r="G1399">
            <v>1387500</v>
          </cell>
          <cell r="U1399">
            <v>39850</v>
          </cell>
          <cell r="AA1399">
            <v>87500</v>
          </cell>
          <cell r="AR1399">
            <v>70500</v>
          </cell>
          <cell r="BA1399">
            <v>28300</v>
          </cell>
        </row>
        <row r="1400">
          <cell r="A1400" t="str">
            <v>ETLCUST-02379</v>
          </cell>
          <cell r="B1400" t="str">
            <v>RADIANT PHARMACEUTICALS LIMITED</v>
          </cell>
          <cell r="C1400" t="str">
            <v>Sabbir Ahmed</v>
          </cell>
          <cell r="D1400" t="str">
            <v>Corporate</v>
          </cell>
          <cell r="E1400" t="str">
            <v>Corporate</v>
          </cell>
          <cell r="H1400">
            <v>1628000</v>
          </cell>
          <cell r="U1400">
            <v>491500</v>
          </cell>
          <cell r="AJ1400">
            <v>128000</v>
          </cell>
        </row>
        <row r="1401">
          <cell r="A1401" t="str">
            <v>ETLCUST-04450</v>
          </cell>
          <cell r="B1401" t="str">
            <v>RADIO BIPONI ELECTRONICS - B-BARIA</v>
          </cell>
          <cell r="C1401" t="str">
            <v>Md. Imran Miah Khandakar</v>
          </cell>
          <cell r="D1401" t="str">
            <v>Sylhet</v>
          </cell>
          <cell r="E1401" t="str">
            <v>Sylhet</v>
          </cell>
          <cell r="AZ1401">
            <v>19600</v>
          </cell>
        </row>
        <row r="1402">
          <cell r="A1402" t="str">
            <v>ETLCUST-03612</v>
          </cell>
          <cell r="B1402" t="str">
            <v>RADIO CENTER - MYMENSINGH</v>
          </cell>
          <cell r="C1402" t="str">
            <v>Rafiqul Islam Sumon</v>
          </cell>
          <cell r="D1402" t="str">
            <v>Mymensingh</v>
          </cell>
          <cell r="E1402" t="str">
            <v>Mymensingh</v>
          </cell>
          <cell r="AM1402">
            <v>227565</v>
          </cell>
          <cell r="AO1402">
            <v>6750</v>
          </cell>
          <cell r="AQ1402">
            <v>0</v>
          </cell>
          <cell r="BA1402">
            <v>600600</v>
          </cell>
        </row>
        <row r="1403">
          <cell r="A1403" t="str">
            <v>ETLCUST-03665</v>
          </cell>
          <cell r="B1403" t="str">
            <v>RADIYA COMPUTER - BARISAL</v>
          </cell>
          <cell r="C1403" t="str">
            <v>Md. Aminul Islam</v>
          </cell>
          <cell r="D1403" t="str">
            <v>South Bengal</v>
          </cell>
          <cell r="E1403" t="str">
            <v>South Bengal</v>
          </cell>
          <cell r="X1403">
            <v>116250</v>
          </cell>
          <cell r="AJ1403">
            <v>12000</v>
          </cell>
          <cell r="AL1403">
            <v>5830</v>
          </cell>
        </row>
        <row r="1404">
          <cell r="A1404" t="str">
            <v>ETLCUST-05272</v>
          </cell>
          <cell r="B1404" t="str">
            <v>RAFI COMPUTER - B.Baria</v>
          </cell>
          <cell r="C1404" t="str">
            <v>Md. Imran Miah Khandakar</v>
          </cell>
          <cell r="D1404" t="str">
            <v>Sylhet</v>
          </cell>
          <cell r="E1404" t="str">
            <v>Sylhet</v>
          </cell>
          <cell r="T1404">
            <v>16000</v>
          </cell>
        </row>
        <row r="1405">
          <cell r="A1405" t="str">
            <v>ETLCUST-05148</v>
          </cell>
          <cell r="B1405" t="str">
            <v>RAFI ELECTRONICS - PATKELGATHA</v>
          </cell>
          <cell r="C1405" t="str">
            <v>Imrul Rayhan</v>
          </cell>
          <cell r="D1405" t="str">
            <v>Khulna</v>
          </cell>
          <cell r="E1405" t="str">
            <v>Khulna</v>
          </cell>
          <cell r="G1405">
            <v>30000</v>
          </cell>
          <cell r="S1405">
            <v>0</v>
          </cell>
          <cell r="X1405">
            <v>127500</v>
          </cell>
          <cell r="AL1405">
            <v>12720</v>
          </cell>
          <cell r="AQ1405">
            <v>0</v>
          </cell>
          <cell r="BA1405">
            <v>365675</v>
          </cell>
        </row>
        <row r="1406">
          <cell r="A1406" t="str">
            <v>ETLCUST-05437</v>
          </cell>
          <cell r="B1406" t="str">
            <v>RAFI ENTERPRISE - MOHADEVPUR</v>
          </cell>
          <cell r="C1406" t="str">
            <v>Md. Abu Basar</v>
          </cell>
          <cell r="D1406" t="str">
            <v>North Bengal</v>
          </cell>
          <cell r="E1406" t="str">
            <v>North Bengal</v>
          </cell>
          <cell r="R1406">
            <v>26600</v>
          </cell>
        </row>
        <row r="1407">
          <cell r="A1407" t="str">
            <v>ETLCUST-04829</v>
          </cell>
          <cell r="B1407" t="str">
            <v>RAFIN TELECOM - GULISTAN</v>
          </cell>
          <cell r="C1407" t="str">
            <v>Md Kamrul Hasan Sabuz</v>
          </cell>
          <cell r="D1407" t="str">
            <v>Gulistan</v>
          </cell>
          <cell r="E1407" t="str">
            <v>Gulistan</v>
          </cell>
          <cell r="AZ1407">
            <v>557300</v>
          </cell>
        </row>
        <row r="1408">
          <cell r="A1408" t="str">
            <v>ETLCUST-04078</v>
          </cell>
          <cell r="B1408" t="str">
            <v>RAHATH TECHNOLOGY - SYLHET</v>
          </cell>
          <cell r="C1408" t="str">
            <v>Kunjaraj Singha</v>
          </cell>
          <cell r="D1408" t="str">
            <v>Sylhet</v>
          </cell>
          <cell r="E1408" t="str">
            <v>Sylhet</v>
          </cell>
          <cell r="G1408">
            <v>244000</v>
          </cell>
          <cell r="S1408">
            <v>0</v>
          </cell>
          <cell r="T1408">
            <v>1384300</v>
          </cell>
          <cell r="X1408">
            <v>6799650</v>
          </cell>
          <cell r="AK1408">
            <v>38000</v>
          </cell>
          <cell r="AL1408">
            <v>826220</v>
          </cell>
          <cell r="AM1408">
            <v>116000</v>
          </cell>
          <cell r="AT1408">
            <v>10800</v>
          </cell>
          <cell r="BA1408">
            <v>9721310</v>
          </cell>
        </row>
        <row r="1409">
          <cell r="A1409" t="str">
            <v>ETLCUST-04701</v>
          </cell>
          <cell r="B1409" t="str">
            <v>RAHMAN RAHMAN HUQ, CHARTERED ACCOUNTANTS</v>
          </cell>
          <cell r="C1409" t="str">
            <v>Md. Zakaria</v>
          </cell>
          <cell r="D1409" t="str">
            <v>Tender</v>
          </cell>
          <cell r="E1409" t="str">
            <v>Tender</v>
          </cell>
          <cell r="S1409">
            <v>22663.559999999998</v>
          </cell>
          <cell r="U1409">
            <v>3150</v>
          </cell>
          <cell r="X1409">
            <v>204727.22000000003</v>
          </cell>
          <cell r="AV1409">
            <v>19022.73</v>
          </cell>
          <cell r="AY1409">
            <v>17982.650000000001</v>
          </cell>
          <cell r="BA1409">
            <v>41504.550000000003</v>
          </cell>
        </row>
        <row r="1410">
          <cell r="A1410" t="str">
            <v>ETLCUST-04625</v>
          </cell>
          <cell r="B1410" t="str">
            <v xml:space="preserve">RAIFA COMPUTER - MULTIPLAN </v>
          </cell>
          <cell r="C1410" t="str">
            <v>Md. Anamul Hoque</v>
          </cell>
          <cell r="D1410" t="str">
            <v>Multiplan</v>
          </cell>
          <cell r="E1410" t="str">
            <v>Multiplan</v>
          </cell>
          <cell r="R1410">
            <v>4160</v>
          </cell>
        </row>
        <row r="1411">
          <cell r="A1411" t="str">
            <v>ETLCUST-02952</v>
          </cell>
          <cell r="B1411" t="str">
            <v>RAIN COMPUTERS - MULTIPLAN</v>
          </cell>
          <cell r="C1411" t="str">
            <v>Md Mokshed Ali</v>
          </cell>
          <cell r="D1411" t="str">
            <v>Multiplan</v>
          </cell>
          <cell r="E1411" t="str">
            <v>Multiplan</v>
          </cell>
          <cell r="AV1411">
            <v>254000</v>
          </cell>
        </row>
        <row r="1412">
          <cell r="A1412" t="str">
            <v>ETLCUST-04294</v>
          </cell>
          <cell r="B1412" t="str">
            <v>RAINBOW NETWORK - BOGURA</v>
          </cell>
          <cell r="C1412" t="str">
            <v>Md. Raihan Shohag</v>
          </cell>
          <cell r="D1412" t="str">
            <v>North Bengal</v>
          </cell>
          <cell r="E1412" t="str">
            <v>North Bengal</v>
          </cell>
          <cell r="AR1412">
            <v>5600</v>
          </cell>
          <cell r="BA1412">
            <v>147140</v>
          </cell>
        </row>
        <row r="1413">
          <cell r="A1413" t="str">
            <v>ETLCUST-04152</v>
          </cell>
          <cell r="B1413" t="str">
            <v>RAJ ENTERPRISE - NAWABPUR</v>
          </cell>
          <cell r="C1413" t="str">
            <v>Noor Hossain</v>
          </cell>
          <cell r="D1413" t="str">
            <v>Gulistan</v>
          </cell>
          <cell r="E1413" t="str">
            <v>Gulistan</v>
          </cell>
          <cell r="G1413">
            <v>112000</v>
          </cell>
          <cell r="S1413">
            <v>0</v>
          </cell>
          <cell r="AL1413">
            <v>304500</v>
          </cell>
          <cell r="AM1413">
            <v>4345760</v>
          </cell>
          <cell r="AQ1413">
            <v>0</v>
          </cell>
          <cell r="BA1413">
            <v>16627015</v>
          </cell>
        </row>
        <row r="1414">
          <cell r="A1414" t="str">
            <v>ETLCUST-01896</v>
          </cell>
          <cell r="B1414" t="str">
            <v>RAJ TIMESTECH - SUVASTU ARCADE</v>
          </cell>
          <cell r="C1414" t="str">
            <v>Md. Abdus Satter</v>
          </cell>
          <cell r="D1414" t="str">
            <v>HO-SI</v>
          </cell>
          <cell r="E1414" t="str">
            <v>HO-SI</v>
          </cell>
          <cell r="U1414">
            <v>40000</v>
          </cell>
          <cell r="X1414">
            <v>13191300</v>
          </cell>
          <cell r="AR1414">
            <v>4700</v>
          </cell>
          <cell r="AV1414">
            <v>64800</v>
          </cell>
          <cell r="AY1414">
            <v>5000</v>
          </cell>
          <cell r="BA1414">
            <v>55650</v>
          </cell>
        </row>
        <row r="1415">
          <cell r="A1415" t="str">
            <v>ETLCUST-01376</v>
          </cell>
          <cell r="B1415" t="str">
            <v>RAJIB COMPUTER AND PAPER HOUSE- GOPALGONJ</v>
          </cell>
          <cell r="C1415" t="str">
            <v>Hanif shek</v>
          </cell>
          <cell r="D1415" t="str">
            <v>South Bengal</v>
          </cell>
          <cell r="E1415" t="str">
            <v>South Bengal</v>
          </cell>
          <cell r="G1415">
            <v>43100</v>
          </cell>
          <cell r="L1415">
            <v>25800</v>
          </cell>
          <cell r="P1415">
            <v>12800</v>
          </cell>
          <cell r="T1415">
            <v>35650</v>
          </cell>
          <cell r="X1415">
            <v>208025</v>
          </cell>
          <cell r="AJ1415">
            <v>32100</v>
          </cell>
          <cell r="AM1415">
            <v>31000</v>
          </cell>
          <cell r="BA1415">
            <v>366685</v>
          </cell>
        </row>
        <row r="1416">
          <cell r="A1416" t="str">
            <v>ETLCUST-02974</v>
          </cell>
          <cell r="B1416" t="str">
            <v>RAJSHAHI IT SOLUTION - RAJSHAHI</v>
          </cell>
          <cell r="C1416" t="str">
            <v>Ahmed Bulbul</v>
          </cell>
          <cell r="D1416" t="str">
            <v>Rajshahi</v>
          </cell>
          <cell r="E1416" t="str">
            <v>Rajshahi</v>
          </cell>
          <cell r="L1416">
            <v>10000</v>
          </cell>
        </row>
        <row r="1417">
          <cell r="A1417" t="str">
            <v>ETLCUST-04940</v>
          </cell>
          <cell r="B1417" t="str">
            <v>RAJSHAHI KRISHI UNNAYAN BANK</v>
          </cell>
          <cell r="C1417" t="str">
            <v>Al Imran Hasan</v>
          </cell>
          <cell r="D1417" t="str">
            <v>Tender</v>
          </cell>
          <cell r="E1417" t="str">
            <v>Tender</v>
          </cell>
          <cell r="R1417">
            <v>15000</v>
          </cell>
        </row>
        <row r="1418">
          <cell r="A1418" t="str">
            <v>ETLCUST-05154</v>
          </cell>
          <cell r="B1418" t="str">
            <v>RAJSHAHI UNIVERSITY OF ENGINEERING &amp; TECHNOLOGY (RUET)</v>
          </cell>
          <cell r="C1418" t="str">
            <v>Al Imran Hasan</v>
          </cell>
          <cell r="D1418" t="str">
            <v>Tender</v>
          </cell>
          <cell r="E1418" t="str">
            <v>Tender</v>
          </cell>
          <cell r="R1418">
            <v>164000</v>
          </cell>
          <cell r="S1418">
            <v>2631241.4</v>
          </cell>
          <cell r="U1418">
            <v>158000</v>
          </cell>
          <cell r="X1418">
            <v>8076001.1000000006</v>
          </cell>
          <cell r="AK1418">
            <v>277948.11</v>
          </cell>
        </row>
        <row r="1419">
          <cell r="A1419" t="str">
            <v>ETLCUST-04204</v>
          </cell>
          <cell r="B1419" t="str">
            <v>RAMISA COMPUTER - RAJBARI</v>
          </cell>
          <cell r="C1419" t="str">
            <v>Hanif shek</v>
          </cell>
          <cell r="D1419" t="str">
            <v>South Bengal</v>
          </cell>
          <cell r="E1419" t="str">
            <v>South Bengal</v>
          </cell>
          <cell r="P1419">
            <v>68700</v>
          </cell>
          <cell r="R1419">
            <v>218500</v>
          </cell>
          <cell r="X1419">
            <v>110825</v>
          </cell>
          <cell r="AL1419">
            <v>31270</v>
          </cell>
          <cell r="AM1419">
            <v>1520</v>
          </cell>
          <cell r="BA1419">
            <v>622960</v>
          </cell>
        </row>
        <row r="1420">
          <cell r="A1420" t="str">
            <v>ETLCUST-03820</v>
          </cell>
          <cell r="B1420" t="str">
            <v>RANA COMPUTER - KUSHTIA</v>
          </cell>
          <cell r="C1420" t="str">
            <v>Md Rakibul Islam</v>
          </cell>
          <cell r="D1420" t="str">
            <v>South Bengal</v>
          </cell>
          <cell r="E1420" t="str">
            <v>South Bengal</v>
          </cell>
          <cell r="G1420">
            <v>8400</v>
          </cell>
          <cell r="X1420">
            <v>135000</v>
          </cell>
          <cell r="AP1420">
            <v>30500</v>
          </cell>
        </row>
        <row r="1421">
          <cell r="A1421" t="str">
            <v>ETLCUST-04130</v>
          </cell>
          <cell r="B1421" t="str">
            <v>RANA ELECTRONICS - B. MUKARRAM</v>
          </cell>
          <cell r="C1421" t="str">
            <v>Md. Sahedul Islam</v>
          </cell>
          <cell r="D1421" t="str">
            <v>Motijheel</v>
          </cell>
          <cell r="E1421" t="str">
            <v>Motijheel</v>
          </cell>
          <cell r="R1421">
            <v>16500</v>
          </cell>
          <cell r="U1421">
            <v>48540</v>
          </cell>
        </row>
        <row r="1422">
          <cell r="A1422" t="str">
            <v>ETLCUST-03790</v>
          </cell>
          <cell r="B1422" t="str">
            <v>RANA ENTERPRISE - KHULNA</v>
          </cell>
          <cell r="C1422" t="str">
            <v>Imrul Rayhan</v>
          </cell>
          <cell r="D1422" t="str">
            <v>Khulna</v>
          </cell>
          <cell r="E1422" t="str">
            <v>Khulna</v>
          </cell>
          <cell r="G1422">
            <v>28000</v>
          </cell>
          <cell r="S1422">
            <v>0</v>
          </cell>
          <cell r="AM1422">
            <v>9630</v>
          </cell>
          <cell r="BA1422">
            <v>279250</v>
          </cell>
        </row>
        <row r="1423">
          <cell r="A1423" t="str">
            <v>ETLCUST-05444</v>
          </cell>
          <cell r="B1423" t="str">
            <v>RANCON SEA FISHING LIMITED</v>
          </cell>
          <cell r="C1423" t="str">
            <v>Akter Hossen Nishan</v>
          </cell>
          <cell r="D1423" t="str">
            <v>Corporate</v>
          </cell>
          <cell r="E1423" t="str">
            <v>Corporate</v>
          </cell>
          <cell r="BA1423">
            <v>43848</v>
          </cell>
        </row>
        <row r="1424">
          <cell r="A1424" t="str">
            <v>ETLCUST-00614</v>
          </cell>
          <cell r="B1424" t="str">
            <v>RANGPUR COMPUTER CENTRE - RANGPUR</v>
          </cell>
          <cell r="C1424" t="str">
            <v>Md Abdullah Al Mamun</v>
          </cell>
          <cell r="D1424" t="str">
            <v>North Bengal</v>
          </cell>
          <cell r="E1424" t="str">
            <v>North Bengal</v>
          </cell>
          <cell r="P1424">
            <v>12800</v>
          </cell>
          <cell r="BA1424">
            <v>7350</v>
          </cell>
        </row>
        <row r="1425">
          <cell r="A1425" t="str">
            <v>ETLCUST-02383</v>
          </cell>
          <cell r="B1425" t="str">
            <v>RANKS ITT LTD.</v>
          </cell>
          <cell r="C1425" t="str">
            <v>Shakil Ahmed</v>
          </cell>
          <cell r="D1425" t="str">
            <v>Corporate</v>
          </cell>
          <cell r="E1425" t="str">
            <v>Corporate</v>
          </cell>
          <cell r="AA1425">
            <v>214200</v>
          </cell>
          <cell r="AV1425">
            <v>102310.92000000001</v>
          </cell>
          <cell r="BA1425">
            <v>16843.64</v>
          </cell>
        </row>
        <row r="1426">
          <cell r="A1426" t="str">
            <v>ETLCUST-05231</v>
          </cell>
          <cell r="B1426" t="str">
            <v>RAPID PACK LIMITED</v>
          </cell>
          <cell r="C1426" t="str">
            <v>Hasibul Hasan Symoon</v>
          </cell>
          <cell r="D1426" t="str">
            <v>Corporate</v>
          </cell>
          <cell r="E1426" t="str">
            <v>Corporate</v>
          </cell>
          <cell r="S1426">
            <v>733028</v>
          </cell>
          <cell r="X1426">
            <v>46800</v>
          </cell>
          <cell r="AY1426">
            <v>170600</v>
          </cell>
        </row>
        <row r="1427">
          <cell r="A1427" t="str">
            <v>ETLCUST-00327</v>
          </cell>
          <cell r="B1427" t="str">
            <v>RAPID TECHNOLOGIES - GULSHAN</v>
          </cell>
          <cell r="C1427" t="str">
            <v>Jiku Saha</v>
          </cell>
          <cell r="D1427" t="str">
            <v>Uttara</v>
          </cell>
          <cell r="E1427" t="str">
            <v>Uttara</v>
          </cell>
          <cell r="F1427">
            <v>275000</v>
          </cell>
          <cell r="Q1427">
            <v>890</v>
          </cell>
          <cell r="AV1427">
            <v>165000</v>
          </cell>
        </row>
        <row r="1428">
          <cell r="A1428" t="str">
            <v>ETLCUST-00566</v>
          </cell>
          <cell r="B1428" t="str">
            <v>RASA TECHNOLOGIES - MOGBAZAR</v>
          </cell>
          <cell r="C1428" t="str">
            <v>Md Saim Ali Rezvy</v>
          </cell>
          <cell r="D1428" t="str">
            <v>Corporate</v>
          </cell>
          <cell r="E1428" t="str">
            <v>Corporate</v>
          </cell>
          <cell r="I1428">
            <v>792000</v>
          </cell>
          <cell r="AR1428">
            <v>22000</v>
          </cell>
          <cell r="AV1428">
            <v>750000</v>
          </cell>
          <cell r="BA1428">
            <v>0</v>
          </cell>
        </row>
        <row r="1429">
          <cell r="A1429" t="str">
            <v>ETLCUST-04438</v>
          </cell>
          <cell r="B1429" t="str">
            <v>RASEL COMPUTER - JOYPURHAT</v>
          </cell>
          <cell r="C1429" t="str">
            <v>Md. Raihan Shohag</v>
          </cell>
          <cell r="D1429" t="str">
            <v>North Bengal</v>
          </cell>
          <cell r="E1429" t="str">
            <v>North Bengal</v>
          </cell>
          <cell r="S1429">
            <v>0</v>
          </cell>
          <cell r="BA1429">
            <v>446815</v>
          </cell>
        </row>
        <row r="1430">
          <cell r="A1430" t="str">
            <v>ETLCUST-01420</v>
          </cell>
          <cell r="B1430" t="str">
            <v>RASEL ELECTRONICS STORE - GAZIPUR</v>
          </cell>
          <cell r="C1430" t="str">
            <v>Md. Rahad</v>
          </cell>
          <cell r="D1430" t="str">
            <v>Uttara</v>
          </cell>
          <cell r="E1430" t="str">
            <v>Uttara</v>
          </cell>
          <cell r="G1430">
            <v>212000</v>
          </cell>
          <cell r="S1430">
            <v>0</v>
          </cell>
          <cell r="T1430">
            <v>398000</v>
          </cell>
          <cell r="X1430">
            <v>509750</v>
          </cell>
          <cell r="AL1430">
            <v>159100</v>
          </cell>
          <cell r="AM1430">
            <v>973450</v>
          </cell>
          <cell r="AQ1430">
            <v>0</v>
          </cell>
          <cell r="BA1430">
            <v>2310290</v>
          </cell>
        </row>
        <row r="1431">
          <cell r="A1431" t="str">
            <v>ETLCUST-05329</v>
          </cell>
          <cell r="B1431" t="str">
            <v>RAY POWER HOME - GULISTAN</v>
          </cell>
          <cell r="C1431" t="str">
            <v>Md Kamrul Hasan Sabuz</v>
          </cell>
          <cell r="D1431" t="str">
            <v>Gulistan</v>
          </cell>
          <cell r="E1431" t="str">
            <v>Gulistan</v>
          </cell>
          <cell r="AK1431">
            <v>154900</v>
          </cell>
        </row>
        <row r="1432">
          <cell r="A1432" t="str">
            <v>ETLCUST-04323</v>
          </cell>
          <cell r="B1432" t="str">
            <v>RAYA IT COMPUTER AND CC CAMERA - MYMENSINGH</v>
          </cell>
          <cell r="C1432" t="str">
            <v>Rafiqul Islam Sumon</v>
          </cell>
          <cell r="D1432" t="str">
            <v>Mymensingh</v>
          </cell>
          <cell r="E1432" t="str">
            <v>Mymensingh</v>
          </cell>
          <cell r="L1432">
            <v>155500</v>
          </cell>
          <cell r="BA1432">
            <v>106210</v>
          </cell>
        </row>
        <row r="1433">
          <cell r="A1433" t="str">
            <v>ETLCUST-04932</v>
          </cell>
          <cell r="B1433" t="str">
            <v>RAYAN TECH BD - E.ROAD</v>
          </cell>
          <cell r="C1433" t="str">
            <v>Md Shamim Miah</v>
          </cell>
          <cell r="D1433" t="str">
            <v>DHB</v>
          </cell>
          <cell r="E1433" t="str">
            <v>DHB</v>
          </cell>
          <cell r="H1433">
            <v>239500</v>
          </cell>
          <cell r="I1433">
            <v>2044400</v>
          </cell>
          <cell r="AZ1433">
            <v>5100</v>
          </cell>
        </row>
        <row r="1434">
          <cell r="A1434" t="str">
            <v>ETLCUST-00770</v>
          </cell>
          <cell r="B1434" t="str">
            <v>RAYDHA TECHNOLOGY - MULTIPLAN</v>
          </cell>
          <cell r="C1434" t="str">
            <v>Mohammad Mostofa</v>
          </cell>
          <cell r="D1434" t="str">
            <v>Multiplan</v>
          </cell>
          <cell r="E1434" t="str">
            <v>Multiplan</v>
          </cell>
          <cell r="AF1434">
            <v>-14500</v>
          </cell>
        </row>
        <row r="1435">
          <cell r="A1435" t="str">
            <v>ETLCUST-00904</v>
          </cell>
          <cell r="B1435" t="str">
            <v>RAYHAN DIGITAL COLOR LAB - KUSHTIA</v>
          </cell>
          <cell r="C1435" t="str">
            <v>Md Rakibul Islam</v>
          </cell>
          <cell r="D1435" t="str">
            <v>South Bengal</v>
          </cell>
          <cell r="E1435" t="str">
            <v>South Bengal</v>
          </cell>
          <cell r="R1435">
            <v>10000</v>
          </cell>
        </row>
        <row r="1436">
          <cell r="A1436" t="str">
            <v>ETLCUST-03367</v>
          </cell>
          <cell r="B1436" t="str">
            <v>RAYMAX TECHNOLOGY - CUMILLA</v>
          </cell>
          <cell r="C1436" t="str">
            <v>Nazmul Amin Sajib</v>
          </cell>
          <cell r="D1436" t="str">
            <v>CTG</v>
          </cell>
          <cell r="E1436" t="str">
            <v>CTG</v>
          </cell>
          <cell r="T1436">
            <v>134250</v>
          </cell>
          <cell r="X1436">
            <v>135150</v>
          </cell>
        </row>
        <row r="1437">
          <cell r="A1437" t="str">
            <v>ETLCUST-04923</v>
          </cell>
          <cell r="B1437" t="str">
            <v>RAZASAN TECHNOLOGY - E.ROAD</v>
          </cell>
          <cell r="C1437" t="str">
            <v>Md. Razan Hossain</v>
          </cell>
          <cell r="D1437" t="str">
            <v>DHB</v>
          </cell>
          <cell r="E1437" t="str">
            <v>DHB</v>
          </cell>
          <cell r="R1437">
            <v>3630000</v>
          </cell>
        </row>
        <row r="1438">
          <cell r="A1438" t="str">
            <v>ETLCUST-00073</v>
          </cell>
          <cell r="B1438" t="str">
            <v>RAZU ENTERPRISE - ASHULIA</v>
          </cell>
          <cell r="C1438" t="str">
            <v>Biplop Kumar</v>
          </cell>
          <cell r="D1438" t="str">
            <v>DHK-EXT</v>
          </cell>
          <cell r="E1438" t="str">
            <v>DHK-EXT</v>
          </cell>
          <cell r="Q1438">
            <v>890</v>
          </cell>
        </row>
        <row r="1439">
          <cell r="A1439" t="str">
            <v>ETLCUST-02625</v>
          </cell>
          <cell r="B1439" t="str">
            <v>RAZZAK ELECTRONICS - NATORE</v>
          </cell>
          <cell r="C1439" t="str">
            <v>Md. Abu Basar</v>
          </cell>
          <cell r="D1439" t="str">
            <v>Rajshahi</v>
          </cell>
          <cell r="E1439" t="str">
            <v>Rajshahi</v>
          </cell>
          <cell r="G1439">
            <v>40800</v>
          </cell>
          <cell r="S1439">
            <v>0</v>
          </cell>
          <cell r="AM1439">
            <v>30650</v>
          </cell>
          <cell r="BA1439">
            <v>312705</v>
          </cell>
        </row>
        <row r="1440">
          <cell r="A1440" t="str">
            <v>ETLCUST-03719</v>
          </cell>
          <cell r="B1440" t="str">
            <v>RAZZAK ELECTRONICS - SIRAJGANJ</v>
          </cell>
          <cell r="C1440" t="str">
            <v>Md. Raihan Shohag</v>
          </cell>
          <cell r="D1440" t="str">
            <v>North Bengal</v>
          </cell>
          <cell r="E1440" t="str">
            <v>North Bengal</v>
          </cell>
          <cell r="S1440">
            <v>0</v>
          </cell>
          <cell r="AM1440">
            <v>7380</v>
          </cell>
          <cell r="BA1440">
            <v>502140</v>
          </cell>
        </row>
        <row r="1441">
          <cell r="A1441" t="str">
            <v>ETLCUST-04566</v>
          </cell>
          <cell r="B1441" t="str">
            <v>RE CABLE NETWORK - RAJSHAHI</v>
          </cell>
          <cell r="C1441" t="str">
            <v>Md Moniruzzaman Masum</v>
          </cell>
          <cell r="D1441" t="str">
            <v>Rajshahi</v>
          </cell>
          <cell r="E1441" t="str">
            <v>Rajshahi</v>
          </cell>
          <cell r="S1441">
            <v>0</v>
          </cell>
          <cell r="AM1441">
            <v>112820</v>
          </cell>
          <cell r="BA1441">
            <v>496800</v>
          </cell>
        </row>
        <row r="1442">
          <cell r="A1442" t="str">
            <v>ETLCUST-00211</v>
          </cell>
          <cell r="B1442" t="str">
            <v>REAL COMPUTER - E.ROAD</v>
          </cell>
          <cell r="C1442" t="str">
            <v>Md Rabiul Islam</v>
          </cell>
          <cell r="D1442" t="str">
            <v>DHB</v>
          </cell>
          <cell r="E1442" t="str">
            <v>DHB</v>
          </cell>
          <cell r="X1442">
            <v>122000</v>
          </cell>
          <cell r="AO1442">
            <v>653300</v>
          </cell>
        </row>
        <row r="1443">
          <cell r="A1443" t="str">
            <v>ETLCUST-03636</v>
          </cell>
          <cell r="B1443" t="str">
            <v>REAL TECH SOLUTIONS - CTG</v>
          </cell>
          <cell r="C1443" t="str">
            <v>Manjurul Huda Parvez</v>
          </cell>
          <cell r="D1443" t="str">
            <v>CTG</v>
          </cell>
          <cell r="E1443" t="str">
            <v>CTG</v>
          </cell>
          <cell r="Q1443">
            <v>890</v>
          </cell>
          <cell r="AF1443">
            <v>665000</v>
          </cell>
          <cell r="BA1443">
            <v>2840</v>
          </cell>
        </row>
        <row r="1444">
          <cell r="A1444" t="str">
            <v>ETLCUST-05110</v>
          </cell>
          <cell r="B1444" t="str">
            <v>RED DATA (PVT.) LTD- Gulshan</v>
          </cell>
          <cell r="C1444" t="str">
            <v>Md Tanjilur Rakib</v>
          </cell>
          <cell r="D1444" t="str">
            <v>HO-SI</v>
          </cell>
          <cell r="E1444" t="str">
            <v>HO-SI</v>
          </cell>
          <cell r="P1444">
            <v>3200</v>
          </cell>
          <cell r="U1444">
            <v>213050</v>
          </cell>
          <cell r="Y1444">
            <v>150000</v>
          </cell>
          <cell r="AA1444">
            <v>103050</v>
          </cell>
        </row>
        <row r="1445">
          <cell r="A1445" t="str">
            <v>ETLCUST-04093</v>
          </cell>
          <cell r="B1445" t="str">
            <v>RED OFFICE SUPPLIES LTD.</v>
          </cell>
          <cell r="C1445" t="str">
            <v>Sabbir Ahmed</v>
          </cell>
          <cell r="D1445" t="str">
            <v>Corporate</v>
          </cell>
          <cell r="E1445" t="str">
            <v>Corporate</v>
          </cell>
          <cell r="X1445">
            <v>2060400</v>
          </cell>
        </row>
        <row r="1446">
          <cell r="A1446" t="str">
            <v>ETLCUST-01973</v>
          </cell>
          <cell r="B1446" t="str">
            <v>REGENCY GARMENTS LTD</v>
          </cell>
          <cell r="C1446" t="str">
            <v>Sayed Golam Murtuza</v>
          </cell>
          <cell r="D1446" t="str">
            <v>Corporate</v>
          </cell>
          <cell r="E1446" t="str">
            <v>Corporate</v>
          </cell>
          <cell r="M1446">
            <v>31500</v>
          </cell>
          <cell r="S1446">
            <v>619450</v>
          </cell>
          <cell r="X1446">
            <v>210900</v>
          </cell>
          <cell r="AU1446">
            <v>12640</v>
          </cell>
          <cell r="AW1446">
            <v>0</v>
          </cell>
          <cell r="AY1446">
            <v>101641.51000000001</v>
          </cell>
        </row>
        <row r="1447">
          <cell r="A1447" t="str">
            <v>ETLCUST-01279</v>
          </cell>
          <cell r="B1447" t="str">
            <v>REGENCY TECHNOLOGIES - NETRAKONA</v>
          </cell>
          <cell r="C1447" t="str">
            <v>Rafiqul Islam Sumon</v>
          </cell>
          <cell r="D1447" t="str">
            <v>Mymensingh</v>
          </cell>
          <cell r="E1447" t="str">
            <v>Mymensingh</v>
          </cell>
          <cell r="P1447">
            <v>32000</v>
          </cell>
          <cell r="R1447">
            <v>1584000</v>
          </cell>
          <cell r="S1447">
            <v>0</v>
          </cell>
          <cell r="X1447">
            <v>392300</v>
          </cell>
          <cell r="AJ1447">
            <v>33600</v>
          </cell>
          <cell r="AK1447">
            <v>141000</v>
          </cell>
          <cell r="AL1447">
            <v>49050</v>
          </cell>
          <cell r="AM1447">
            <v>144720</v>
          </cell>
          <cell r="AR1447">
            <v>136710</v>
          </cell>
          <cell r="BA1447">
            <v>2058965</v>
          </cell>
        </row>
        <row r="1448">
          <cell r="A1448" t="str">
            <v>ETLCUST-00272</v>
          </cell>
          <cell r="B1448" t="str">
            <v>RELATION IT - SREEMONGAL</v>
          </cell>
          <cell r="C1448" t="str">
            <v>Amit Das</v>
          </cell>
          <cell r="D1448" t="str">
            <v>Sylhet</v>
          </cell>
          <cell r="E1448" t="str">
            <v>Sylhet</v>
          </cell>
          <cell r="T1448">
            <v>266400</v>
          </cell>
          <cell r="X1448">
            <v>457650</v>
          </cell>
          <cell r="AL1448">
            <v>253790</v>
          </cell>
          <cell r="AT1448">
            <v>22000</v>
          </cell>
          <cell r="BA1448">
            <v>264615</v>
          </cell>
        </row>
        <row r="1449">
          <cell r="A1449" t="str">
            <v>ETLCUST-05371</v>
          </cell>
          <cell r="B1449" t="str">
            <v>RELIANCE</v>
          </cell>
          <cell r="C1449" t="str">
            <v>Samiran Chandra Biswas</v>
          </cell>
          <cell r="D1449" t="str">
            <v>Corporate</v>
          </cell>
          <cell r="E1449" t="str">
            <v>Corporate</v>
          </cell>
          <cell r="BA1449">
            <v>34750</v>
          </cell>
        </row>
        <row r="1450">
          <cell r="A1450" t="str">
            <v>ETLCUST-03626</v>
          </cell>
          <cell r="B1450" t="str">
            <v>RELIEF VALIDATION LIMITED</v>
          </cell>
          <cell r="C1450" t="str">
            <v>Shakil Ahmed</v>
          </cell>
          <cell r="D1450" t="str">
            <v>Corporate</v>
          </cell>
          <cell r="E1450" t="str">
            <v>Corporate</v>
          </cell>
          <cell r="U1450">
            <v>-35625</v>
          </cell>
        </row>
        <row r="1451">
          <cell r="A1451" t="str">
            <v>ETLCUST-04979</v>
          </cell>
          <cell r="B1451" t="str">
            <v>REMEX INGREDIENT SOLUTION</v>
          </cell>
          <cell r="C1451" t="str">
            <v>Hasibul Hasan Symoon</v>
          </cell>
          <cell r="D1451" t="str">
            <v>Corporate</v>
          </cell>
          <cell r="E1451" t="str">
            <v>Corporate</v>
          </cell>
          <cell r="R1451">
            <v>21000</v>
          </cell>
        </row>
        <row r="1452">
          <cell r="A1452" t="str">
            <v>ETLCUST-02387</v>
          </cell>
          <cell r="B1452" t="str">
            <v>REMI HOLDINGS LTD</v>
          </cell>
          <cell r="C1452" t="str">
            <v>Ashraful Islam</v>
          </cell>
          <cell r="D1452" t="str">
            <v>Corporate</v>
          </cell>
          <cell r="E1452" t="str">
            <v>Corporate</v>
          </cell>
          <cell r="R1452">
            <v>67000</v>
          </cell>
          <cell r="U1452">
            <v>44200</v>
          </cell>
        </row>
        <row r="1453">
          <cell r="A1453" t="str">
            <v>ETLCUST-03046</v>
          </cell>
          <cell r="B1453" t="str">
            <v>REMON ELECTRONICS -GOBINDAGONJ</v>
          </cell>
          <cell r="C1453" t="str">
            <v>Md Abdullah Al Mamun</v>
          </cell>
          <cell r="D1453" t="str">
            <v>North Bengal</v>
          </cell>
          <cell r="E1453" t="str">
            <v>North Bengal</v>
          </cell>
          <cell r="P1453">
            <v>12800</v>
          </cell>
        </row>
        <row r="1454">
          <cell r="A1454" t="str">
            <v>ETLCUST-02388</v>
          </cell>
          <cell r="B1454" t="str">
            <v>RENAISSANCE GROUP</v>
          </cell>
          <cell r="C1454" t="str">
            <v>Ashraful Islam</v>
          </cell>
          <cell r="D1454" t="str">
            <v>Corporate</v>
          </cell>
          <cell r="E1454" t="str">
            <v>Corporate</v>
          </cell>
          <cell r="R1454">
            <v>186000</v>
          </cell>
        </row>
        <row r="1455">
          <cell r="A1455" t="str">
            <v>ETLCUST-00072</v>
          </cell>
          <cell r="B1455" t="str">
            <v>RENESA COMPUTER - ASHULIA</v>
          </cell>
          <cell r="C1455" t="str">
            <v>Biplop Kumar</v>
          </cell>
          <cell r="D1455" t="str">
            <v>DHK-EXT</v>
          </cell>
          <cell r="E1455" t="str">
            <v>DHK-EXT</v>
          </cell>
          <cell r="G1455">
            <v>2284000</v>
          </cell>
          <cell r="H1455">
            <v>48000</v>
          </cell>
          <cell r="R1455">
            <v>102800</v>
          </cell>
          <cell r="T1455">
            <v>153450</v>
          </cell>
          <cell r="U1455">
            <v>8500</v>
          </cell>
          <cell r="AR1455">
            <v>20500</v>
          </cell>
        </row>
        <row r="1456">
          <cell r="A1456" t="str">
            <v>ETLCUST-04259</v>
          </cell>
          <cell r="B1456" t="str">
            <v>RESEARCH TECHNOLOGY BD - MULTIPLAN</v>
          </cell>
          <cell r="C1456" t="str">
            <v>Md Mokshed Ali</v>
          </cell>
          <cell r="D1456" t="str">
            <v>Multiplan</v>
          </cell>
          <cell r="E1456" t="str">
            <v>Multiplan</v>
          </cell>
          <cell r="P1456">
            <v>32000</v>
          </cell>
        </row>
        <row r="1457">
          <cell r="A1457" t="str">
            <v>ETLCUST-03865</v>
          </cell>
          <cell r="B1457" t="str">
            <v>RESOURCE TECHNOLOGY - E.ROAD</v>
          </cell>
          <cell r="C1457" t="str">
            <v>Mohotasim Rana</v>
          </cell>
          <cell r="D1457" t="str">
            <v>DHB</v>
          </cell>
          <cell r="E1457" t="str">
            <v>DHB</v>
          </cell>
          <cell r="G1457">
            <v>5300</v>
          </cell>
          <cell r="S1457">
            <v>0</v>
          </cell>
          <cell r="T1457">
            <v>3554680</v>
          </cell>
          <cell r="U1457">
            <v>0</v>
          </cell>
          <cell r="X1457">
            <v>29999725</v>
          </cell>
          <cell r="AA1457">
            <v>48500</v>
          </cell>
          <cell r="AL1457">
            <v>247900</v>
          </cell>
          <cell r="AM1457">
            <v>260760</v>
          </cell>
          <cell r="AN1457">
            <v>150000</v>
          </cell>
          <cell r="AR1457">
            <v>113900</v>
          </cell>
          <cell r="AS1457">
            <v>315000</v>
          </cell>
          <cell r="BA1457">
            <v>13831415</v>
          </cell>
        </row>
        <row r="1458">
          <cell r="A1458" t="str">
            <v>ETLCUST-00897</v>
          </cell>
          <cell r="B1458" t="str">
            <v>RESPONSE ELECTRONICS - KUSHTIA</v>
          </cell>
          <cell r="C1458" t="str">
            <v>Md Rakibul Islam</v>
          </cell>
          <cell r="D1458" t="str">
            <v>South Bengal</v>
          </cell>
          <cell r="E1458" t="str">
            <v>South Bengal</v>
          </cell>
          <cell r="AZ1458">
            <v>209200</v>
          </cell>
        </row>
        <row r="1459">
          <cell r="A1459" t="str">
            <v>ETLCUST-04602</v>
          </cell>
          <cell r="B1459" t="str">
            <v>REVOLUTION TECHNOLOGY BD - MOTIJHEEL</v>
          </cell>
          <cell r="C1459" t="str">
            <v>Hridoy Chandra Das</v>
          </cell>
          <cell r="D1459" t="str">
            <v>Motijheel</v>
          </cell>
          <cell r="E1459" t="str">
            <v>Motijheel</v>
          </cell>
          <cell r="P1459">
            <v>16000</v>
          </cell>
          <cell r="U1459">
            <v>612500</v>
          </cell>
        </row>
        <row r="1460">
          <cell r="A1460" t="str">
            <v>ETLCUST-03151</v>
          </cell>
          <cell r="B1460" t="str">
            <v>RFS TECHNOLOGY AND ELECTRONICS - MULTIPLAN</v>
          </cell>
          <cell r="C1460" t="str">
            <v>Md Nur Karim Chowdhury</v>
          </cell>
          <cell r="D1460" t="str">
            <v>Multiplan</v>
          </cell>
          <cell r="E1460" t="str">
            <v>Multiplan</v>
          </cell>
          <cell r="H1460">
            <v>48000</v>
          </cell>
          <cell r="V1460">
            <v>9000</v>
          </cell>
          <cell r="AL1460">
            <v>112350</v>
          </cell>
          <cell r="AM1460">
            <v>16100</v>
          </cell>
          <cell r="AP1460">
            <v>34500</v>
          </cell>
        </row>
        <row r="1461">
          <cell r="A1461" t="str">
            <v>ETLCUST-00235</v>
          </cell>
          <cell r="B1461" t="str">
            <v>RH COMPUTER - E.ROAD</v>
          </cell>
          <cell r="C1461" t="str">
            <v>Mohotasim Rana</v>
          </cell>
          <cell r="D1461" t="str">
            <v>DHB</v>
          </cell>
          <cell r="E1461" t="str">
            <v>DHB</v>
          </cell>
          <cell r="G1461">
            <v>102000</v>
          </cell>
          <cell r="R1461">
            <v>22080</v>
          </cell>
          <cell r="S1461">
            <v>0</v>
          </cell>
          <cell r="U1461">
            <v>188300</v>
          </cell>
          <cell r="V1461">
            <v>750</v>
          </cell>
          <cell r="X1461">
            <v>300</v>
          </cell>
          <cell r="AK1461">
            <v>25500</v>
          </cell>
          <cell r="AM1461">
            <v>20900</v>
          </cell>
          <cell r="AO1461">
            <v>4150</v>
          </cell>
          <cell r="AR1461">
            <v>4750</v>
          </cell>
          <cell r="AV1461">
            <v>506400</v>
          </cell>
          <cell r="BA1461">
            <v>3716380</v>
          </cell>
        </row>
        <row r="1462">
          <cell r="A1462" t="str">
            <v>ETLCUST-05314</v>
          </cell>
          <cell r="B1462" t="str">
            <v>RIBENG IT SOLUTION - RANGAMATI</v>
          </cell>
          <cell r="C1462" t="str">
            <v>Md. Mamunur Rashid</v>
          </cell>
          <cell r="D1462" t="str">
            <v>CTG</v>
          </cell>
          <cell r="E1462" t="str">
            <v>CTG</v>
          </cell>
          <cell r="M1462">
            <v>44300</v>
          </cell>
          <cell r="U1462">
            <v>19900</v>
          </cell>
          <cell r="X1462">
            <v>7800</v>
          </cell>
          <cell r="AM1462">
            <v>380</v>
          </cell>
          <cell r="AV1462">
            <v>33400</v>
          </cell>
          <cell r="BA1462">
            <v>37150</v>
          </cell>
        </row>
        <row r="1463">
          <cell r="A1463" t="str">
            <v>ETLCUST-00208</v>
          </cell>
          <cell r="B1463" t="str">
            <v>RIFAT COMPUTER - E.ROAD</v>
          </cell>
          <cell r="C1463" t="str">
            <v>Md. Rony Ahmed</v>
          </cell>
          <cell r="D1463" t="str">
            <v>DHB</v>
          </cell>
          <cell r="E1463" t="str">
            <v>DHB</v>
          </cell>
          <cell r="P1463">
            <v>192800</v>
          </cell>
          <cell r="AO1463">
            <v>53550</v>
          </cell>
        </row>
        <row r="1464">
          <cell r="A1464" t="str">
            <v>ETLCUST-05378</v>
          </cell>
          <cell r="B1464" t="str">
            <v>RIFAT TELECOM &amp; MOBILE SERVICING CENTER - BARISHAL</v>
          </cell>
          <cell r="C1464" t="str">
            <v>Md. Aminul Islam</v>
          </cell>
          <cell r="D1464" t="str">
            <v>South Bengal</v>
          </cell>
          <cell r="E1464" t="str">
            <v>South Bengal</v>
          </cell>
          <cell r="S1464">
            <v>0</v>
          </cell>
          <cell r="BA1464">
            <v>123250</v>
          </cell>
        </row>
        <row r="1465">
          <cell r="A1465" t="str">
            <v>ETLCUST-00915</v>
          </cell>
          <cell r="B1465" t="str">
            <v>RIGHT CLICK COMPUTER - BHANGURA</v>
          </cell>
          <cell r="C1465" t="str">
            <v>Forhad Rubel</v>
          </cell>
          <cell r="D1465" t="str">
            <v>North Bengal</v>
          </cell>
          <cell r="E1465" t="str">
            <v>North Bengal</v>
          </cell>
          <cell r="T1465">
            <v>9250</v>
          </cell>
          <cell r="AM1465">
            <v>56600</v>
          </cell>
          <cell r="BA1465">
            <v>81650</v>
          </cell>
        </row>
        <row r="1466">
          <cell r="A1466" t="str">
            <v>ETLCUST-02955</v>
          </cell>
          <cell r="B1466" t="str">
            <v>RIKO ELECTRONICS - RANGPUR</v>
          </cell>
          <cell r="C1466" t="str">
            <v>Md Abdullah Al Mamun</v>
          </cell>
          <cell r="D1466" t="str">
            <v>North Bengal</v>
          </cell>
          <cell r="E1466" t="str">
            <v>North Bengal</v>
          </cell>
          <cell r="G1466">
            <v>100000</v>
          </cell>
          <cell r="T1466">
            <v>711500</v>
          </cell>
          <cell r="AL1466">
            <v>306680</v>
          </cell>
          <cell r="AM1466">
            <v>111300</v>
          </cell>
          <cell r="AO1466">
            <v>20075</v>
          </cell>
          <cell r="AQ1466">
            <v>0</v>
          </cell>
          <cell r="BA1466">
            <v>9351470</v>
          </cell>
        </row>
        <row r="1467">
          <cell r="A1467" t="str">
            <v>ETLCUST-01413</v>
          </cell>
          <cell r="B1467" t="str">
            <v>RIPON CAMERA WORLD AND COMPUTER - GAZIPUR</v>
          </cell>
          <cell r="C1467" t="str">
            <v>Md. Rahad</v>
          </cell>
          <cell r="D1467" t="str">
            <v>Uttara</v>
          </cell>
          <cell r="E1467" t="str">
            <v>Uttara</v>
          </cell>
          <cell r="R1467">
            <v>520</v>
          </cell>
          <cell r="U1467">
            <v>46400</v>
          </cell>
          <cell r="X1467">
            <v>403650</v>
          </cell>
          <cell r="AO1467">
            <v>50450</v>
          </cell>
          <cell r="AR1467">
            <v>4500</v>
          </cell>
          <cell r="BA1467">
            <v>15200</v>
          </cell>
        </row>
        <row r="1468">
          <cell r="A1468" t="str">
            <v>ETLCUST-00822</v>
          </cell>
          <cell r="B1468" t="str">
            <v>RISHIT COMPUTERS - IDB</v>
          </cell>
          <cell r="C1468" t="str">
            <v>Fajle Rabbi</v>
          </cell>
          <cell r="D1468" t="str">
            <v>IDB</v>
          </cell>
          <cell r="E1468" t="str">
            <v>IDB</v>
          </cell>
          <cell r="R1468">
            <v>100040</v>
          </cell>
          <cell r="AM1468">
            <v>1650</v>
          </cell>
          <cell r="BA1468">
            <v>162750</v>
          </cell>
        </row>
        <row r="1469">
          <cell r="A1469" t="str">
            <v>ETLCUST-03711</v>
          </cell>
          <cell r="B1469" t="str">
            <v>RISING CORPORATION - MULTIPLAN</v>
          </cell>
          <cell r="C1469" t="str">
            <v>Mohammad Mostofa</v>
          </cell>
          <cell r="D1469" t="str">
            <v>Multiplan</v>
          </cell>
          <cell r="E1469" t="str">
            <v>Multiplan</v>
          </cell>
          <cell r="H1469">
            <v>24000</v>
          </cell>
          <cell r="U1469">
            <v>18500</v>
          </cell>
          <cell r="AP1469">
            <v>8500</v>
          </cell>
          <cell r="AZ1469">
            <v>3850</v>
          </cell>
        </row>
        <row r="1470">
          <cell r="A1470" t="str">
            <v>ETLCUST-04472</v>
          </cell>
          <cell r="B1470" t="str">
            <v>RIT COMPUTER AND IT SUPPORT - GAZIPUR</v>
          </cell>
          <cell r="C1470" t="str">
            <v>MD. Shipon Ali</v>
          </cell>
          <cell r="D1470" t="str">
            <v>Uttara</v>
          </cell>
          <cell r="E1470" t="str">
            <v>Uttara</v>
          </cell>
          <cell r="S1470">
            <v>0</v>
          </cell>
          <cell r="AK1470">
            <v>91000</v>
          </cell>
          <cell r="AM1470">
            <v>81355</v>
          </cell>
          <cell r="AZ1470">
            <v>9900</v>
          </cell>
          <cell r="BA1470">
            <v>924110</v>
          </cell>
        </row>
        <row r="1471">
          <cell r="A1471" t="str">
            <v>ETLCUST-05158</v>
          </cell>
          <cell r="B1471" t="str">
            <v>RIYA COMPUTER - NAGESSORI, KURIGRAM</v>
          </cell>
          <cell r="C1471" t="str">
            <v>Md. Arif Arman</v>
          </cell>
          <cell r="D1471" t="str">
            <v>North Bengal</v>
          </cell>
          <cell r="E1471" t="str">
            <v>North Bengal</v>
          </cell>
          <cell r="AZ1471">
            <v>42750</v>
          </cell>
        </row>
        <row r="1472">
          <cell r="A1472" t="str">
            <v>ETLCUST-01035</v>
          </cell>
          <cell r="B1472" t="str">
            <v>RM TECHNOLOGY - COXS BAZAR</v>
          </cell>
          <cell r="C1472" t="str">
            <v>Md. Mamunur Rashid</v>
          </cell>
          <cell r="D1472" t="str">
            <v>CTG</v>
          </cell>
          <cell r="E1472" t="str">
            <v>CTG</v>
          </cell>
          <cell r="P1472">
            <v>32000</v>
          </cell>
          <cell r="R1472">
            <v>64000</v>
          </cell>
          <cell r="T1472">
            <v>300000</v>
          </cell>
          <cell r="X1472">
            <v>29200</v>
          </cell>
          <cell r="AV1472">
            <v>16300</v>
          </cell>
          <cell r="BA1472">
            <v>857905</v>
          </cell>
        </row>
        <row r="1473">
          <cell r="A1473" t="str">
            <v>ETLCUST-03561</v>
          </cell>
          <cell r="B1473" t="str">
            <v>RN COMPUTER SHOP - KHULNA</v>
          </cell>
          <cell r="C1473" t="str">
            <v>Md Husaun</v>
          </cell>
          <cell r="D1473" t="str">
            <v>Khulna</v>
          </cell>
          <cell r="E1473" t="str">
            <v>Khulna</v>
          </cell>
          <cell r="X1473">
            <v>42000</v>
          </cell>
          <cell r="AT1473">
            <v>29500</v>
          </cell>
        </row>
        <row r="1474">
          <cell r="A1474" t="str">
            <v>ETLCUST-04182</v>
          </cell>
          <cell r="B1474" t="str">
            <v>ROBI AXIATA LIMITED</v>
          </cell>
          <cell r="C1474" t="str">
            <v>Abu Zahid Sobuj</v>
          </cell>
          <cell r="D1474" t="str">
            <v>Corporate</v>
          </cell>
          <cell r="E1474" t="str">
            <v>Corporate</v>
          </cell>
          <cell r="T1474">
            <v>31200</v>
          </cell>
        </row>
        <row r="1475">
          <cell r="A1475" t="str">
            <v>ETLCUST-03364</v>
          </cell>
          <cell r="B1475" t="str">
            <v>ROKON COMPUTER - CHUADANGA</v>
          </cell>
          <cell r="C1475" t="str">
            <v>Md. Hasanuzzaman</v>
          </cell>
          <cell r="D1475" t="str">
            <v>South Bengal</v>
          </cell>
          <cell r="E1475" t="str">
            <v>South Bengal</v>
          </cell>
          <cell r="O1475">
            <v>5500</v>
          </cell>
          <cell r="R1475">
            <v>2600</v>
          </cell>
          <cell r="S1475">
            <v>0</v>
          </cell>
          <cell r="T1475">
            <v>153400</v>
          </cell>
          <cell r="X1475">
            <v>8500</v>
          </cell>
          <cell r="AM1475">
            <v>4985</v>
          </cell>
          <cell r="AQ1475">
            <v>0</v>
          </cell>
          <cell r="BA1475">
            <v>1087205</v>
          </cell>
        </row>
        <row r="1476">
          <cell r="A1476" t="str">
            <v>ETLCUST-00002</v>
          </cell>
          <cell r="B1476" t="str">
            <v>RONI DIGITAL COMPUTER CENTER - RANISHANKOIL</v>
          </cell>
          <cell r="C1476" t="str">
            <v>Akramul Haque</v>
          </cell>
          <cell r="D1476" t="str">
            <v>North Bengal</v>
          </cell>
          <cell r="E1476" t="str">
            <v>North Bengal</v>
          </cell>
          <cell r="S1476">
            <v>0</v>
          </cell>
          <cell r="AM1476">
            <v>1140</v>
          </cell>
          <cell r="AQ1476">
            <v>0</v>
          </cell>
          <cell r="BA1476">
            <v>548670</v>
          </cell>
        </row>
        <row r="1477">
          <cell r="A1477" t="str">
            <v>ETLCUST-05045</v>
          </cell>
          <cell r="B1477" t="str">
            <v>RONY COMPUTER - MEHERPUR</v>
          </cell>
          <cell r="C1477" t="str">
            <v>Md. Hasanuzzaman</v>
          </cell>
          <cell r="D1477" t="str">
            <v>South Bengal</v>
          </cell>
          <cell r="E1477" t="str">
            <v>South Bengal</v>
          </cell>
          <cell r="G1477">
            <v>56000</v>
          </cell>
          <cell r="R1477">
            <v>17500</v>
          </cell>
          <cell r="AM1477">
            <v>62080</v>
          </cell>
          <cell r="AQ1477">
            <v>0</v>
          </cell>
          <cell r="AZ1477">
            <v>32850</v>
          </cell>
          <cell r="BA1477">
            <v>270880</v>
          </cell>
        </row>
        <row r="1478">
          <cell r="A1478" t="str">
            <v>ETLCUST-05184</v>
          </cell>
          <cell r="B1478" t="str">
            <v>RONY COMPUTER - NAOGAON</v>
          </cell>
          <cell r="C1478" t="str">
            <v>Md. Abu Basar</v>
          </cell>
          <cell r="D1478" t="str">
            <v>North Bengal</v>
          </cell>
          <cell r="E1478" t="str">
            <v>North Bengal</v>
          </cell>
          <cell r="T1478">
            <v>10750</v>
          </cell>
          <cell r="AF1478">
            <v>11800</v>
          </cell>
          <cell r="AM1478">
            <v>11520</v>
          </cell>
          <cell r="BA1478">
            <v>2450</v>
          </cell>
        </row>
        <row r="1479">
          <cell r="A1479" t="str">
            <v>ETLCUST-00807</v>
          </cell>
          <cell r="B1479" t="str">
            <v>RONY ELECTRONICS AND COMPUTER - CHAPAI</v>
          </cell>
          <cell r="C1479" t="str">
            <v>Md Moniruzzaman Masum</v>
          </cell>
          <cell r="D1479" t="str">
            <v>Rajshahi</v>
          </cell>
          <cell r="E1479" t="str">
            <v>Rajshahi</v>
          </cell>
          <cell r="T1479">
            <v>22900</v>
          </cell>
          <cell r="U1479">
            <v>3750</v>
          </cell>
          <cell r="X1479">
            <v>16865775</v>
          </cell>
          <cell r="Y1479">
            <v>200000</v>
          </cell>
          <cell r="Z1479">
            <v>1188800</v>
          </cell>
          <cell r="AL1479">
            <v>195720</v>
          </cell>
          <cell r="AM1479">
            <v>585840</v>
          </cell>
          <cell r="AQ1479">
            <v>0</v>
          </cell>
          <cell r="AT1479">
            <v>2050</v>
          </cell>
          <cell r="BA1479">
            <v>1161010</v>
          </cell>
        </row>
        <row r="1480">
          <cell r="A1480" t="str">
            <v>ETLCUST-02396</v>
          </cell>
          <cell r="B1480" t="str">
            <v>ROOM TO READ</v>
          </cell>
          <cell r="C1480" t="str">
            <v>Abu Zahid Sobuj</v>
          </cell>
          <cell r="D1480" t="str">
            <v>Corporate</v>
          </cell>
          <cell r="E1480" t="str">
            <v>Corporate</v>
          </cell>
          <cell r="U1480">
            <v>63818.18</v>
          </cell>
          <cell r="AD1480">
            <v>470454.54999999993</v>
          </cell>
        </row>
        <row r="1481">
          <cell r="A1481" t="str">
            <v>ETLCUST-05131</v>
          </cell>
          <cell r="B1481" t="str">
            <v>ROOTX TECHNOLOGY - COX'S BAZAR</v>
          </cell>
          <cell r="C1481" t="str">
            <v>Md. Mamunur Rashid</v>
          </cell>
          <cell r="D1481" t="str">
            <v>CTG</v>
          </cell>
          <cell r="E1481" t="str">
            <v>CTG</v>
          </cell>
          <cell r="Q1481">
            <v>1350</v>
          </cell>
          <cell r="AR1481">
            <v>295340</v>
          </cell>
          <cell r="BA1481">
            <v>14500</v>
          </cell>
        </row>
        <row r="1482">
          <cell r="A1482" t="str">
            <v>ETLCUST-04942</v>
          </cell>
          <cell r="B1482" t="str">
            <v>ROSE TECH AND COMPUTER - E.ROAD</v>
          </cell>
          <cell r="C1482" t="str">
            <v>Md. Razan Hossain</v>
          </cell>
          <cell r="D1482" t="str">
            <v>DHB</v>
          </cell>
          <cell r="E1482" t="str">
            <v>DHB</v>
          </cell>
          <cell r="U1482">
            <v>34400</v>
          </cell>
        </row>
        <row r="1483">
          <cell r="A1483" t="str">
            <v>ETLCUST-03162</v>
          </cell>
          <cell r="B1483" t="str">
            <v>ROSEN TECH - E. ROAD</v>
          </cell>
          <cell r="C1483" t="str">
            <v>Md. Abdus Satter</v>
          </cell>
          <cell r="D1483" t="str">
            <v>HO-SI</v>
          </cell>
          <cell r="E1483" t="str">
            <v>HO-SI</v>
          </cell>
          <cell r="R1483">
            <v>99000</v>
          </cell>
          <cell r="AD1483">
            <v>260000</v>
          </cell>
        </row>
        <row r="1484">
          <cell r="A1484" t="str">
            <v>ETLCUST-01560</v>
          </cell>
          <cell r="B1484" t="str">
            <v>ROYAL COMPUTER - CTG</v>
          </cell>
          <cell r="C1484" t="str">
            <v>Shahidul Alam Chowdhury</v>
          </cell>
          <cell r="D1484" t="str">
            <v>CTG</v>
          </cell>
          <cell r="E1484" t="str">
            <v>CTG</v>
          </cell>
          <cell r="P1484">
            <v>24000</v>
          </cell>
          <cell r="AF1484">
            <v>31000</v>
          </cell>
          <cell r="AM1484">
            <v>2200</v>
          </cell>
          <cell r="AR1484">
            <v>14000</v>
          </cell>
          <cell r="AT1484">
            <v>5550</v>
          </cell>
          <cell r="AV1484">
            <v>116900</v>
          </cell>
          <cell r="BA1484">
            <v>22100</v>
          </cell>
        </row>
        <row r="1485">
          <cell r="A1485" t="str">
            <v>ETLCUST-02401</v>
          </cell>
          <cell r="B1485" t="str">
            <v>ROYAL GOLD PVT. LTD.</v>
          </cell>
          <cell r="C1485" t="str">
            <v>Ashraful Islam</v>
          </cell>
          <cell r="D1485" t="str">
            <v>Corporate</v>
          </cell>
          <cell r="E1485" t="str">
            <v>Corporate</v>
          </cell>
          <cell r="I1485">
            <v>5200</v>
          </cell>
          <cell r="M1485">
            <v>22500</v>
          </cell>
          <cell r="S1485">
            <v>20600</v>
          </cell>
          <cell r="U1485">
            <v>24300</v>
          </cell>
          <cell r="X1485">
            <v>1500</v>
          </cell>
          <cell r="AR1485">
            <v>145300</v>
          </cell>
          <cell r="AV1485">
            <v>78925</v>
          </cell>
          <cell r="AY1485">
            <v>27200</v>
          </cell>
          <cell r="BA1485">
            <v>15500</v>
          </cell>
        </row>
        <row r="1486">
          <cell r="A1486" t="str">
            <v>ETLCUST-01096</v>
          </cell>
          <cell r="B1486" t="str">
            <v>RS COMPUTER - MIRPUR</v>
          </cell>
          <cell r="C1486" t="str">
            <v>Amit Sarker</v>
          </cell>
          <cell r="D1486" t="str">
            <v>IDB</v>
          </cell>
          <cell r="E1486" t="str">
            <v>IDB</v>
          </cell>
          <cell r="R1486">
            <v>99800</v>
          </cell>
          <cell r="T1486">
            <v>5255650</v>
          </cell>
          <cell r="X1486">
            <v>2483050</v>
          </cell>
          <cell r="AM1486">
            <v>562000</v>
          </cell>
          <cell r="AO1486">
            <v>627010</v>
          </cell>
          <cell r="BA1486">
            <v>7063375</v>
          </cell>
        </row>
        <row r="1487">
          <cell r="A1487" t="str">
            <v>ETLCUST-00826</v>
          </cell>
          <cell r="B1487" t="str">
            <v>RS COMPUTER SYSTEM - IDB</v>
          </cell>
          <cell r="C1487" t="str">
            <v>Fajle Rabbi</v>
          </cell>
          <cell r="D1487" t="str">
            <v>IDB</v>
          </cell>
          <cell r="E1487" t="str">
            <v>IDB</v>
          </cell>
          <cell r="U1487">
            <v>3000</v>
          </cell>
          <cell r="AF1487">
            <v>49000</v>
          </cell>
          <cell r="AJ1487">
            <v>3500</v>
          </cell>
          <cell r="AM1487">
            <v>850</v>
          </cell>
          <cell r="AO1487">
            <v>1200</v>
          </cell>
          <cell r="AR1487">
            <v>23500</v>
          </cell>
          <cell r="AV1487">
            <v>36000</v>
          </cell>
          <cell r="BA1487">
            <v>709475</v>
          </cell>
        </row>
        <row r="1488">
          <cell r="A1488" t="str">
            <v>ETLCUST-00234</v>
          </cell>
          <cell r="B1488" t="str">
            <v>RS TRADE INTERNATIONAL - E.ROAD</v>
          </cell>
          <cell r="C1488" t="str">
            <v>Mohotasim Rana</v>
          </cell>
          <cell r="D1488" t="str">
            <v>DHB</v>
          </cell>
          <cell r="E1488" t="str">
            <v>DHB</v>
          </cell>
          <cell r="AV1488">
            <v>45000</v>
          </cell>
        </row>
        <row r="1489">
          <cell r="A1489" t="str">
            <v>ETLCUST-05263</v>
          </cell>
          <cell r="B1489" t="str">
            <v>RSGT BANGLADESH LIMITED</v>
          </cell>
          <cell r="C1489" t="str">
            <v>Akter Hossen Nishan</v>
          </cell>
          <cell r="D1489" t="str">
            <v>Corporate</v>
          </cell>
          <cell r="E1489" t="str">
            <v>Corporate</v>
          </cell>
          <cell r="S1489">
            <v>18000</v>
          </cell>
          <cell r="X1489">
            <v>141000</v>
          </cell>
          <cell r="AY1489">
            <v>600000</v>
          </cell>
        </row>
        <row r="1490">
          <cell r="A1490" t="str">
            <v>ETLCUST-01312</v>
          </cell>
          <cell r="B1490" t="str">
            <v>RUBEL COMPUTER - NOAKHALI</v>
          </cell>
          <cell r="C1490" t="str">
            <v>Reazuddin</v>
          </cell>
          <cell r="D1490" t="str">
            <v>CTG</v>
          </cell>
          <cell r="E1490" t="str">
            <v>CTG</v>
          </cell>
          <cell r="T1490">
            <v>97500</v>
          </cell>
          <cell r="U1490">
            <v>7300</v>
          </cell>
          <cell r="X1490">
            <v>40500</v>
          </cell>
          <cell r="AL1490">
            <v>310770</v>
          </cell>
          <cell r="BA1490">
            <v>407215</v>
          </cell>
        </row>
        <row r="1491">
          <cell r="A1491" t="str">
            <v>ETLCUST-00953</v>
          </cell>
          <cell r="B1491" t="str">
            <v>RUMI ELECTRONICS - GULISTAN</v>
          </cell>
          <cell r="C1491" t="str">
            <v>Noor Hossain</v>
          </cell>
          <cell r="D1491" t="str">
            <v>Gulistan</v>
          </cell>
          <cell r="E1491" t="str">
            <v>Gulistan</v>
          </cell>
          <cell r="AZ1491">
            <v>664800</v>
          </cell>
        </row>
        <row r="1492">
          <cell r="A1492" t="str">
            <v>ETLCUST-04313</v>
          </cell>
          <cell r="B1492" t="str">
            <v>RYANS COMPUTER - KHULNA</v>
          </cell>
          <cell r="C1492" t="str">
            <v>Saidur Rahman Khokan</v>
          </cell>
          <cell r="D1492" t="str">
            <v>Khulna</v>
          </cell>
          <cell r="E1492" t="str">
            <v>Khulna</v>
          </cell>
          <cell r="L1492">
            <v>136500</v>
          </cell>
          <cell r="R1492">
            <v>639460</v>
          </cell>
          <cell r="AF1492">
            <v>228900</v>
          </cell>
          <cell r="AJ1492">
            <v>5900</v>
          </cell>
          <cell r="AK1492">
            <v>28990</v>
          </cell>
          <cell r="AM1492">
            <v>50865</v>
          </cell>
          <cell r="AO1492">
            <v>2700</v>
          </cell>
          <cell r="AT1492">
            <v>59090</v>
          </cell>
          <cell r="AZ1492">
            <v>90350</v>
          </cell>
          <cell r="BA1492">
            <v>122090</v>
          </cell>
        </row>
        <row r="1493">
          <cell r="A1493" t="str">
            <v>ETLCUST-04310</v>
          </cell>
          <cell r="B1493" t="str">
            <v>RYANS COMPUTER'S - BARISHAL</v>
          </cell>
          <cell r="C1493" t="str">
            <v>Shah Imran</v>
          </cell>
          <cell r="D1493" t="str">
            <v>South Bengal</v>
          </cell>
          <cell r="E1493" t="str">
            <v>South Bengal</v>
          </cell>
          <cell r="L1493">
            <v>83400</v>
          </cell>
          <cell r="R1493">
            <v>537110</v>
          </cell>
          <cell r="AF1493">
            <v>119400</v>
          </cell>
          <cell r="AM1493">
            <v>38370</v>
          </cell>
          <cell r="AT1493">
            <v>54680</v>
          </cell>
          <cell r="AZ1493">
            <v>68600</v>
          </cell>
          <cell r="BA1493">
            <v>102735</v>
          </cell>
        </row>
        <row r="1494">
          <cell r="A1494" t="str">
            <v>ETLCUST-01045</v>
          </cell>
          <cell r="B1494" t="str">
            <v>RYANS COMPUTER'S - CTG</v>
          </cell>
          <cell r="C1494" t="str">
            <v>Md. Mamunur Rashid</v>
          </cell>
          <cell r="D1494" t="str">
            <v>CTG</v>
          </cell>
          <cell r="E1494" t="str">
            <v>CTG</v>
          </cell>
          <cell r="L1494">
            <v>328900</v>
          </cell>
          <cell r="P1494">
            <v>64000</v>
          </cell>
          <cell r="R1494">
            <v>2224660</v>
          </cell>
          <cell r="S1494">
            <v>0</v>
          </cell>
          <cell r="T1494">
            <v>4600</v>
          </cell>
          <cell r="U1494">
            <v>28000</v>
          </cell>
          <cell r="X1494">
            <v>10500</v>
          </cell>
          <cell r="AF1494">
            <v>822000</v>
          </cell>
          <cell r="AJ1494">
            <v>179500</v>
          </cell>
          <cell r="AL1494">
            <v>6180</v>
          </cell>
          <cell r="AM1494">
            <v>94340</v>
          </cell>
          <cell r="AS1494">
            <v>225000</v>
          </cell>
          <cell r="AT1494">
            <v>229980</v>
          </cell>
          <cell r="AZ1494">
            <v>156100</v>
          </cell>
          <cell r="BA1494">
            <v>218775</v>
          </cell>
        </row>
        <row r="1495">
          <cell r="A1495" t="str">
            <v>ETLCUST-00833</v>
          </cell>
          <cell r="B1495" t="str">
            <v>RYANS COMPUTER'S - IDB</v>
          </cell>
          <cell r="C1495" t="str">
            <v>Md. Sahiduzzaman Shahin</v>
          </cell>
          <cell r="D1495" t="str">
            <v>SBU</v>
          </cell>
          <cell r="E1495" t="str">
            <v>SBU</v>
          </cell>
          <cell r="G1495">
            <v>608400</v>
          </cell>
          <cell r="H1495">
            <v>213500</v>
          </cell>
          <cell r="I1495">
            <v>52500</v>
          </cell>
          <cell r="L1495">
            <v>1606900</v>
          </cell>
          <cell r="P1495">
            <v>4529700</v>
          </cell>
          <cell r="R1495">
            <v>23610020</v>
          </cell>
          <cell r="S1495">
            <v>0</v>
          </cell>
          <cell r="T1495">
            <v>6859150</v>
          </cell>
          <cell r="U1495">
            <v>2314750</v>
          </cell>
          <cell r="V1495">
            <v>2403825</v>
          </cell>
          <cell r="X1495">
            <v>5993100</v>
          </cell>
          <cell r="Y1495">
            <v>3105000</v>
          </cell>
          <cell r="AA1495">
            <v>16500</v>
          </cell>
          <cell r="AF1495">
            <v>7860580</v>
          </cell>
          <cell r="AJ1495">
            <v>18481280</v>
          </cell>
          <cell r="AK1495">
            <v>4257320</v>
          </cell>
          <cell r="AL1495">
            <v>3901675</v>
          </cell>
          <cell r="AM1495">
            <v>7186385</v>
          </cell>
          <cell r="AN1495">
            <v>448000</v>
          </cell>
          <cell r="AO1495">
            <v>2233610</v>
          </cell>
          <cell r="AP1495">
            <v>694300</v>
          </cell>
          <cell r="AR1495">
            <v>2194800</v>
          </cell>
          <cell r="AS1495">
            <v>4524100</v>
          </cell>
          <cell r="AT1495">
            <v>2185340</v>
          </cell>
          <cell r="AV1495">
            <v>1071440</v>
          </cell>
          <cell r="AZ1495">
            <v>836000</v>
          </cell>
          <cell r="BA1495">
            <v>56166930</v>
          </cell>
        </row>
        <row r="1496">
          <cell r="A1496" t="str">
            <v>ETLCUST-01848</v>
          </cell>
          <cell r="B1496" t="str">
            <v>RYANS COMPUTER'S - MULTIPLAN</v>
          </cell>
          <cell r="C1496" t="str">
            <v>Mohammad Mostofa</v>
          </cell>
          <cell r="D1496" t="str">
            <v>Multiplan</v>
          </cell>
          <cell r="E1496" t="str">
            <v>Multiplan</v>
          </cell>
          <cell r="L1496">
            <v>744700</v>
          </cell>
          <cell r="P1496">
            <v>64000</v>
          </cell>
          <cell r="R1496">
            <v>3644450</v>
          </cell>
          <cell r="T1496">
            <v>9600</v>
          </cell>
          <cell r="U1496">
            <v>245700</v>
          </cell>
          <cell r="X1496">
            <v>8100</v>
          </cell>
          <cell r="AA1496">
            <v>233750</v>
          </cell>
          <cell r="AD1496">
            <v>8300</v>
          </cell>
          <cell r="AF1496">
            <v>1890100</v>
          </cell>
          <cell r="AJ1496">
            <v>419750</v>
          </cell>
          <cell r="AO1496">
            <v>44400</v>
          </cell>
          <cell r="AP1496">
            <v>32000</v>
          </cell>
          <cell r="AT1496">
            <v>509320</v>
          </cell>
          <cell r="AV1496">
            <v>11700</v>
          </cell>
          <cell r="AZ1496">
            <v>16900</v>
          </cell>
          <cell r="BA1496">
            <v>16380</v>
          </cell>
        </row>
        <row r="1497">
          <cell r="A1497" t="str">
            <v>ETLCUST-04311</v>
          </cell>
          <cell r="B1497" t="str">
            <v>RYANS COMPUTER'S - MYMENSINGH</v>
          </cell>
          <cell r="C1497" t="str">
            <v>Rafiqul Islam Sumon</v>
          </cell>
          <cell r="D1497" t="str">
            <v>Mymensingh</v>
          </cell>
          <cell r="E1497" t="str">
            <v>Mymensingh</v>
          </cell>
          <cell r="L1497">
            <v>121600</v>
          </cell>
          <cell r="R1497">
            <v>1387460</v>
          </cell>
          <cell r="S1497">
            <v>0</v>
          </cell>
          <cell r="AF1497">
            <v>233000</v>
          </cell>
          <cell r="AM1497">
            <v>60255</v>
          </cell>
          <cell r="AT1497">
            <v>62840</v>
          </cell>
          <cell r="AZ1497">
            <v>74050</v>
          </cell>
          <cell r="BA1497">
            <v>204650</v>
          </cell>
        </row>
        <row r="1498">
          <cell r="A1498" t="str">
            <v>ETLCUST-04309</v>
          </cell>
          <cell r="B1498" t="str">
            <v>RYANS COMPUTER'S - RAJSHAHI</v>
          </cell>
          <cell r="C1498" t="str">
            <v>Md Moniruzzaman Masum</v>
          </cell>
          <cell r="D1498" t="str">
            <v>Rajshahi</v>
          </cell>
          <cell r="E1498" t="str">
            <v>Rajshahi</v>
          </cell>
          <cell r="L1498">
            <v>291500</v>
          </cell>
          <cell r="P1498">
            <v>33500</v>
          </cell>
          <cell r="R1498">
            <v>1386040</v>
          </cell>
          <cell r="AD1498">
            <v>350000</v>
          </cell>
          <cell r="AF1498">
            <v>214200</v>
          </cell>
          <cell r="AJ1498">
            <v>9000</v>
          </cell>
          <cell r="AM1498">
            <v>59085</v>
          </cell>
          <cell r="AR1498">
            <v>5400</v>
          </cell>
          <cell r="AT1498">
            <v>80040</v>
          </cell>
          <cell r="AZ1498">
            <v>76550</v>
          </cell>
          <cell r="BA1498">
            <v>224300</v>
          </cell>
        </row>
        <row r="1499">
          <cell r="A1499" t="str">
            <v>ETLCUST-00633</v>
          </cell>
          <cell r="B1499" t="str">
            <v>RYANS COMPUTER'S - RANGPUR</v>
          </cell>
          <cell r="C1499" t="str">
            <v>Md Abdullah Al Mamun</v>
          </cell>
          <cell r="D1499" t="str">
            <v>North Bengal</v>
          </cell>
          <cell r="E1499" t="str">
            <v>North Bengal</v>
          </cell>
          <cell r="L1499">
            <v>206000</v>
          </cell>
          <cell r="P1499">
            <v>16000</v>
          </cell>
          <cell r="R1499">
            <v>1068900</v>
          </cell>
          <cell r="S1499">
            <v>0</v>
          </cell>
          <cell r="T1499">
            <v>36000</v>
          </cell>
          <cell r="AF1499">
            <v>884900</v>
          </cell>
          <cell r="AM1499">
            <v>60485</v>
          </cell>
          <cell r="AT1499">
            <v>91010</v>
          </cell>
          <cell r="AV1499">
            <v>1800</v>
          </cell>
          <cell r="AZ1499">
            <v>76550</v>
          </cell>
          <cell r="BA1499">
            <v>191605</v>
          </cell>
        </row>
        <row r="1500">
          <cell r="A1500" t="str">
            <v>ETLCUST-04308</v>
          </cell>
          <cell r="B1500" t="str">
            <v>RYANS COMPUTER'S - UTTARA</v>
          </cell>
          <cell r="C1500" t="str">
            <v>Dulal Sarker</v>
          </cell>
          <cell r="D1500" t="str">
            <v>Uttara</v>
          </cell>
          <cell r="E1500" t="str">
            <v>Uttara</v>
          </cell>
          <cell r="L1500">
            <v>185000</v>
          </cell>
          <cell r="P1500">
            <v>137400</v>
          </cell>
          <cell r="R1500">
            <v>2191460</v>
          </cell>
          <cell r="AF1500">
            <v>669400</v>
          </cell>
          <cell r="AJ1500">
            <v>146200</v>
          </cell>
          <cell r="AR1500">
            <v>15000</v>
          </cell>
          <cell r="AT1500">
            <v>368120</v>
          </cell>
          <cell r="BA1500">
            <v>45250</v>
          </cell>
        </row>
        <row r="1501">
          <cell r="A1501" t="str">
            <v>ETLCUST-03474</v>
          </cell>
          <cell r="B1501" t="str">
            <v>S &amp; S COMPUTER SOLUTION - MOTIJHEEL</v>
          </cell>
          <cell r="C1501" t="str">
            <v>Hridoy Chandra Das</v>
          </cell>
          <cell r="D1501" t="str">
            <v>Motijheel</v>
          </cell>
          <cell r="E1501" t="str">
            <v>Motijheel</v>
          </cell>
          <cell r="X1501">
            <v>304150</v>
          </cell>
          <cell r="AV1501">
            <v>299600</v>
          </cell>
        </row>
        <row r="1502">
          <cell r="A1502" t="str">
            <v>ETLCUST-04729</v>
          </cell>
          <cell r="B1502" t="str">
            <v>S A TECHNOLOGY - CHATTOGRAM</v>
          </cell>
          <cell r="C1502" t="str">
            <v>Shahidul Alam Chowdhury</v>
          </cell>
          <cell r="D1502" t="str">
            <v>CTG</v>
          </cell>
          <cell r="E1502" t="str">
            <v>CTG</v>
          </cell>
          <cell r="P1502">
            <v>40500</v>
          </cell>
          <cell r="R1502">
            <v>2800</v>
          </cell>
          <cell r="AJ1502">
            <v>3330</v>
          </cell>
          <cell r="AM1502">
            <v>425</v>
          </cell>
        </row>
        <row r="1503">
          <cell r="A1503" t="str">
            <v>ETLCUST-02997</v>
          </cell>
          <cell r="B1503" t="str">
            <v>S AND M TECH SOURCE - CTG</v>
          </cell>
          <cell r="C1503" t="str">
            <v>Shahidul Alam Chowdhury</v>
          </cell>
          <cell r="D1503" t="str">
            <v>CTG</v>
          </cell>
          <cell r="E1503" t="str">
            <v>CTG</v>
          </cell>
          <cell r="AK1503">
            <v>13600</v>
          </cell>
          <cell r="AO1503">
            <v>100210</v>
          </cell>
        </row>
        <row r="1504">
          <cell r="A1504" t="str">
            <v>ETLCUST-00251</v>
          </cell>
          <cell r="B1504" t="str">
            <v>S AND POLASH IT - SREEMOONGL</v>
          </cell>
          <cell r="C1504" t="str">
            <v>Amit Das</v>
          </cell>
          <cell r="D1504" t="str">
            <v>Sylhet</v>
          </cell>
          <cell r="E1504" t="str">
            <v>Sylhet</v>
          </cell>
          <cell r="Q1504">
            <v>890</v>
          </cell>
          <cell r="S1504">
            <v>0</v>
          </cell>
          <cell r="T1504">
            <v>517950</v>
          </cell>
          <cell r="X1504">
            <v>138725</v>
          </cell>
          <cell r="AM1504">
            <v>760</v>
          </cell>
          <cell r="BA1504">
            <v>595890</v>
          </cell>
        </row>
        <row r="1505">
          <cell r="A1505" t="str">
            <v>ETLCUST-00151</v>
          </cell>
          <cell r="B1505" t="str">
            <v>S B COMPUTER ZONE - UTTARA</v>
          </cell>
          <cell r="C1505" t="str">
            <v>Dulal Sarker</v>
          </cell>
          <cell r="D1505" t="str">
            <v>Uttara</v>
          </cell>
          <cell r="E1505" t="str">
            <v>Uttara</v>
          </cell>
          <cell r="O1505">
            <v>14300</v>
          </cell>
          <cell r="P1505">
            <v>64000</v>
          </cell>
          <cell r="U1505">
            <v>10850</v>
          </cell>
          <cell r="AO1505">
            <v>26850</v>
          </cell>
          <cell r="BA1505">
            <v>6200</v>
          </cell>
        </row>
        <row r="1506">
          <cell r="A1506" t="str">
            <v>ETLCUST-01295</v>
          </cell>
          <cell r="B1506" t="str">
            <v>S S COMPUTER - SHERPUR</v>
          </cell>
          <cell r="C1506" t="str">
            <v>Md. Sujon Mia</v>
          </cell>
          <cell r="D1506" t="str">
            <v>Mymensingh</v>
          </cell>
          <cell r="E1506" t="str">
            <v>Mymensingh</v>
          </cell>
          <cell r="G1506">
            <v>50000</v>
          </cell>
          <cell r="S1506">
            <v>0</v>
          </cell>
          <cell r="T1506">
            <v>222400</v>
          </cell>
          <cell r="X1506">
            <v>151475</v>
          </cell>
          <cell r="AL1506">
            <v>93585</v>
          </cell>
          <cell r="AM1506">
            <v>145180</v>
          </cell>
          <cell r="AR1506">
            <v>8500</v>
          </cell>
          <cell r="BA1506">
            <v>758695</v>
          </cell>
        </row>
        <row r="1507">
          <cell r="A1507" t="str">
            <v>ETLCUST-03697</v>
          </cell>
          <cell r="B1507" t="str">
            <v>S.A ELECTRONICS - MANIKGANJ</v>
          </cell>
          <cell r="C1507" t="str">
            <v>Niloy Ghosh</v>
          </cell>
          <cell r="D1507" t="str">
            <v>DHK-EXT</v>
          </cell>
          <cell r="E1507" t="str">
            <v>DHK-EXT</v>
          </cell>
          <cell r="S1507">
            <v>0</v>
          </cell>
          <cell r="AM1507">
            <v>30550</v>
          </cell>
          <cell r="BA1507">
            <v>276565</v>
          </cell>
        </row>
        <row r="1508">
          <cell r="A1508" t="str">
            <v>ETLCUST-00266</v>
          </cell>
          <cell r="B1508" t="str">
            <v>S.K COMPUTER - SUNAMGONJ</v>
          </cell>
          <cell r="C1508" t="str">
            <v>Amit Das</v>
          </cell>
          <cell r="D1508" t="str">
            <v>Sylhet</v>
          </cell>
          <cell r="E1508" t="str">
            <v>Sylhet</v>
          </cell>
          <cell r="S1508">
            <v>0</v>
          </cell>
          <cell r="AL1508">
            <v>259515</v>
          </cell>
          <cell r="AM1508">
            <v>1150</v>
          </cell>
          <cell r="AO1508">
            <v>11400</v>
          </cell>
          <cell r="AT1508">
            <v>22000</v>
          </cell>
          <cell r="BA1508">
            <v>1026300</v>
          </cell>
        </row>
        <row r="1509">
          <cell r="A1509" t="str">
            <v>ETLCUST-05260</v>
          </cell>
          <cell r="B1509" t="str">
            <v>S.K ENERGY SOLUTION - JATRABARI</v>
          </cell>
          <cell r="C1509" t="str">
            <v>Noor Hossain</v>
          </cell>
          <cell r="D1509" t="str">
            <v>Gulistan</v>
          </cell>
          <cell r="E1509" t="str">
            <v>Gulistan</v>
          </cell>
          <cell r="AK1509">
            <v>0</v>
          </cell>
        </row>
        <row r="1510">
          <cell r="A1510" t="str">
            <v>ETLCUST-00518</v>
          </cell>
          <cell r="B1510" t="str">
            <v>S.K INTERNATIONAL - MIRPUR</v>
          </cell>
          <cell r="C1510" t="str">
            <v>Fajle Rabbi</v>
          </cell>
          <cell r="D1510" t="str">
            <v>IDB</v>
          </cell>
          <cell r="E1510" t="str">
            <v>IDB</v>
          </cell>
          <cell r="S1510">
            <v>0</v>
          </cell>
          <cell r="AL1510">
            <v>336625</v>
          </cell>
          <cell r="AM1510">
            <v>4222615</v>
          </cell>
          <cell r="AQ1510">
            <v>0</v>
          </cell>
          <cell r="AR1510">
            <v>34700</v>
          </cell>
          <cell r="AT1510">
            <v>1250</v>
          </cell>
          <cell r="BA1510">
            <v>54171535</v>
          </cell>
        </row>
        <row r="1511">
          <cell r="A1511" t="str">
            <v>ETLCUST-01585</v>
          </cell>
          <cell r="B1511" t="str">
            <v>S.K. ELECTRONICS - GULISTAN</v>
          </cell>
          <cell r="C1511" t="str">
            <v>Shamim Hossain</v>
          </cell>
          <cell r="D1511" t="str">
            <v>Gulistan</v>
          </cell>
          <cell r="E1511" t="str">
            <v>Gulistan</v>
          </cell>
          <cell r="AZ1511">
            <v>410050</v>
          </cell>
        </row>
        <row r="1512">
          <cell r="A1512" t="str">
            <v>ETLCUST-05250</v>
          </cell>
          <cell r="B1512" t="str">
            <v>S.M ENTERPRISE - TEJGAON</v>
          </cell>
          <cell r="C1512" t="str">
            <v>Mohotasim Rana</v>
          </cell>
          <cell r="D1512" t="str">
            <v>DHB</v>
          </cell>
          <cell r="E1512" t="str">
            <v>DHB</v>
          </cell>
          <cell r="AD1512">
            <v>350000</v>
          </cell>
        </row>
        <row r="1513">
          <cell r="A1513" t="str">
            <v>ETLCUST-00862</v>
          </cell>
          <cell r="B1513" t="str">
            <v>S.M.TECHNOLOGY - MULTIPLAN</v>
          </cell>
          <cell r="C1513" t="str">
            <v>Md Mokshed Ali</v>
          </cell>
          <cell r="D1513" t="str">
            <v>Multiplan</v>
          </cell>
          <cell r="E1513" t="str">
            <v>Multiplan</v>
          </cell>
          <cell r="G1513">
            <v>5053700</v>
          </cell>
          <cell r="H1513">
            <v>37000</v>
          </cell>
          <cell r="P1513">
            <v>82400</v>
          </cell>
          <cell r="R1513">
            <v>39000</v>
          </cell>
          <cell r="S1513">
            <v>0</v>
          </cell>
          <cell r="T1513">
            <v>7266850</v>
          </cell>
          <cell r="U1513">
            <v>1065400</v>
          </cell>
          <cell r="X1513">
            <v>48760400</v>
          </cell>
          <cell r="AA1513">
            <v>39000</v>
          </cell>
          <cell r="AJ1513">
            <v>562825</v>
          </cell>
          <cell r="AK1513">
            <v>16000</v>
          </cell>
          <cell r="AL1513">
            <v>6102525</v>
          </cell>
          <cell r="AM1513">
            <v>6660190</v>
          </cell>
          <cell r="AO1513">
            <v>488650</v>
          </cell>
          <cell r="AP1513">
            <v>14500</v>
          </cell>
          <cell r="AQ1513">
            <v>0</v>
          </cell>
          <cell r="AR1513">
            <v>5339480</v>
          </cell>
          <cell r="AV1513">
            <v>96800</v>
          </cell>
          <cell r="AZ1513">
            <v>9900</v>
          </cell>
          <cell r="BA1513">
            <v>72605950</v>
          </cell>
        </row>
        <row r="1514">
          <cell r="A1514" t="str">
            <v>ETLCUST-03451</v>
          </cell>
          <cell r="B1514" t="str">
            <v>S.R COMPUTER - MOTIJHEEL</v>
          </cell>
          <cell r="C1514" t="str">
            <v>Md. Akram Rashid</v>
          </cell>
          <cell r="D1514" t="str">
            <v>Motijheel</v>
          </cell>
          <cell r="E1514" t="str">
            <v>Motijheel</v>
          </cell>
          <cell r="R1514">
            <v>1528500</v>
          </cell>
          <cell r="AT1514">
            <v>64000</v>
          </cell>
        </row>
        <row r="1515">
          <cell r="A1515" t="str">
            <v>ETLCUST-03373</v>
          </cell>
          <cell r="B1515" t="str">
            <v>S.R. INTERNATIONAL - SHEWRAPARA</v>
          </cell>
          <cell r="C1515" t="str">
            <v>Amit Sarker</v>
          </cell>
          <cell r="D1515" t="str">
            <v>IDB</v>
          </cell>
          <cell r="E1515" t="str">
            <v>IDB</v>
          </cell>
          <cell r="P1515">
            <v>6500</v>
          </cell>
          <cell r="AJ1515">
            <v>6107395</v>
          </cell>
        </row>
        <row r="1516">
          <cell r="A1516" t="str">
            <v>ETLCUST-00352</v>
          </cell>
          <cell r="B1516" t="str">
            <v>S.S COMPUTER - KHILKHET</v>
          </cell>
          <cell r="C1516" t="str">
            <v>Jiku Saha</v>
          </cell>
          <cell r="D1516" t="str">
            <v>Uttara</v>
          </cell>
          <cell r="E1516" t="str">
            <v>Uttara</v>
          </cell>
          <cell r="Q1516">
            <v>890</v>
          </cell>
          <cell r="R1516">
            <v>12500</v>
          </cell>
          <cell r="T1516">
            <v>11000</v>
          </cell>
          <cell r="V1516">
            <v>32375</v>
          </cell>
          <cell r="X1516">
            <v>36200</v>
          </cell>
          <cell r="AJ1516">
            <v>400200</v>
          </cell>
          <cell r="AM1516">
            <v>106150</v>
          </cell>
          <cell r="AO1516">
            <v>15000</v>
          </cell>
          <cell r="BA1516">
            <v>1022030</v>
          </cell>
        </row>
        <row r="1517">
          <cell r="A1517" t="str">
            <v>ETLCUST-00141</v>
          </cell>
          <cell r="B1517" t="str">
            <v>S.S COMPUTER AND NETWORK - UTTARA</v>
          </cell>
          <cell r="C1517" t="str">
            <v>Dulal Sarker</v>
          </cell>
          <cell r="D1517" t="str">
            <v>Uttara</v>
          </cell>
          <cell r="E1517" t="str">
            <v>Uttara</v>
          </cell>
          <cell r="R1517">
            <v>181900</v>
          </cell>
          <cell r="X1517">
            <v>12000</v>
          </cell>
          <cell r="AJ1517">
            <v>4700</v>
          </cell>
          <cell r="AM1517">
            <v>5180</v>
          </cell>
          <cell r="AO1517">
            <v>6000</v>
          </cell>
          <cell r="AR1517">
            <v>17000</v>
          </cell>
          <cell r="AZ1517">
            <v>3850</v>
          </cell>
          <cell r="BA1517">
            <v>217110</v>
          </cell>
        </row>
        <row r="1518">
          <cell r="A1518" t="str">
            <v>ETLCUST-04573</v>
          </cell>
          <cell r="B1518" t="str">
            <v>S.S. NETWORK SOLUTION - M.PUR</v>
          </cell>
          <cell r="C1518" t="str">
            <v>Sadekur Rahman</v>
          </cell>
          <cell r="D1518" t="str">
            <v>HO-SI</v>
          </cell>
          <cell r="E1518" t="str">
            <v>HO-SI</v>
          </cell>
          <cell r="I1518">
            <v>526800</v>
          </cell>
        </row>
        <row r="1519">
          <cell r="A1519" t="str">
            <v>ETLCUST-05156</v>
          </cell>
          <cell r="B1519" t="str">
            <v>S.T.A.N TECHNOLOGY - SOUTH BANASREE</v>
          </cell>
          <cell r="C1519" t="str">
            <v>Jiku Saha</v>
          </cell>
          <cell r="D1519" t="str">
            <v>Uttara</v>
          </cell>
          <cell r="E1519" t="str">
            <v>Uttara</v>
          </cell>
          <cell r="L1519">
            <v>515000</v>
          </cell>
          <cell r="T1519">
            <v>1555500</v>
          </cell>
          <cell r="X1519">
            <v>10886050</v>
          </cell>
        </row>
        <row r="1520">
          <cell r="A1520" t="str">
            <v>ETLCUST-00356</v>
          </cell>
          <cell r="B1520" t="str">
            <v>SA COMPUTERS - KHILKHET</v>
          </cell>
          <cell r="C1520" t="str">
            <v>Jiku Saha</v>
          </cell>
          <cell r="D1520" t="str">
            <v>Uttara</v>
          </cell>
          <cell r="E1520" t="str">
            <v>Uttara</v>
          </cell>
          <cell r="AM1520">
            <v>17305</v>
          </cell>
          <cell r="AO1520">
            <v>475495</v>
          </cell>
          <cell r="BA1520">
            <v>981425</v>
          </cell>
        </row>
        <row r="1521">
          <cell r="A1521" t="str">
            <v>ETLCUST-04590</v>
          </cell>
          <cell r="B1521" t="str">
            <v>SA COMPUTERS - RAJSHAHI</v>
          </cell>
          <cell r="C1521" t="str">
            <v>Ahmed Bulbul</v>
          </cell>
          <cell r="D1521" t="str">
            <v>Rajshahi</v>
          </cell>
          <cell r="E1521" t="str">
            <v>Rajshahi</v>
          </cell>
          <cell r="P1521">
            <v>33500</v>
          </cell>
          <cell r="X1521">
            <v>6100</v>
          </cell>
          <cell r="AJ1521">
            <v>2200</v>
          </cell>
        </row>
        <row r="1522">
          <cell r="A1522" t="str">
            <v>ETLCUST-01211</v>
          </cell>
          <cell r="B1522" t="str">
            <v>SAAT SAGAR - B.MUKARRAM</v>
          </cell>
          <cell r="C1522" t="str">
            <v>Noor Hossain</v>
          </cell>
          <cell r="D1522" t="str">
            <v>Gulistan</v>
          </cell>
          <cell r="E1522" t="str">
            <v>Gulistan</v>
          </cell>
          <cell r="AZ1522">
            <v>602750</v>
          </cell>
        </row>
        <row r="1523">
          <cell r="A1523" t="str">
            <v>ETLCUST-01286</v>
          </cell>
          <cell r="B1523" t="str">
            <v>SABBIR COMPUTER SALES AND SERVICE - MYMENSINGH</v>
          </cell>
          <cell r="C1523" t="str">
            <v>Rafiqul Islam Sumon</v>
          </cell>
          <cell r="D1523" t="str">
            <v>Mymensingh</v>
          </cell>
          <cell r="E1523" t="str">
            <v>Mymensingh</v>
          </cell>
          <cell r="Q1523">
            <v>1350</v>
          </cell>
          <cell r="T1523">
            <v>336300</v>
          </cell>
          <cell r="V1523">
            <v>49800</v>
          </cell>
          <cell r="X1523">
            <v>3027050</v>
          </cell>
          <cell r="AM1523">
            <v>214395</v>
          </cell>
          <cell r="AO1523">
            <v>481025</v>
          </cell>
          <cell r="AQ1523">
            <v>0</v>
          </cell>
          <cell r="BA1523">
            <v>269500</v>
          </cell>
        </row>
        <row r="1524">
          <cell r="A1524" t="str">
            <v>ETLCUST-01582</v>
          </cell>
          <cell r="B1524" t="str">
            <v>SADIA ENTERPRISE - GULISTAN</v>
          </cell>
          <cell r="C1524" t="str">
            <v>Shamim Hossain</v>
          </cell>
          <cell r="D1524" t="str">
            <v>Gulistan</v>
          </cell>
          <cell r="E1524" t="str">
            <v>Gulistan</v>
          </cell>
          <cell r="AZ1524">
            <v>1531400</v>
          </cell>
        </row>
        <row r="1525">
          <cell r="A1525" t="str">
            <v>ETLCUST-01892</v>
          </cell>
          <cell r="B1525" t="str">
            <v>SAFA DIGITAL SHOP AND TRAVEL - NORSINGDI</v>
          </cell>
          <cell r="C1525" t="str">
            <v>Arafat Hossain</v>
          </cell>
          <cell r="D1525" t="str">
            <v>South Bengal</v>
          </cell>
          <cell r="E1525" t="str">
            <v>South Bengal</v>
          </cell>
          <cell r="G1525">
            <v>10200</v>
          </cell>
          <cell r="X1525">
            <v>12000</v>
          </cell>
          <cell r="AM1525">
            <v>26300</v>
          </cell>
          <cell r="AO1525">
            <v>6875</v>
          </cell>
          <cell r="BA1525">
            <v>27840</v>
          </cell>
        </row>
        <row r="1526">
          <cell r="A1526" t="str">
            <v>ETLCUST-03609</v>
          </cell>
          <cell r="B1526" t="str">
            <v>SAFARI COMPUTER - NARAYANGANJ</v>
          </cell>
          <cell r="C1526" t="str">
            <v>Arafat Hossain</v>
          </cell>
          <cell r="D1526" t="str">
            <v>South Bengal</v>
          </cell>
          <cell r="E1526" t="str">
            <v>South Bengal</v>
          </cell>
          <cell r="X1526">
            <v>712500</v>
          </cell>
        </row>
        <row r="1527">
          <cell r="A1527" t="str">
            <v>ETLCUST-04928</v>
          </cell>
          <cell r="B1527" t="str">
            <v>SAFE COMPUTER AND TECHNOLOGY - MULTIPLAN</v>
          </cell>
          <cell r="C1527" t="str">
            <v>Md Mokshed Ali</v>
          </cell>
          <cell r="D1527" t="str">
            <v>Multiplan</v>
          </cell>
          <cell r="E1527" t="str">
            <v>Multiplan</v>
          </cell>
          <cell r="AR1527">
            <v>39000</v>
          </cell>
          <cell r="BA1527">
            <v>9600</v>
          </cell>
        </row>
        <row r="1528">
          <cell r="A1528" t="str">
            <v>ETLCUST-00362</v>
          </cell>
          <cell r="B1528" t="str">
            <v>SAFE COMPUTER ZONE - BADDA</v>
          </cell>
          <cell r="C1528" t="str">
            <v>Jiku Saha</v>
          </cell>
          <cell r="D1528" t="str">
            <v>Uttara</v>
          </cell>
          <cell r="E1528" t="str">
            <v>Uttara</v>
          </cell>
          <cell r="AM1528">
            <v>14000</v>
          </cell>
        </row>
        <row r="1529">
          <cell r="A1529" t="str">
            <v>ETLCUST-00202</v>
          </cell>
          <cell r="B1529" t="str">
            <v>SAFE COMPUTERS - SHELTECH</v>
          </cell>
          <cell r="C1529" t="str">
            <v>Md. Razan Hossain</v>
          </cell>
          <cell r="D1529" t="str">
            <v>DHB</v>
          </cell>
          <cell r="E1529" t="str">
            <v>DHB</v>
          </cell>
          <cell r="R1529">
            <v>22500</v>
          </cell>
          <cell r="U1529">
            <v>53500</v>
          </cell>
          <cell r="AO1529">
            <v>2700</v>
          </cell>
        </row>
        <row r="1530">
          <cell r="A1530" t="str">
            <v>ETLCUST-01200</v>
          </cell>
          <cell r="B1530" t="str">
            <v>SAFE ICT - AGARGAON</v>
          </cell>
          <cell r="C1530" t="str">
            <v>Amit Sarker</v>
          </cell>
          <cell r="D1530" t="str">
            <v>IDB</v>
          </cell>
          <cell r="E1530" t="str">
            <v>IDB</v>
          </cell>
          <cell r="H1530">
            <v>48000</v>
          </cell>
          <cell r="V1530">
            <v>17000</v>
          </cell>
          <cell r="X1530">
            <v>58400</v>
          </cell>
          <cell r="AM1530">
            <v>1140</v>
          </cell>
          <cell r="AO1530">
            <v>98225</v>
          </cell>
          <cell r="AR1530">
            <v>182000</v>
          </cell>
          <cell r="BA1530">
            <v>38000</v>
          </cell>
        </row>
        <row r="1531">
          <cell r="A1531" t="str">
            <v>ETLCUST-04852</v>
          </cell>
          <cell r="B1531" t="str">
            <v>SAFE WORLD - E.ROAD</v>
          </cell>
          <cell r="C1531" t="str">
            <v>Md. Rony Ahmed</v>
          </cell>
          <cell r="D1531" t="str">
            <v>DHB</v>
          </cell>
          <cell r="E1531" t="str">
            <v>DHB</v>
          </cell>
          <cell r="T1531">
            <v>201000</v>
          </cell>
        </row>
        <row r="1532">
          <cell r="A1532" t="str">
            <v>ETLCUST-04254</v>
          </cell>
          <cell r="B1532" t="str">
            <v>SAFETY (BD) TECHNOLOGY - MAHAKHALI</v>
          </cell>
          <cell r="C1532" t="str">
            <v>Sabuj Das</v>
          </cell>
          <cell r="D1532" t="str">
            <v>HO-SI</v>
          </cell>
          <cell r="E1532" t="str">
            <v>HO-SI</v>
          </cell>
          <cell r="AV1532">
            <v>45000</v>
          </cell>
        </row>
        <row r="1533">
          <cell r="A1533" t="str">
            <v>ETLCUST-03742</v>
          </cell>
          <cell r="B1533" t="str">
            <v>SAFOLLO ELECTRICS - GOBINDAGONJ</v>
          </cell>
          <cell r="C1533" t="str">
            <v>Md Abdullah Al Mamun</v>
          </cell>
          <cell r="D1533" t="str">
            <v>North Bengal</v>
          </cell>
          <cell r="E1533" t="str">
            <v>North Bengal</v>
          </cell>
          <cell r="G1533">
            <v>112000</v>
          </cell>
          <cell r="Q1533">
            <v>890</v>
          </cell>
          <cell r="T1533">
            <v>47000</v>
          </cell>
          <cell r="BA1533">
            <v>435475</v>
          </cell>
        </row>
        <row r="1534">
          <cell r="A1534" t="str">
            <v>ETLCUST-05292</v>
          </cell>
          <cell r="B1534" t="str">
            <v>SAHA ELECTRONICS - NAOGAON</v>
          </cell>
          <cell r="C1534" t="str">
            <v>Md. Abu Basar</v>
          </cell>
          <cell r="D1534" t="str">
            <v>North Bengal</v>
          </cell>
          <cell r="E1534" t="str">
            <v>North Bengal</v>
          </cell>
          <cell r="G1534">
            <v>50000</v>
          </cell>
          <cell r="M1534">
            <v>17000</v>
          </cell>
          <cell r="S1534">
            <v>0</v>
          </cell>
          <cell r="T1534">
            <v>22750</v>
          </cell>
          <cell r="X1534">
            <v>318775</v>
          </cell>
          <cell r="AJ1534">
            <v>3700</v>
          </cell>
          <cell r="AL1534">
            <v>37100</v>
          </cell>
          <cell r="AM1534">
            <v>350765</v>
          </cell>
          <cell r="AQ1534">
            <v>0</v>
          </cell>
          <cell r="BA1534">
            <v>1394875</v>
          </cell>
        </row>
        <row r="1535">
          <cell r="A1535" t="str">
            <v>ETLCUST-05350</v>
          </cell>
          <cell r="B1535" t="str">
            <v>SAKIB ELECTRONICS - BARGUNA</v>
          </cell>
          <cell r="C1535" t="str">
            <v>Md. Aminul Islam</v>
          </cell>
          <cell r="D1535" t="str">
            <v>South Bengal</v>
          </cell>
          <cell r="E1535" t="str">
            <v>South Bengal</v>
          </cell>
          <cell r="S1535">
            <v>0</v>
          </cell>
          <cell r="BA1535">
            <v>244195</v>
          </cell>
        </row>
        <row r="1536">
          <cell r="A1536" t="str">
            <v>ETLCUST-02059</v>
          </cell>
          <cell r="B1536" t="str">
            <v>SALEHA METAL INDUSTRIES LTD</v>
          </cell>
          <cell r="C1536" t="str">
            <v>Abu Zahid Sobuj</v>
          </cell>
          <cell r="D1536" t="str">
            <v>Corporate</v>
          </cell>
          <cell r="E1536" t="str">
            <v>Corporate</v>
          </cell>
          <cell r="AD1536">
            <v>6500</v>
          </cell>
        </row>
        <row r="1537">
          <cell r="A1537" t="str">
            <v>ETLCUST-01326</v>
          </cell>
          <cell r="B1537" t="str">
            <v>SALIM COMPUTER SERVICE AND SALES CENTER - CHOWMUHANI</v>
          </cell>
          <cell r="C1537" t="str">
            <v>Reazuddin</v>
          </cell>
          <cell r="D1537" t="str">
            <v>CTG</v>
          </cell>
          <cell r="E1537" t="str">
            <v>CTG</v>
          </cell>
          <cell r="Q1537">
            <v>890</v>
          </cell>
          <cell r="S1537">
            <v>0</v>
          </cell>
          <cell r="T1537">
            <v>386750</v>
          </cell>
          <cell r="X1537">
            <v>535076</v>
          </cell>
          <cell r="AL1537">
            <v>-221400</v>
          </cell>
          <cell r="AM1537">
            <v>216930</v>
          </cell>
          <cell r="AQ1537">
            <v>0</v>
          </cell>
          <cell r="BA1537">
            <v>5726780</v>
          </cell>
        </row>
        <row r="1538">
          <cell r="A1538" t="str">
            <v>ETLCUST-05415</v>
          </cell>
          <cell r="B1538" t="str">
            <v xml:space="preserve">SALIM ELECTRONICS - JAMALPUR </v>
          </cell>
          <cell r="C1538" t="str">
            <v>Md. Sujon Mia</v>
          </cell>
          <cell r="D1538" t="str">
            <v>Mymensingh</v>
          </cell>
          <cell r="E1538" t="str">
            <v>Mymensingh</v>
          </cell>
          <cell r="S1538">
            <v>0</v>
          </cell>
          <cell r="AL1538">
            <v>41750</v>
          </cell>
          <cell r="AM1538">
            <v>173750</v>
          </cell>
          <cell r="AQ1538">
            <v>0</v>
          </cell>
          <cell r="BA1538">
            <v>867025</v>
          </cell>
        </row>
        <row r="1539">
          <cell r="A1539" t="str">
            <v>ETLCUST-00173</v>
          </cell>
          <cell r="B1539" t="str">
            <v>SALTA COMPUTER SYSTEM LTD - IDB</v>
          </cell>
          <cell r="C1539" t="str">
            <v>Gaji Parvin Nesa</v>
          </cell>
          <cell r="D1539" t="str">
            <v>IDB</v>
          </cell>
          <cell r="E1539" t="str">
            <v>IDB</v>
          </cell>
          <cell r="BA1539">
            <v>9790</v>
          </cell>
        </row>
        <row r="1540">
          <cell r="A1540" t="str">
            <v>ETLCUST-04367</v>
          </cell>
          <cell r="B1540" t="str">
            <v>SAMANTA COMPUTER &amp; SERVICES - IDB</v>
          </cell>
          <cell r="C1540" t="str">
            <v>Fajle Rabbi</v>
          </cell>
          <cell r="D1540" t="str">
            <v>IDB</v>
          </cell>
          <cell r="E1540" t="str">
            <v>IDB</v>
          </cell>
          <cell r="AR1540">
            <v>4750</v>
          </cell>
          <cell r="BA1540">
            <v>11850</v>
          </cell>
        </row>
        <row r="1541">
          <cell r="A1541" t="str">
            <v>ETLCUST-00637</v>
          </cell>
          <cell r="B1541" t="str">
            <v>SAMIR ELECTRONICS - GOBINDAGONJ</v>
          </cell>
          <cell r="C1541" t="str">
            <v>Md Abdullah Al Mamun</v>
          </cell>
          <cell r="D1541" t="str">
            <v>North Bengal</v>
          </cell>
          <cell r="E1541" t="str">
            <v>North Bengal</v>
          </cell>
          <cell r="G1541">
            <v>736000</v>
          </cell>
          <cell r="P1541">
            <v>25600</v>
          </cell>
          <cell r="R1541">
            <v>22500</v>
          </cell>
          <cell r="S1541">
            <v>0</v>
          </cell>
          <cell r="T1541">
            <v>737250</v>
          </cell>
          <cell r="X1541">
            <v>75200</v>
          </cell>
          <cell r="AL1541">
            <v>127300</v>
          </cell>
          <cell r="AM1541">
            <v>682805</v>
          </cell>
          <cell r="AQ1541">
            <v>0</v>
          </cell>
          <cell r="AZ1541">
            <v>52640</v>
          </cell>
          <cell r="BA1541">
            <v>3735390</v>
          </cell>
        </row>
        <row r="1542">
          <cell r="A1542" t="str">
            <v>ETLCUST-00311</v>
          </cell>
          <cell r="B1542" t="str">
            <v>SAMIYA COMPUTER - MULTIPLAN</v>
          </cell>
          <cell r="C1542" t="str">
            <v>Md Nur Karim Chowdhury</v>
          </cell>
          <cell r="D1542" t="str">
            <v>Multiplan</v>
          </cell>
          <cell r="E1542" t="str">
            <v>Multiplan</v>
          </cell>
          <cell r="R1542">
            <v>1768000</v>
          </cell>
          <cell r="AT1542">
            <v>1424400</v>
          </cell>
        </row>
        <row r="1543">
          <cell r="A1543" t="str">
            <v>ETLCUST-04601</v>
          </cell>
          <cell r="B1543" t="str">
            <v>SAMSUNG COMPUTER - CTG</v>
          </cell>
          <cell r="C1543" t="str">
            <v>Md. Mamunur Rashid</v>
          </cell>
          <cell r="D1543" t="str">
            <v>CTG</v>
          </cell>
          <cell r="E1543" t="str">
            <v>CTG</v>
          </cell>
          <cell r="R1543">
            <v>81250</v>
          </cell>
          <cell r="U1543">
            <v>3950</v>
          </cell>
          <cell r="X1543">
            <v>14600</v>
          </cell>
          <cell r="AF1543">
            <v>209000</v>
          </cell>
          <cell r="AK1543">
            <v>67000</v>
          </cell>
          <cell r="AT1543">
            <v>10526</v>
          </cell>
          <cell r="BA1543">
            <v>-17250</v>
          </cell>
        </row>
        <row r="1544">
          <cell r="A1544" t="str">
            <v>ETLCUST-03525</v>
          </cell>
          <cell r="B1544" t="str">
            <v>SANCHITA TELECOM - BHANGURA</v>
          </cell>
          <cell r="C1544" t="str">
            <v>Forhad Rubel</v>
          </cell>
          <cell r="D1544" t="str">
            <v>North Bengal</v>
          </cell>
          <cell r="E1544" t="str">
            <v>North Bengal</v>
          </cell>
          <cell r="G1544">
            <v>763000</v>
          </cell>
          <cell r="L1544">
            <v>20600</v>
          </cell>
          <cell r="Q1544">
            <v>1350</v>
          </cell>
          <cell r="AM1544">
            <v>105580</v>
          </cell>
          <cell r="BA1544">
            <v>711575</v>
          </cell>
        </row>
        <row r="1545">
          <cell r="A1545" t="str">
            <v>ETLCUST-05229</v>
          </cell>
          <cell r="B1545" t="str">
            <v>SANMAR PROPERTIES LIMITED</v>
          </cell>
          <cell r="C1545" t="str">
            <v>Akter Hossen Nishan</v>
          </cell>
          <cell r="D1545" t="str">
            <v>Corporate</v>
          </cell>
          <cell r="E1545" t="str">
            <v>Corporate</v>
          </cell>
          <cell r="U1545">
            <v>394500</v>
          </cell>
        </row>
        <row r="1546">
          <cell r="A1546" t="str">
            <v>ETLCUST-01271</v>
          </cell>
          <cell r="B1546" t="str">
            <v>SANNY COMPUTER - SHERPUR</v>
          </cell>
          <cell r="C1546" t="str">
            <v>Md. Sujon Mia</v>
          </cell>
          <cell r="D1546" t="str">
            <v>Mymensingh</v>
          </cell>
          <cell r="E1546" t="str">
            <v>Mymensingh</v>
          </cell>
          <cell r="R1546">
            <v>37900</v>
          </cell>
          <cell r="S1546">
            <v>0</v>
          </cell>
          <cell r="AL1546">
            <v>64950</v>
          </cell>
          <cell r="AM1546">
            <v>70730</v>
          </cell>
          <cell r="BA1546">
            <v>420770</v>
          </cell>
        </row>
        <row r="1547">
          <cell r="A1547" t="str">
            <v>ETLCUST-03998</v>
          </cell>
          <cell r="B1547" t="str">
            <v>SAPNO DHARA IT PALACE AND COMPUTER - MAGURA</v>
          </cell>
          <cell r="C1547" t="str">
            <v>Md Rakibul Islam</v>
          </cell>
          <cell r="D1547" t="str">
            <v>South Bengal</v>
          </cell>
          <cell r="E1547" t="str">
            <v>South Bengal</v>
          </cell>
          <cell r="G1547">
            <v>100000</v>
          </cell>
          <cell r="S1547">
            <v>0</v>
          </cell>
          <cell r="X1547">
            <v>24000</v>
          </cell>
          <cell r="AM1547">
            <v>146710</v>
          </cell>
          <cell r="AQ1547">
            <v>0</v>
          </cell>
          <cell r="BA1547">
            <v>395820</v>
          </cell>
        </row>
        <row r="1548">
          <cell r="A1548" t="str">
            <v>ETLCUST-01855</v>
          </cell>
          <cell r="B1548" t="str">
            <v>SARA TECHNOLOGY - MULTIPLAN</v>
          </cell>
          <cell r="C1548" t="str">
            <v>Md. Anamul Hoque</v>
          </cell>
          <cell r="D1548" t="str">
            <v>Multiplan</v>
          </cell>
          <cell r="E1548" t="str">
            <v>Multiplan</v>
          </cell>
          <cell r="I1548">
            <v>68000</v>
          </cell>
          <cell r="P1548">
            <v>105600</v>
          </cell>
          <cell r="T1548">
            <v>1255800</v>
          </cell>
          <cell r="U1548">
            <v>455700</v>
          </cell>
          <cell r="X1548">
            <v>16477800</v>
          </cell>
          <cell r="AJ1548">
            <v>886550</v>
          </cell>
          <cell r="AV1548">
            <v>282000</v>
          </cell>
        </row>
        <row r="1549">
          <cell r="A1549" t="str">
            <v>ETLCUST-04779</v>
          </cell>
          <cell r="B1549" t="str">
            <v>SARDER ELECTRONICS - BARISHAL</v>
          </cell>
          <cell r="C1549" t="str">
            <v>Md. Aminul Islam</v>
          </cell>
          <cell r="D1549" t="str">
            <v>South Bengal</v>
          </cell>
          <cell r="E1549" t="str">
            <v>South Bengal</v>
          </cell>
          <cell r="S1549">
            <v>0</v>
          </cell>
          <cell r="AM1549">
            <v>16100</v>
          </cell>
          <cell r="BA1549">
            <v>91865</v>
          </cell>
        </row>
        <row r="1550">
          <cell r="A1550" t="str">
            <v>ETLCUST-03531</v>
          </cell>
          <cell r="B1550" t="str">
            <v>SARK COMPUTERS AND SOLUTION CENTER - NARAYANGANJ</v>
          </cell>
          <cell r="C1550" t="str">
            <v>Arafat Hossain</v>
          </cell>
          <cell r="D1550" t="str">
            <v>South Bengal</v>
          </cell>
          <cell r="E1550" t="str">
            <v>South Bengal</v>
          </cell>
          <cell r="Q1550">
            <v>2700</v>
          </cell>
          <cell r="AM1550">
            <v>425</v>
          </cell>
          <cell r="BA1550">
            <v>625355</v>
          </cell>
        </row>
        <row r="1551">
          <cell r="A1551" t="str">
            <v>ETLCUST-05258</v>
          </cell>
          <cell r="B1551" t="str">
            <v>SARKAR ELECTRONICS &amp; SECURITY SOLUTION - SAVAR</v>
          </cell>
          <cell r="C1551" t="str">
            <v>Biplop Kumar</v>
          </cell>
          <cell r="D1551" t="str">
            <v>DHK-EXT</v>
          </cell>
          <cell r="E1551" t="str">
            <v>DHK-EXT</v>
          </cell>
          <cell r="AJ1551">
            <v>33600</v>
          </cell>
        </row>
        <row r="1552">
          <cell r="A1552" t="str">
            <v>ETLCUST-01586</v>
          </cell>
          <cell r="B1552" t="str">
            <v>SARKER ELECTRONICS - GULISTAN</v>
          </cell>
          <cell r="C1552" t="str">
            <v>Shamim Hossain</v>
          </cell>
          <cell r="D1552" t="str">
            <v>Gulistan</v>
          </cell>
          <cell r="E1552" t="str">
            <v>Gulistan</v>
          </cell>
          <cell r="AZ1552">
            <v>362600</v>
          </cell>
        </row>
        <row r="1553">
          <cell r="A1553" t="str">
            <v>ETLCUST-01247</v>
          </cell>
          <cell r="B1553" t="str">
            <v>SARKER INTERNATIONAL - B.MUKARRAM</v>
          </cell>
          <cell r="C1553" t="str">
            <v>Md. Sahedul Islam</v>
          </cell>
          <cell r="D1553" t="str">
            <v>Motijheel</v>
          </cell>
          <cell r="E1553" t="str">
            <v>Motijheel</v>
          </cell>
          <cell r="S1553">
            <v>0</v>
          </cell>
          <cell r="AO1553">
            <v>513200</v>
          </cell>
          <cell r="BA1553">
            <v>6056485</v>
          </cell>
        </row>
        <row r="1554">
          <cell r="A1554" t="str">
            <v>ETLCUST-00955</v>
          </cell>
          <cell r="B1554" t="str">
            <v>SATATA ELECTRONICS - GULISTAN</v>
          </cell>
          <cell r="C1554" t="str">
            <v>Md Kamrul Hasan Sabuz</v>
          </cell>
          <cell r="D1554" t="str">
            <v>Gulistan</v>
          </cell>
          <cell r="E1554" t="str">
            <v>Gulistan</v>
          </cell>
          <cell r="G1554">
            <v>112000</v>
          </cell>
          <cell r="S1554">
            <v>0</v>
          </cell>
          <cell r="AM1554">
            <v>612250</v>
          </cell>
          <cell r="AQ1554">
            <v>0</v>
          </cell>
          <cell r="AZ1554">
            <v>2096700</v>
          </cell>
          <cell r="BA1554">
            <v>18041655</v>
          </cell>
        </row>
        <row r="1555">
          <cell r="A1555" t="str">
            <v>ETLCUST-04600</v>
          </cell>
          <cell r="B1555" t="str">
            <v>SATELLITE VISION - CHANDPUR</v>
          </cell>
          <cell r="C1555" t="str">
            <v>Nazmul Amin Sajib</v>
          </cell>
          <cell r="D1555" t="str">
            <v>CTG</v>
          </cell>
          <cell r="E1555" t="str">
            <v>CTG</v>
          </cell>
          <cell r="AM1555">
            <v>29700</v>
          </cell>
          <cell r="AQ1555">
            <v>0</v>
          </cell>
        </row>
        <row r="1556">
          <cell r="A1556" t="str">
            <v>ETLCUST-00694</v>
          </cell>
          <cell r="B1556" t="str">
            <v>SATKHIRA NET SERVICE - SATKHIRA</v>
          </cell>
          <cell r="C1556" t="str">
            <v>Imrul Rayhan</v>
          </cell>
          <cell r="D1556" t="str">
            <v>Khulna</v>
          </cell>
          <cell r="E1556" t="str">
            <v>Khulna</v>
          </cell>
          <cell r="G1556">
            <v>5100</v>
          </cell>
          <cell r="AM1556">
            <v>39600</v>
          </cell>
          <cell r="AQ1556">
            <v>0</v>
          </cell>
          <cell r="BA1556">
            <v>131970</v>
          </cell>
        </row>
        <row r="1557">
          <cell r="A1557" t="str">
            <v>ETLCUST-01294</v>
          </cell>
          <cell r="B1557" t="str">
            <v>SATTAR ELECTRONICS - SHERPUR</v>
          </cell>
          <cell r="C1557" t="str">
            <v>Md. Sujon Mia</v>
          </cell>
          <cell r="D1557" t="str">
            <v>Mymensingh</v>
          </cell>
          <cell r="E1557" t="str">
            <v>Mymensingh</v>
          </cell>
          <cell r="S1557">
            <v>0</v>
          </cell>
          <cell r="AL1557">
            <v>52205</v>
          </cell>
          <cell r="AM1557">
            <v>2019110</v>
          </cell>
          <cell r="AQ1557">
            <v>0</v>
          </cell>
          <cell r="BA1557">
            <v>9639095</v>
          </cell>
        </row>
        <row r="1558">
          <cell r="A1558" t="str">
            <v>ETLCUST-01451</v>
          </cell>
          <cell r="B1558" t="str">
            <v>SAVE COMPUTER SYSTEMS - BARISAL</v>
          </cell>
          <cell r="C1558" t="str">
            <v>Shah Imran</v>
          </cell>
          <cell r="D1558" t="str">
            <v>South Bengal</v>
          </cell>
          <cell r="E1558" t="str">
            <v>South Bengal</v>
          </cell>
          <cell r="BA1558">
            <v>54920</v>
          </cell>
        </row>
        <row r="1559">
          <cell r="A1559" t="str">
            <v>ETLCUST-02455</v>
          </cell>
          <cell r="B1559" t="str">
            <v>SBAC BANK PLC.</v>
          </cell>
          <cell r="C1559" t="str">
            <v>Siddiqur Rahman</v>
          </cell>
          <cell r="D1559" t="str">
            <v>Corporate</v>
          </cell>
          <cell r="E1559" t="str">
            <v>Corporate</v>
          </cell>
          <cell r="AD1559">
            <v>17645.45</v>
          </cell>
        </row>
        <row r="1560">
          <cell r="A1560" t="str">
            <v>ETLCUST-01269</v>
          </cell>
          <cell r="B1560" t="str">
            <v>SD GLOBALIZATION - NETROKONA</v>
          </cell>
          <cell r="C1560" t="str">
            <v>Rafiqul Islam Sumon</v>
          </cell>
          <cell r="D1560" t="str">
            <v>Mymensingh</v>
          </cell>
          <cell r="E1560" t="str">
            <v>Mymensingh</v>
          </cell>
          <cell r="P1560">
            <v>17500</v>
          </cell>
          <cell r="S1560">
            <v>0</v>
          </cell>
          <cell r="AJ1560">
            <v>30120</v>
          </cell>
          <cell r="AM1560">
            <v>17635</v>
          </cell>
          <cell r="AQ1560">
            <v>0</v>
          </cell>
          <cell r="AT1560">
            <v>18150</v>
          </cell>
          <cell r="BA1560">
            <v>922495</v>
          </cell>
        </row>
        <row r="1561">
          <cell r="A1561" t="str">
            <v>ETLCUST-04609</v>
          </cell>
          <cell r="B1561" t="str">
            <v>SE STORE - RAJSHAHI</v>
          </cell>
          <cell r="C1561" t="str">
            <v>Ahmed Bulbul</v>
          </cell>
          <cell r="D1561" t="str">
            <v>Rajshahi</v>
          </cell>
          <cell r="E1561" t="str">
            <v>Rajshahi</v>
          </cell>
          <cell r="G1561">
            <v>28000</v>
          </cell>
          <cell r="AL1561">
            <v>50350</v>
          </cell>
          <cell r="AM1561">
            <v>14500</v>
          </cell>
          <cell r="BA1561">
            <v>222570</v>
          </cell>
        </row>
        <row r="1562">
          <cell r="A1562" t="str">
            <v>ETLCUST-03939</v>
          </cell>
          <cell r="B1562" t="str">
            <v xml:space="preserve">SEBA TECHNOLOGIES -GAZIPUR </v>
          </cell>
          <cell r="C1562" t="str">
            <v>MD. Shipon Ali</v>
          </cell>
          <cell r="D1562" t="str">
            <v>Uttara</v>
          </cell>
          <cell r="E1562" t="str">
            <v>Uttara</v>
          </cell>
          <cell r="G1562">
            <v>853200</v>
          </cell>
          <cell r="S1562">
            <v>0</v>
          </cell>
          <cell r="T1562">
            <v>975800</v>
          </cell>
          <cell r="X1562">
            <v>1702100</v>
          </cell>
          <cell r="AK1562">
            <v>91000</v>
          </cell>
          <cell r="AL1562">
            <v>446805</v>
          </cell>
          <cell r="AM1562">
            <v>781115</v>
          </cell>
          <cell r="AO1562">
            <v>34250</v>
          </cell>
          <cell r="AQ1562">
            <v>0</v>
          </cell>
          <cell r="AV1562">
            <v>93600</v>
          </cell>
          <cell r="AZ1562">
            <v>3750</v>
          </cell>
          <cell r="BA1562">
            <v>3353275</v>
          </cell>
        </row>
        <row r="1563">
          <cell r="A1563" t="str">
            <v>ETLCUST-03809</v>
          </cell>
          <cell r="B1563" t="str">
            <v>SECURA (BANGLADESH) LIMITED</v>
          </cell>
          <cell r="C1563" t="str">
            <v>Abu Zahid Sobuj</v>
          </cell>
          <cell r="D1563" t="str">
            <v>Corporate</v>
          </cell>
          <cell r="E1563" t="str">
            <v>Corporate</v>
          </cell>
          <cell r="I1563">
            <v>1581.9</v>
          </cell>
          <cell r="S1563">
            <v>7272.73</v>
          </cell>
          <cell r="U1563">
            <v>4350</v>
          </cell>
          <cell r="AD1563">
            <v>665454.44999999995</v>
          </cell>
          <cell r="AR1563">
            <v>41727.270000000004</v>
          </cell>
          <cell r="AV1563">
            <v>44909.23000000001</v>
          </cell>
          <cell r="AY1563">
            <v>22626.26</v>
          </cell>
        </row>
        <row r="1564">
          <cell r="A1564" t="str">
            <v>ETLCUST-03676</v>
          </cell>
          <cell r="B1564" t="str">
            <v>SECURITY BAZAR BD - DHANMONDI</v>
          </cell>
          <cell r="C1564" t="str">
            <v>Md. Abdus Satter</v>
          </cell>
          <cell r="D1564" t="str">
            <v>HO-SI</v>
          </cell>
          <cell r="E1564" t="str">
            <v>HO-SI</v>
          </cell>
          <cell r="X1564">
            <v>16500</v>
          </cell>
        </row>
        <row r="1565">
          <cell r="A1565" t="str">
            <v>ETLCUST-01345</v>
          </cell>
          <cell r="B1565" t="str">
            <v>SELF POWER SERVICES - FARIDPUR</v>
          </cell>
          <cell r="C1565" t="str">
            <v>Hanif shek</v>
          </cell>
          <cell r="D1565" t="str">
            <v>South Bengal</v>
          </cell>
          <cell r="E1565" t="str">
            <v>South Bengal</v>
          </cell>
          <cell r="X1565">
            <v>175900</v>
          </cell>
          <cell r="AQ1565">
            <v>0</v>
          </cell>
        </row>
        <row r="1566">
          <cell r="A1566" t="str">
            <v>ETLCUST-03894</v>
          </cell>
          <cell r="B1566" t="str">
            <v>SENA HOTEL DEVELOPMENTS LTD.</v>
          </cell>
          <cell r="C1566" t="str">
            <v>Akter Hossen Nishan</v>
          </cell>
          <cell r="D1566" t="str">
            <v>Corporate</v>
          </cell>
          <cell r="E1566" t="str">
            <v>Corporate</v>
          </cell>
          <cell r="AJ1566">
            <v>229947.28</v>
          </cell>
          <cell r="AR1566">
            <v>83454.539999999994</v>
          </cell>
        </row>
        <row r="1567">
          <cell r="A1567" t="str">
            <v>ETLCUST-04021</v>
          </cell>
          <cell r="B1567" t="str">
            <v>SENSOR TECHNOLOGY - UTTARA</v>
          </cell>
          <cell r="C1567" t="str">
            <v>Dulal Sarker</v>
          </cell>
          <cell r="D1567" t="str">
            <v>Uttara</v>
          </cell>
          <cell r="E1567" t="str">
            <v>Uttara</v>
          </cell>
          <cell r="R1567">
            <v>39000</v>
          </cell>
          <cell r="U1567">
            <v>2500</v>
          </cell>
          <cell r="AJ1567">
            <v>260840</v>
          </cell>
          <cell r="AL1567">
            <v>1990</v>
          </cell>
        </row>
        <row r="1568">
          <cell r="A1568" t="str">
            <v>ETLCUST-04154</v>
          </cell>
          <cell r="B1568" t="str">
            <v>SERVICE - CASH - BARISHAL CSP</v>
          </cell>
          <cell r="C1568" t="str">
            <v>Prasun Samadder</v>
          </cell>
          <cell r="D1568" t="str">
            <v>CSP</v>
          </cell>
          <cell r="E1568" t="str">
            <v>CSP</v>
          </cell>
          <cell r="J1568">
            <v>29960</v>
          </cell>
          <cell r="R1568">
            <v>108300</v>
          </cell>
          <cell r="T1568">
            <v>4000</v>
          </cell>
          <cell r="X1568">
            <v>6000</v>
          </cell>
          <cell r="BA1568">
            <v>900</v>
          </cell>
        </row>
        <row r="1569">
          <cell r="A1569" t="str">
            <v>ETLCUST-02581</v>
          </cell>
          <cell r="B1569" t="str">
            <v>SERVICE - CASH - BOGURA CSP</v>
          </cell>
          <cell r="C1569" t="str">
            <v>Tusher Ahmad</v>
          </cell>
          <cell r="D1569" t="str">
            <v>CSP</v>
          </cell>
          <cell r="E1569" t="str">
            <v>CSP</v>
          </cell>
          <cell r="J1569">
            <v>61385</v>
          </cell>
          <cell r="R1569">
            <v>5000</v>
          </cell>
          <cell r="X1569">
            <v>16900</v>
          </cell>
          <cell r="BA1569">
            <v>34160</v>
          </cell>
        </row>
        <row r="1570">
          <cell r="A1570" t="str">
            <v>ETLCUST-02580</v>
          </cell>
          <cell r="B1570" t="str">
            <v>SERVICE - CASH - CENTRAL CSP</v>
          </cell>
          <cell r="C1570" t="str">
            <v>Prahallad Chandra Datta</v>
          </cell>
          <cell r="D1570" t="str">
            <v>CSP</v>
          </cell>
          <cell r="E1570" t="str">
            <v>CSP</v>
          </cell>
          <cell r="J1570">
            <v>1062250</v>
          </cell>
          <cell r="O1570">
            <v>3750</v>
          </cell>
          <cell r="R1570">
            <v>5020135</v>
          </cell>
          <cell r="T1570">
            <v>10600</v>
          </cell>
          <cell r="X1570">
            <v>18050</v>
          </cell>
          <cell r="AL1570">
            <v>600</v>
          </cell>
          <cell r="AT1570">
            <v>4000</v>
          </cell>
          <cell r="BA1570">
            <v>418920</v>
          </cell>
        </row>
        <row r="1571">
          <cell r="A1571" t="str">
            <v>ETLCUST-02583</v>
          </cell>
          <cell r="B1571" t="str">
            <v>SERVICE - CASH - CTG CSP</v>
          </cell>
          <cell r="C1571" t="str">
            <v>Anupom Mozumder</v>
          </cell>
          <cell r="D1571" t="str">
            <v>CSP</v>
          </cell>
          <cell r="E1571" t="str">
            <v>CSP</v>
          </cell>
          <cell r="G1571">
            <v>12250</v>
          </cell>
          <cell r="J1571">
            <v>191240</v>
          </cell>
          <cell r="R1571">
            <v>154350</v>
          </cell>
          <cell r="S1571">
            <v>12740</v>
          </cell>
          <cell r="T1571">
            <v>400</v>
          </cell>
          <cell r="U1571">
            <v>5955</v>
          </cell>
          <cell r="X1571">
            <v>11040</v>
          </cell>
          <cell r="AK1571">
            <v>1850</v>
          </cell>
          <cell r="AL1571">
            <v>9100</v>
          </cell>
          <cell r="AQ1571">
            <v>9389</v>
          </cell>
          <cell r="BA1571">
            <v>86110</v>
          </cell>
        </row>
        <row r="1572">
          <cell r="A1572" t="str">
            <v>ETLCUST-03335</v>
          </cell>
          <cell r="B1572" t="str">
            <v>SERVICE - CASH - FENI CSP</v>
          </cell>
          <cell r="C1572" t="str">
            <v>Iqbal Hosen</v>
          </cell>
          <cell r="D1572" t="str">
            <v>CSP</v>
          </cell>
          <cell r="E1572" t="str">
            <v>CSP</v>
          </cell>
          <cell r="J1572">
            <v>77105</v>
          </cell>
          <cell r="R1572">
            <v>4500</v>
          </cell>
          <cell r="BA1572">
            <v>13460</v>
          </cell>
        </row>
        <row r="1573">
          <cell r="A1573" t="str">
            <v>ETLCUST-03895</v>
          </cell>
          <cell r="B1573" t="str">
            <v>SERVICE - CASH - GAZIPUR CSP</v>
          </cell>
          <cell r="C1573" t="str">
            <v>Abul Basar Rakib</v>
          </cell>
          <cell r="D1573" t="str">
            <v>CSP</v>
          </cell>
          <cell r="E1573" t="str">
            <v>CSP</v>
          </cell>
          <cell r="G1573">
            <v>750</v>
          </cell>
          <cell r="J1573">
            <v>51075</v>
          </cell>
          <cell r="R1573">
            <v>29700</v>
          </cell>
          <cell r="T1573">
            <v>450</v>
          </cell>
          <cell r="X1573">
            <v>2800</v>
          </cell>
          <cell r="BA1573">
            <v>64115</v>
          </cell>
        </row>
        <row r="1574">
          <cell r="A1574" t="str">
            <v>ETLCUST-02584</v>
          </cell>
          <cell r="B1574" t="str">
            <v>SERVICE - CASH - GULISTAN CSP</v>
          </cell>
          <cell r="C1574" t="str">
            <v>Sadir Chowdhury</v>
          </cell>
          <cell r="D1574" t="str">
            <v>CSP</v>
          </cell>
          <cell r="E1574" t="str">
            <v>CSP</v>
          </cell>
          <cell r="J1574">
            <v>219780</v>
          </cell>
          <cell r="T1574">
            <v>1000</v>
          </cell>
          <cell r="AK1574">
            <v>300</v>
          </cell>
          <cell r="AL1574">
            <v>600</v>
          </cell>
          <cell r="AM1574">
            <v>18300</v>
          </cell>
          <cell r="BA1574">
            <v>202860</v>
          </cell>
        </row>
        <row r="1575">
          <cell r="A1575" t="str">
            <v>ETLCUST-02585</v>
          </cell>
          <cell r="B1575" t="str">
            <v>SERVICE - CASH - IDB CSP</v>
          </cell>
          <cell r="C1575" t="str">
            <v>Md. Taohidur Rahman</v>
          </cell>
          <cell r="D1575" t="str">
            <v>CSP</v>
          </cell>
          <cell r="E1575" t="str">
            <v>CSP</v>
          </cell>
          <cell r="J1575">
            <v>268690</v>
          </cell>
          <cell r="R1575">
            <v>87200</v>
          </cell>
          <cell r="T1575">
            <v>300</v>
          </cell>
          <cell r="U1575">
            <v>660</v>
          </cell>
          <cell r="X1575">
            <v>1650</v>
          </cell>
          <cell r="AY1575">
            <v>300</v>
          </cell>
          <cell r="BA1575">
            <v>75095</v>
          </cell>
        </row>
        <row r="1576">
          <cell r="A1576" t="str">
            <v>ETLCUST-02586</v>
          </cell>
          <cell r="B1576" t="str">
            <v>SERVICE - CASH - KHULNA CSP</v>
          </cell>
          <cell r="C1576" t="str">
            <v>Abu Yousuf</v>
          </cell>
          <cell r="D1576" t="str">
            <v>CSP</v>
          </cell>
          <cell r="E1576" t="str">
            <v>CSP</v>
          </cell>
          <cell r="J1576">
            <v>43550</v>
          </cell>
          <cell r="R1576">
            <v>75500</v>
          </cell>
          <cell r="BA1576">
            <v>37050.400000000001</v>
          </cell>
        </row>
        <row r="1577">
          <cell r="A1577" t="str">
            <v>ETLCUST-02587</v>
          </cell>
          <cell r="B1577" t="str">
            <v>SERVICE - CASH - MOTIJHEEL CSP</v>
          </cell>
          <cell r="C1577" t="str">
            <v>Aminul Islam</v>
          </cell>
          <cell r="D1577" t="str">
            <v>CSP</v>
          </cell>
          <cell r="E1577" t="str">
            <v>CSP</v>
          </cell>
          <cell r="J1577">
            <v>127260</v>
          </cell>
          <cell r="R1577">
            <v>496100</v>
          </cell>
          <cell r="T1577">
            <v>500</v>
          </cell>
          <cell r="U1577">
            <v>4050</v>
          </cell>
          <cell r="AT1577">
            <v>7000</v>
          </cell>
          <cell r="BA1577">
            <v>68780</v>
          </cell>
        </row>
        <row r="1578">
          <cell r="A1578" t="str">
            <v>ETLCUST-03611</v>
          </cell>
          <cell r="B1578" t="str">
            <v>SERVICE - CASH - MYMENSINGH CSP</v>
          </cell>
          <cell r="C1578" t="str">
            <v>Khairul Islam</v>
          </cell>
          <cell r="D1578" t="str">
            <v>CSP</v>
          </cell>
          <cell r="E1578" t="str">
            <v>CSP</v>
          </cell>
          <cell r="J1578">
            <v>112720</v>
          </cell>
          <cell r="R1578">
            <v>113800</v>
          </cell>
          <cell r="T1578">
            <v>2800</v>
          </cell>
          <cell r="X1578">
            <v>2250</v>
          </cell>
          <cell r="AM1578">
            <v>2560</v>
          </cell>
          <cell r="BA1578">
            <v>20980</v>
          </cell>
        </row>
        <row r="1579">
          <cell r="A1579" t="str">
            <v>ETLCUST-04343</v>
          </cell>
          <cell r="B1579" t="str">
            <v>SERVICE - CASH - NARAYANGANJ CSP</v>
          </cell>
          <cell r="C1579" t="str">
            <v>Md. Rabbil Sheikh</v>
          </cell>
          <cell r="D1579" t="str">
            <v>CSP</v>
          </cell>
          <cell r="E1579" t="str">
            <v>CSP</v>
          </cell>
          <cell r="G1579">
            <v>2250</v>
          </cell>
          <cell r="J1579">
            <v>144755</v>
          </cell>
          <cell r="R1579">
            <v>23200</v>
          </cell>
          <cell r="T1579">
            <v>11200</v>
          </cell>
          <cell r="X1579">
            <v>1500</v>
          </cell>
          <cell r="BA1579">
            <v>120550</v>
          </cell>
        </row>
        <row r="1580">
          <cell r="A1580" t="str">
            <v>ETLCUST-02588</v>
          </cell>
          <cell r="B1580" t="str">
            <v>SERVICE - CASH - RAJSHAHI CSP</v>
          </cell>
          <cell r="C1580" t="str">
            <v>Jahidul Islam</v>
          </cell>
          <cell r="D1580" t="str">
            <v>CSP</v>
          </cell>
          <cell r="E1580" t="str">
            <v>CSP</v>
          </cell>
          <cell r="J1580">
            <v>45600</v>
          </cell>
          <cell r="R1580">
            <v>47800</v>
          </cell>
          <cell r="X1580">
            <v>7000</v>
          </cell>
          <cell r="BA1580">
            <v>7290</v>
          </cell>
        </row>
        <row r="1581">
          <cell r="A1581" t="str">
            <v>ETLCUST-02589</v>
          </cell>
          <cell r="B1581" t="str">
            <v>SERVICE - CASH - RANGPUR CSP</v>
          </cell>
          <cell r="C1581" t="str">
            <v>Abdul Latif</v>
          </cell>
          <cell r="D1581" t="str">
            <v>CSP</v>
          </cell>
          <cell r="E1581" t="str">
            <v>CSP</v>
          </cell>
          <cell r="G1581">
            <v>5080</v>
          </cell>
          <cell r="J1581">
            <v>90095</v>
          </cell>
          <cell r="R1581">
            <v>51700</v>
          </cell>
          <cell r="X1581">
            <v>1200</v>
          </cell>
          <cell r="AL1581">
            <v>250</v>
          </cell>
          <cell r="BA1581">
            <v>54810</v>
          </cell>
        </row>
        <row r="1582">
          <cell r="A1582" t="str">
            <v>ETLCUST-04579</v>
          </cell>
          <cell r="B1582" t="str">
            <v>SERVICE - CASH - SAVER CSP</v>
          </cell>
          <cell r="C1582" t="str">
            <v>Md. Jahidul Islam</v>
          </cell>
          <cell r="D1582" t="str">
            <v>CSP</v>
          </cell>
          <cell r="E1582" t="str">
            <v>CSP</v>
          </cell>
          <cell r="J1582">
            <v>40580</v>
          </cell>
          <cell r="R1582">
            <v>5600</v>
          </cell>
          <cell r="X1582">
            <v>14900</v>
          </cell>
          <cell r="AL1582">
            <v>350</v>
          </cell>
          <cell r="AM1582">
            <v>5610</v>
          </cell>
          <cell r="BA1582">
            <v>64350</v>
          </cell>
        </row>
        <row r="1583">
          <cell r="A1583" t="str">
            <v>ETLCUST-02590</v>
          </cell>
          <cell r="B1583" t="str">
            <v>SERVICE - CASH - SYLHET CSP</v>
          </cell>
          <cell r="C1583" t="str">
            <v>Kunjaraj Singha</v>
          </cell>
          <cell r="D1583" t="str">
            <v>CSP</v>
          </cell>
          <cell r="E1583" t="str">
            <v>CSP</v>
          </cell>
          <cell r="J1583">
            <v>67590</v>
          </cell>
          <cell r="R1583">
            <v>212800</v>
          </cell>
          <cell r="X1583">
            <v>3600</v>
          </cell>
          <cell r="BA1583">
            <v>55750</v>
          </cell>
        </row>
        <row r="1584">
          <cell r="A1584" t="str">
            <v>ETLCUST-02591</v>
          </cell>
          <cell r="B1584" t="str">
            <v>SERVICE - CASH - UTTARA CSP</v>
          </cell>
          <cell r="C1584" t="str">
            <v>Harun-Or-Rashid</v>
          </cell>
          <cell r="D1584" t="str">
            <v>CSP</v>
          </cell>
          <cell r="E1584" t="str">
            <v>CSP</v>
          </cell>
          <cell r="J1584">
            <v>149940</v>
          </cell>
          <cell r="O1584">
            <v>2650</v>
          </cell>
          <cell r="R1584">
            <v>32200</v>
          </cell>
          <cell r="BA1584">
            <v>13910</v>
          </cell>
        </row>
        <row r="1585">
          <cell r="A1585" t="str">
            <v>ETLCUST-01483</v>
          </cell>
          <cell r="B1585" t="str">
            <v>SERVICE TEC - CTG</v>
          </cell>
          <cell r="C1585" t="str">
            <v>Shahidul Alam Chowdhury</v>
          </cell>
          <cell r="D1585" t="str">
            <v>CTG</v>
          </cell>
          <cell r="E1585" t="str">
            <v>CTG</v>
          </cell>
          <cell r="S1585">
            <v>15000</v>
          </cell>
          <cell r="U1585">
            <v>11250</v>
          </cell>
          <cell r="X1585">
            <v>35000</v>
          </cell>
          <cell r="AN1585">
            <v>200000</v>
          </cell>
        </row>
        <row r="1586">
          <cell r="A1586" t="str">
            <v>ETLCUST-01275</v>
          </cell>
          <cell r="B1586" t="str">
            <v>SEVEN MIRROR COMPUTER TECHNOLOGY - SHERPUR</v>
          </cell>
          <cell r="C1586" t="str">
            <v>Md. Sujon Mia</v>
          </cell>
          <cell r="D1586" t="str">
            <v>Mymensingh</v>
          </cell>
          <cell r="E1586" t="str">
            <v>Mymensingh</v>
          </cell>
          <cell r="AK1586">
            <v>33000</v>
          </cell>
          <cell r="AM1586">
            <v>0</v>
          </cell>
          <cell r="AO1586">
            <v>14500</v>
          </cell>
          <cell r="BA1586">
            <v>151150</v>
          </cell>
        </row>
        <row r="1587">
          <cell r="A1587" t="str">
            <v>ETLCUST-05159</v>
          </cell>
          <cell r="B1587" t="str">
            <v>SF CAMERA HOUSE - THAKUGAON</v>
          </cell>
          <cell r="C1587" t="str">
            <v>Akramul Haque</v>
          </cell>
          <cell r="D1587" t="str">
            <v>North Bengal</v>
          </cell>
          <cell r="E1587" t="str">
            <v>North Bengal</v>
          </cell>
          <cell r="X1587">
            <v>82375</v>
          </cell>
        </row>
        <row r="1588">
          <cell r="A1588" t="str">
            <v>ETLCUST-05410</v>
          </cell>
          <cell r="B1588" t="str">
            <v>SF TECHNOLOGY - E.ROAD</v>
          </cell>
          <cell r="C1588" t="str">
            <v>Md Shamim Miah</v>
          </cell>
          <cell r="D1588" t="str">
            <v>Multiplan</v>
          </cell>
          <cell r="E1588" t="str">
            <v>Multiplan</v>
          </cell>
          <cell r="R1588">
            <v>225000</v>
          </cell>
          <cell r="S1588">
            <v>0</v>
          </cell>
        </row>
        <row r="1589">
          <cell r="A1589" t="str">
            <v>ETLCUST-00803</v>
          </cell>
          <cell r="B1589" t="str">
            <v>SHABI ENTERPRISE - MOHADEVPUR</v>
          </cell>
          <cell r="C1589" t="str">
            <v>Md. Abu Basar</v>
          </cell>
          <cell r="D1589" t="str">
            <v>Rajshahi</v>
          </cell>
          <cell r="E1589" t="str">
            <v>Rajshahi</v>
          </cell>
          <cell r="P1589">
            <v>17500</v>
          </cell>
          <cell r="R1589">
            <v>6000</v>
          </cell>
          <cell r="S1589">
            <v>0</v>
          </cell>
          <cell r="AM1589">
            <v>24900</v>
          </cell>
          <cell r="BA1589">
            <v>694180</v>
          </cell>
        </row>
        <row r="1590">
          <cell r="A1590" t="str">
            <v>ETLCUST-04393</v>
          </cell>
          <cell r="B1590" t="str">
            <v>SHAH BUILDERS - MIRPUR</v>
          </cell>
          <cell r="C1590" t="str">
            <v>Fajle Rabbi</v>
          </cell>
          <cell r="D1590" t="str">
            <v>IDB</v>
          </cell>
          <cell r="E1590" t="str">
            <v>IDB</v>
          </cell>
          <cell r="AN1590">
            <v>152000</v>
          </cell>
        </row>
        <row r="1591">
          <cell r="A1591" t="str">
            <v>ETLCUST-04841</v>
          </cell>
          <cell r="B1591" t="str">
            <v>SHAH COMPUTERS - SYLHET</v>
          </cell>
          <cell r="C1591" t="str">
            <v>Kunjaraj Singha</v>
          </cell>
          <cell r="D1591" t="str">
            <v>Sylhet</v>
          </cell>
          <cell r="E1591" t="str">
            <v>Sylhet</v>
          </cell>
          <cell r="S1591">
            <v>0</v>
          </cell>
          <cell r="BA1591">
            <v>376000</v>
          </cell>
        </row>
        <row r="1592">
          <cell r="A1592" t="str">
            <v>ETLCUST-03075</v>
          </cell>
          <cell r="B1592" t="str">
            <v>SHAH PIR TRADERS - CHITTAGONG</v>
          </cell>
          <cell r="C1592" t="str">
            <v>Shahidul Alam Chowdhury</v>
          </cell>
          <cell r="D1592" t="str">
            <v>CTG</v>
          </cell>
          <cell r="E1592" t="str">
            <v>CTG</v>
          </cell>
          <cell r="Q1592">
            <v>1780</v>
          </cell>
          <cell r="X1592">
            <v>16500</v>
          </cell>
          <cell r="BA1592">
            <v>360720</v>
          </cell>
        </row>
        <row r="1593">
          <cell r="A1593" t="str">
            <v>ETLCUST-03315</v>
          </cell>
          <cell r="B1593" t="str">
            <v>SHAHIN COMPUTER - BHANDARIA</v>
          </cell>
          <cell r="C1593" t="str">
            <v>Md. Aminul Islam</v>
          </cell>
          <cell r="D1593" t="str">
            <v>South Bengal</v>
          </cell>
          <cell r="E1593" t="str">
            <v>South Bengal</v>
          </cell>
          <cell r="G1593">
            <v>51000</v>
          </cell>
          <cell r="AM1593">
            <v>1140</v>
          </cell>
          <cell r="AP1593">
            <v>101000</v>
          </cell>
          <cell r="BA1593">
            <v>201675</v>
          </cell>
        </row>
        <row r="1594">
          <cell r="A1594" t="str">
            <v>ETLCUST-01362</v>
          </cell>
          <cell r="B1594" t="str">
            <v>SHAHIN COMPUTER - GOPALGONJ</v>
          </cell>
          <cell r="C1594" t="str">
            <v>Hanif shek</v>
          </cell>
          <cell r="D1594" t="str">
            <v>South Bengal</v>
          </cell>
          <cell r="E1594" t="str">
            <v>South Bengal</v>
          </cell>
          <cell r="S1594">
            <v>0</v>
          </cell>
          <cell r="AM1594">
            <v>425</v>
          </cell>
          <cell r="AZ1594">
            <v>18600</v>
          </cell>
          <cell r="BA1594">
            <v>633805</v>
          </cell>
        </row>
        <row r="1595">
          <cell r="A1595" t="str">
            <v>ETLCUST-00622</v>
          </cell>
          <cell r="B1595" t="str">
            <v>SHAHJALAL COMPUTER - GAIBANDHA</v>
          </cell>
          <cell r="C1595" t="str">
            <v>Md Abdullah Al Mamun</v>
          </cell>
          <cell r="D1595" t="str">
            <v>North Bengal</v>
          </cell>
          <cell r="E1595" t="str">
            <v>North Bengal</v>
          </cell>
          <cell r="T1595">
            <v>27000</v>
          </cell>
          <cell r="X1595">
            <v>122200</v>
          </cell>
          <cell r="AT1595">
            <v>36000</v>
          </cell>
          <cell r="BA1595">
            <v>18190</v>
          </cell>
        </row>
        <row r="1596">
          <cell r="A1596" t="str">
            <v>ETLCUST-02633</v>
          </cell>
          <cell r="B1596" t="str">
            <v>SHAHJALAL ISLAMI BANK PLC.</v>
          </cell>
          <cell r="C1596" t="str">
            <v>Abu Zahid Sobuj</v>
          </cell>
          <cell r="D1596" t="str">
            <v>Corporate</v>
          </cell>
          <cell r="E1596" t="str">
            <v>Corporate</v>
          </cell>
          <cell r="R1596">
            <v>121500</v>
          </cell>
        </row>
        <row r="1597">
          <cell r="A1597" t="str">
            <v>ETLCUST-00300</v>
          </cell>
          <cell r="B1597" t="str">
            <v>SHAKIR IT LIMITED - MULTIPLAN</v>
          </cell>
          <cell r="C1597" t="str">
            <v>Mohammad Mostofa</v>
          </cell>
          <cell r="D1597" t="str">
            <v>Multiplan</v>
          </cell>
          <cell r="E1597" t="str">
            <v>Multiplan</v>
          </cell>
          <cell r="P1597">
            <v>64000</v>
          </cell>
          <cell r="U1597">
            <v>29750</v>
          </cell>
          <cell r="X1597">
            <v>121000</v>
          </cell>
          <cell r="AA1597">
            <v>11000</v>
          </cell>
          <cell r="AV1597">
            <v>33400</v>
          </cell>
        </row>
        <row r="1598">
          <cell r="A1598" t="str">
            <v>ETLCUST-04498</v>
          </cell>
          <cell r="B1598" t="str">
            <v>SHAMS ENTERPRIZE - RANGPUR</v>
          </cell>
          <cell r="C1598" t="str">
            <v>Md. Arif Arman</v>
          </cell>
          <cell r="D1598" t="str">
            <v>North Bengal</v>
          </cell>
          <cell r="E1598" t="str">
            <v>North Bengal</v>
          </cell>
          <cell r="R1598">
            <v>17500</v>
          </cell>
          <cell r="T1598">
            <v>642000</v>
          </cell>
          <cell r="AM1598">
            <v>266025</v>
          </cell>
          <cell r="AQ1598">
            <v>0</v>
          </cell>
          <cell r="BA1598">
            <v>4846855</v>
          </cell>
        </row>
        <row r="1599">
          <cell r="A1599" t="str">
            <v>ETLCUST-02418</v>
          </cell>
          <cell r="B1599" t="str">
            <v>SHAMS STYLING WEARS LIMITED</v>
          </cell>
          <cell r="C1599" t="str">
            <v>Hasibul Hasan Symoon</v>
          </cell>
          <cell r="D1599" t="str">
            <v>Corporate</v>
          </cell>
          <cell r="E1599" t="str">
            <v>Corporate</v>
          </cell>
          <cell r="AJ1599">
            <v>21053</v>
          </cell>
        </row>
        <row r="1600">
          <cell r="A1600" t="str">
            <v>ETLCUST-03837</v>
          </cell>
          <cell r="B1600" t="str">
            <v>SHANTA HOLDINGS LIMITED</v>
          </cell>
          <cell r="C1600" t="str">
            <v>Mohammad Maruf Hasan</v>
          </cell>
          <cell r="D1600" t="str">
            <v>Corporate</v>
          </cell>
          <cell r="E1600" t="str">
            <v>Corporate</v>
          </cell>
          <cell r="H1600">
            <v>164210.51999999999</v>
          </cell>
          <cell r="I1600">
            <v>32700</v>
          </cell>
          <cell r="M1600">
            <v>63709.09</v>
          </cell>
          <cell r="S1600">
            <v>807277.16999999993</v>
          </cell>
          <cell r="U1600">
            <v>708535.41999999993</v>
          </cell>
          <cell r="X1600">
            <v>1464978.1300000001</v>
          </cell>
          <cell r="AP1600">
            <v>116583.75</v>
          </cell>
          <cell r="AR1600">
            <v>589454.55000000016</v>
          </cell>
          <cell r="AV1600">
            <v>205804.45</v>
          </cell>
          <cell r="AW1600">
            <v>284181.84000000003</v>
          </cell>
          <cell r="AY1600">
            <v>92200</v>
          </cell>
        </row>
        <row r="1601">
          <cell r="A1601" t="str">
            <v>ETLCUST-00371</v>
          </cell>
          <cell r="B1601" t="str">
            <v>SHAON ELECTRONICS - KHILKHET</v>
          </cell>
          <cell r="C1601" t="str">
            <v>Jiku Saha</v>
          </cell>
          <cell r="D1601" t="str">
            <v>Uttara</v>
          </cell>
          <cell r="E1601" t="str">
            <v>Uttara</v>
          </cell>
          <cell r="Q1601">
            <v>890</v>
          </cell>
          <cell r="AM1601">
            <v>80055</v>
          </cell>
          <cell r="AZ1601">
            <v>-18500</v>
          </cell>
          <cell r="BA1601">
            <v>544315</v>
          </cell>
        </row>
        <row r="1602">
          <cell r="A1602" t="str">
            <v>ETLCUST-00644</v>
          </cell>
          <cell r="B1602" t="str">
            <v>SHAPLA STUDIO - RANGPUR</v>
          </cell>
          <cell r="C1602" t="str">
            <v>Md Abdullah Al Mamun</v>
          </cell>
          <cell r="D1602" t="str">
            <v>North Bengal</v>
          </cell>
          <cell r="E1602" t="str">
            <v>North Bengal</v>
          </cell>
          <cell r="R1602">
            <v>1792120</v>
          </cell>
        </row>
        <row r="1603">
          <cell r="A1603" t="str">
            <v>ETLCUST-01891</v>
          </cell>
          <cell r="B1603" t="str">
            <v>SHARMIN ELECTRONICS - STADIUM MARKET</v>
          </cell>
          <cell r="C1603" t="str">
            <v>Hridoy Chandra Das</v>
          </cell>
          <cell r="D1603" t="str">
            <v>Motijheel</v>
          </cell>
          <cell r="E1603" t="str">
            <v>Motijheel</v>
          </cell>
          <cell r="T1603">
            <v>1628200</v>
          </cell>
          <cell r="X1603">
            <v>11762650</v>
          </cell>
        </row>
        <row r="1604">
          <cell r="A1604" t="str">
            <v>ETLCUST-02714</v>
          </cell>
          <cell r="B1604" t="str">
            <v>SHARP ELECTRONICS - CHAPAINAWABGANJ</v>
          </cell>
          <cell r="C1604" t="str">
            <v>Md Moniruzzaman Masum</v>
          </cell>
          <cell r="D1604" t="str">
            <v>Rajshahi</v>
          </cell>
          <cell r="E1604" t="str">
            <v>Rajshahi</v>
          </cell>
          <cell r="G1604">
            <v>1429000</v>
          </cell>
          <cell r="S1604">
            <v>0</v>
          </cell>
          <cell r="AL1604">
            <v>103350</v>
          </cell>
          <cell r="AM1604">
            <v>660960</v>
          </cell>
          <cell r="AP1604">
            <v>3000</v>
          </cell>
          <cell r="AQ1604">
            <v>0</v>
          </cell>
          <cell r="BA1604">
            <v>8130995</v>
          </cell>
        </row>
        <row r="1605">
          <cell r="A1605" t="str">
            <v>ETLCUST-00805</v>
          </cell>
          <cell r="B1605" t="str">
            <v>SHARP ELECTRONICS - RAJSHAHI</v>
          </cell>
          <cell r="C1605" t="str">
            <v>Ahmed Bulbul</v>
          </cell>
          <cell r="D1605" t="str">
            <v>Rajshahi</v>
          </cell>
          <cell r="E1605" t="str">
            <v>Rajshahi</v>
          </cell>
          <cell r="AL1605">
            <v>206205</v>
          </cell>
          <cell r="AM1605">
            <v>2274850</v>
          </cell>
          <cell r="AR1605">
            <v>11200</v>
          </cell>
          <cell r="BA1605">
            <v>5577670</v>
          </cell>
        </row>
        <row r="1606">
          <cell r="A1606" t="str">
            <v>ETLCUST-04809</v>
          </cell>
          <cell r="B1606" t="str">
            <v>SHAWON COMPUTER AND MOBILE - MUJIBNAGAR, MEHERPUR</v>
          </cell>
          <cell r="C1606" t="str">
            <v>Md. Hasanuzzaman</v>
          </cell>
          <cell r="D1606" t="str">
            <v>South Bengal</v>
          </cell>
          <cell r="E1606" t="str">
            <v>South Bengal</v>
          </cell>
          <cell r="R1606">
            <v>6680</v>
          </cell>
          <cell r="S1606">
            <v>0</v>
          </cell>
          <cell r="BA1606">
            <v>15240</v>
          </cell>
        </row>
        <row r="1607">
          <cell r="A1607" t="str">
            <v>ETLCUST-03952</v>
          </cell>
          <cell r="B1607" t="str">
            <v>SHAWON SKY NET COMPUTER - SATKHIRA</v>
          </cell>
          <cell r="C1607" t="str">
            <v>Imrul Rayhan</v>
          </cell>
          <cell r="D1607" t="str">
            <v>Khulna</v>
          </cell>
          <cell r="E1607" t="str">
            <v>Khulna</v>
          </cell>
          <cell r="G1607">
            <v>658200</v>
          </cell>
          <cell r="X1607">
            <v>208000</v>
          </cell>
          <cell r="AM1607">
            <v>400745</v>
          </cell>
          <cell r="AQ1607">
            <v>0</v>
          </cell>
          <cell r="BA1607">
            <v>1405835</v>
          </cell>
        </row>
        <row r="1608">
          <cell r="A1608" t="str">
            <v>ETLCUST-05337</v>
          </cell>
          <cell r="B1608" t="str">
            <v>SHAYNA CORPORATION</v>
          </cell>
          <cell r="C1608" t="str">
            <v>Md. Raihan Ali</v>
          </cell>
          <cell r="D1608" t="str">
            <v>Corporate</v>
          </cell>
          <cell r="E1608" t="str">
            <v>Corporate</v>
          </cell>
          <cell r="U1608">
            <v>38000</v>
          </cell>
          <cell r="AY1608">
            <v>15000</v>
          </cell>
        </row>
        <row r="1609">
          <cell r="A1609" t="str">
            <v>ETLCUST-02420</v>
          </cell>
          <cell r="B1609" t="str">
            <v>SHELTECH (PVT.) LTD.</v>
          </cell>
          <cell r="C1609" t="str">
            <v>Ashraful Islam</v>
          </cell>
          <cell r="D1609" t="str">
            <v>Corporate</v>
          </cell>
          <cell r="E1609" t="str">
            <v>Corporate</v>
          </cell>
          <cell r="U1609">
            <v>346000</v>
          </cell>
        </row>
        <row r="1610">
          <cell r="A1610" t="str">
            <v>ETLCUST-02421</v>
          </cell>
          <cell r="B1610" t="str">
            <v>SHELTECH CERAMICS LIMITED</v>
          </cell>
          <cell r="C1610" t="str">
            <v>Ashraful Islam</v>
          </cell>
          <cell r="D1610" t="str">
            <v>Corporate</v>
          </cell>
          <cell r="E1610" t="str">
            <v>Corporate</v>
          </cell>
          <cell r="X1610">
            <v>68500</v>
          </cell>
        </row>
        <row r="1611">
          <cell r="A1611" t="str">
            <v>ETLCUST-04838</v>
          </cell>
          <cell r="B1611" t="str">
            <v>SHELTECH CONSULTANTS (PVT.) LTD.</v>
          </cell>
          <cell r="C1611" t="str">
            <v>Ashraful Islam</v>
          </cell>
          <cell r="D1611" t="str">
            <v>Corporate</v>
          </cell>
          <cell r="E1611" t="str">
            <v>Corporate</v>
          </cell>
          <cell r="U1611">
            <v>96842.08</v>
          </cell>
          <cell r="AP1611">
            <v>53684.21</v>
          </cell>
        </row>
        <row r="1612">
          <cell r="A1612" t="str">
            <v>ETLCUST-05389</v>
          </cell>
          <cell r="B1612" t="str">
            <v>SHERPUR COMPUTER SOLUTION - SHERPUR</v>
          </cell>
          <cell r="C1612" t="str">
            <v>Md. Sujon Mia</v>
          </cell>
          <cell r="D1612" t="str">
            <v>Mymensingh</v>
          </cell>
          <cell r="E1612" t="str">
            <v>Mymensingh</v>
          </cell>
          <cell r="AM1612">
            <v>11500</v>
          </cell>
          <cell r="AO1612">
            <v>49825</v>
          </cell>
          <cell r="AZ1612">
            <v>24800</v>
          </cell>
          <cell r="BA1612">
            <v>24750</v>
          </cell>
        </row>
        <row r="1613">
          <cell r="A1613" t="str">
            <v>ETLCUST-01064</v>
          </cell>
          <cell r="B1613" t="str">
            <v>SHIKDAR COMPUTER - CTG</v>
          </cell>
          <cell r="C1613" t="str">
            <v>Titul Dutta</v>
          </cell>
          <cell r="D1613" t="str">
            <v>CTG</v>
          </cell>
          <cell r="E1613" t="str">
            <v>CTG</v>
          </cell>
          <cell r="G1613">
            <v>232000</v>
          </cell>
          <cell r="P1613">
            <v>64000</v>
          </cell>
          <cell r="S1613">
            <v>0</v>
          </cell>
          <cell r="T1613">
            <v>1445600</v>
          </cell>
          <cell r="X1613">
            <v>4912797</v>
          </cell>
          <cell r="Y1613">
            <v>405000</v>
          </cell>
          <cell r="AL1613">
            <v>812295</v>
          </cell>
          <cell r="AM1613">
            <v>230340</v>
          </cell>
          <cell r="AR1613">
            <v>58100</v>
          </cell>
          <cell r="AV1613">
            <v>90000</v>
          </cell>
          <cell r="BA1613">
            <v>4755770</v>
          </cell>
        </row>
        <row r="1614">
          <cell r="A1614" t="str">
            <v>ETLCUST-01381</v>
          </cell>
          <cell r="B1614" t="str">
            <v>SHIMU COMPUTER AND MOBILE CENTER - N.GONJ</v>
          </cell>
          <cell r="C1614" t="str">
            <v>Arafat Hossain</v>
          </cell>
          <cell r="D1614" t="str">
            <v>South Bengal</v>
          </cell>
          <cell r="E1614" t="str">
            <v>South Bengal</v>
          </cell>
          <cell r="G1614">
            <v>1505500</v>
          </cell>
          <cell r="O1614">
            <v>14300</v>
          </cell>
          <cell r="P1614">
            <v>25600</v>
          </cell>
          <cell r="S1614">
            <v>0</v>
          </cell>
          <cell r="X1614">
            <v>2077500</v>
          </cell>
          <cell r="AL1614">
            <v>53000</v>
          </cell>
          <cell r="AM1614">
            <v>1302530</v>
          </cell>
          <cell r="AQ1614">
            <v>0</v>
          </cell>
          <cell r="BA1614">
            <v>12096095</v>
          </cell>
        </row>
        <row r="1615">
          <cell r="A1615" t="str">
            <v>ETLCUST-04955</v>
          </cell>
          <cell r="B1615" t="str">
            <v>SHINE IIT - CTG</v>
          </cell>
          <cell r="C1615" t="str">
            <v>Shahidul Alam Chowdhury</v>
          </cell>
          <cell r="D1615" t="str">
            <v>CTG</v>
          </cell>
          <cell r="E1615" t="str">
            <v>CTG</v>
          </cell>
          <cell r="AO1615">
            <v>13975</v>
          </cell>
          <cell r="BA1615">
            <v>23870</v>
          </cell>
        </row>
        <row r="1616">
          <cell r="A1616" t="str">
            <v>ETLCUST-03226</v>
          </cell>
          <cell r="B1616" t="str">
            <v>SHINE TECH - B. MUKARRAM</v>
          </cell>
          <cell r="C1616" t="str">
            <v>Hridoy Chandra Das</v>
          </cell>
          <cell r="D1616" t="str">
            <v>Motijheel</v>
          </cell>
          <cell r="E1616" t="str">
            <v>Motijheel</v>
          </cell>
          <cell r="T1616">
            <v>1484300</v>
          </cell>
          <cell r="U1616">
            <v>337300</v>
          </cell>
          <cell r="AR1616">
            <v>179000</v>
          </cell>
          <cell r="BA1616">
            <v>3500</v>
          </cell>
        </row>
        <row r="1617">
          <cell r="A1617" t="str">
            <v>ETLCUST-00894</v>
          </cell>
          <cell r="B1617" t="str">
            <v>SHIPON COMPUTER - KALIGONJ</v>
          </cell>
          <cell r="C1617" t="str">
            <v>Md Rakibul Islam</v>
          </cell>
          <cell r="D1617" t="str">
            <v>South Bengal</v>
          </cell>
          <cell r="E1617" t="str">
            <v>South Bengal</v>
          </cell>
          <cell r="G1617">
            <v>156000</v>
          </cell>
          <cell r="Q1617">
            <v>890</v>
          </cell>
          <cell r="S1617">
            <v>0</v>
          </cell>
          <cell r="X1617">
            <v>59500</v>
          </cell>
          <cell r="AM1617">
            <v>805</v>
          </cell>
          <cell r="AQ1617">
            <v>0</v>
          </cell>
          <cell r="BA1617">
            <v>632045</v>
          </cell>
        </row>
        <row r="1618">
          <cell r="A1618" t="str">
            <v>ETLCUST-01417</v>
          </cell>
          <cell r="B1618" t="str">
            <v>SHIRIN ELECTRONICS - TONGI</v>
          </cell>
          <cell r="C1618" t="str">
            <v>Saifullah Akndah</v>
          </cell>
          <cell r="D1618" t="str">
            <v>Uttara</v>
          </cell>
          <cell r="E1618" t="str">
            <v>Uttara</v>
          </cell>
          <cell r="AZ1618">
            <v>85100</v>
          </cell>
        </row>
        <row r="1619">
          <cell r="A1619" t="str">
            <v>ETLCUST-01425</v>
          </cell>
          <cell r="B1619" t="str">
            <v>SHISHIR MOTORS AND ELECTRONIC - KONABARI</v>
          </cell>
          <cell r="C1619" t="str">
            <v>MD. Shipon Ali</v>
          </cell>
          <cell r="D1619" t="str">
            <v>Uttara</v>
          </cell>
          <cell r="E1619" t="str">
            <v>Uttara</v>
          </cell>
          <cell r="AM1619">
            <v>43745</v>
          </cell>
          <cell r="BA1619">
            <v>241390</v>
          </cell>
        </row>
        <row r="1620">
          <cell r="A1620" t="str">
            <v>ETLCUST-03979</v>
          </cell>
          <cell r="B1620" t="str">
            <v>SHOFI WIFI MELA AND TRADERS - MEHERPUR</v>
          </cell>
          <cell r="C1620" t="str">
            <v>Md. Hasanuzzaman</v>
          </cell>
          <cell r="D1620" t="str">
            <v>South Bengal</v>
          </cell>
          <cell r="E1620" t="str">
            <v>South Bengal</v>
          </cell>
          <cell r="G1620">
            <v>50000</v>
          </cell>
          <cell r="S1620">
            <v>0</v>
          </cell>
          <cell r="AM1620">
            <v>23380</v>
          </cell>
          <cell r="BA1620">
            <v>571160</v>
          </cell>
        </row>
        <row r="1621">
          <cell r="A1621" t="str">
            <v>ETLCUST-05251</v>
          </cell>
          <cell r="B1621" t="str">
            <v>Shohoz Tech Solutions - Mirpur</v>
          </cell>
          <cell r="C1621" t="str">
            <v>Md Tanjilur Rakib</v>
          </cell>
          <cell r="D1621" t="str">
            <v>HO-SI</v>
          </cell>
          <cell r="E1621" t="str">
            <v>HO-SI</v>
          </cell>
          <cell r="X1621">
            <v>233600</v>
          </cell>
          <cell r="BA1621">
            <v>546000</v>
          </cell>
        </row>
        <row r="1622">
          <cell r="A1622" t="str">
            <v>ETLCUST-04047</v>
          </cell>
          <cell r="B1622" t="str">
            <v>SHOPNOPURON ELECTRONICS - GAZIPUR</v>
          </cell>
          <cell r="C1622" t="str">
            <v>Md. Rahad</v>
          </cell>
          <cell r="D1622" t="str">
            <v>Uttara</v>
          </cell>
          <cell r="E1622" t="str">
            <v>Uttara</v>
          </cell>
          <cell r="AM1622">
            <v>537490</v>
          </cell>
          <cell r="AZ1622">
            <v>351450</v>
          </cell>
          <cell r="BA1622">
            <v>1740145</v>
          </cell>
        </row>
        <row r="1623">
          <cell r="A1623" t="str">
            <v>ETLCUST-01282</v>
          </cell>
          <cell r="B1623" t="str">
            <v>SHUVO PHOTO ITEMS - MYMENSINGH</v>
          </cell>
          <cell r="C1623" t="str">
            <v>Rafiqul Islam Sumon</v>
          </cell>
          <cell r="D1623" t="str">
            <v>Mymensingh</v>
          </cell>
          <cell r="E1623" t="str">
            <v>Mymensingh</v>
          </cell>
          <cell r="P1623">
            <v>98800</v>
          </cell>
          <cell r="R1623">
            <v>770000</v>
          </cell>
          <cell r="T1623">
            <v>147400</v>
          </cell>
          <cell r="X1623">
            <v>427000</v>
          </cell>
          <cell r="AK1623">
            <v>67200</v>
          </cell>
          <cell r="AL1623">
            <v>38160</v>
          </cell>
          <cell r="AM1623">
            <v>128150</v>
          </cell>
          <cell r="AQ1623">
            <v>0</v>
          </cell>
          <cell r="BA1623">
            <v>134090</v>
          </cell>
        </row>
        <row r="1624">
          <cell r="A1624" t="str">
            <v>ETLCUST-04552</v>
          </cell>
          <cell r="B1624" t="str">
            <v>SIAM ELECTRONICS - SIRAJGANJ</v>
          </cell>
          <cell r="C1624" t="str">
            <v>Md. Raihan Shohag</v>
          </cell>
          <cell r="D1624" t="str">
            <v>North Bengal</v>
          </cell>
          <cell r="E1624" t="str">
            <v>North Bengal</v>
          </cell>
          <cell r="BA1624">
            <v>2090</v>
          </cell>
        </row>
        <row r="1625">
          <cell r="A1625" t="str">
            <v>ETLCUST-00019</v>
          </cell>
          <cell r="B1625" t="str">
            <v>SILICON COMPUTER - DINAJPUR</v>
          </cell>
          <cell r="C1625" t="str">
            <v>Akramul Haque</v>
          </cell>
          <cell r="D1625" t="str">
            <v>North Bengal</v>
          </cell>
          <cell r="E1625" t="str">
            <v>North Bengal</v>
          </cell>
          <cell r="P1625">
            <v>38400</v>
          </cell>
          <cell r="X1625">
            <v>284400</v>
          </cell>
          <cell r="AL1625">
            <v>55660</v>
          </cell>
          <cell r="BA1625">
            <v>39160</v>
          </cell>
        </row>
        <row r="1626">
          <cell r="A1626" t="str">
            <v>ETLCUST-04041</v>
          </cell>
          <cell r="B1626" t="str">
            <v>SILICON COMPUTING LTD - SI</v>
          </cell>
          <cell r="C1626" t="str">
            <v>Md Tanjilur Rakib</v>
          </cell>
          <cell r="D1626" t="str">
            <v>HO-SI</v>
          </cell>
          <cell r="E1626" t="str">
            <v>HO-SI</v>
          </cell>
          <cell r="U1626">
            <v>130000</v>
          </cell>
          <cell r="BA1626">
            <v>9000</v>
          </cell>
        </row>
        <row r="1627">
          <cell r="A1627" t="str">
            <v>ETLCUST-03120</v>
          </cell>
          <cell r="B1627" t="str">
            <v xml:space="preserve">SILICON TECHNOLOGY - HATHAZARI </v>
          </cell>
          <cell r="C1627" t="str">
            <v>Md. Mamunur Rashid</v>
          </cell>
          <cell r="D1627" t="str">
            <v>CTG</v>
          </cell>
          <cell r="E1627" t="str">
            <v>CTG</v>
          </cell>
          <cell r="G1627">
            <v>10000</v>
          </cell>
          <cell r="Q1627">
            <v>890</v>
          </cell>
          <cell r="AL1627">
            <v>130575</v>
          </cell>
          <cell r="AM1627">
            <v>46425</v>
          </cell>
          <cell r="BA1627">
            <v>2690335</v>
          </cell>
        </row>
        <row r="1628">
          <cell r="A1628" t="str">
            <v>ETLCUST-02819</v>
          </cell>
          <cell r="B1628" t="str">
            <v>SILVER WATER TECHNOLOGIES BANGLADESH LTD - NIKETON (PICKABOO.COM)</v>
          </cell>
          <cell r="C1628" t="str">
            <v>Md Al Amin Shuvo</v>
          </cell>
          <cell r="D1628" t="str">
            <v>Ecommerce</v>
          </cell>
          <cell r="E1628" t="str">
            <v>Ecommerce</v>
          </cell>
          <cell r="T1628">
            <v>79300</v>
          </cell>
          <cell r="AF1628">
            <v>105800</v>
          </cell>
          <cell r="AJ1628">
            <v>5625</v>
          </cell>
          <cell r="AK1628">
            <v>133000</v>
          </cell>
          <cell r="AM1628">
            <v>89900</v>
          </cell>
          <cell r="BA1628">
            <v>724600</v>
          </cell>
        </row>
        <row r="1629">
          <cell r="A1629" t="str">
            <v>ETLCUST-00603</v>
          </cell>
          <cell r="B1629" t="str">
            <v>SIMEC SYSTEM LTD - UTTARA</v>
          </cell>
          <cell r="C1629" t="str">
            <v>Liton Biswas</v>
          </cell>
          <cell r="D1629" t="str">
            <v>HO-SI</v>
          </cell>
          <cell r="E1629" t="str">
            <v>HO-SI</v>
          </cell>
          <cell r="M1629">
            <v>460000</v>
          </cell>
          <cell r="R1629">
            <v>680800</v>
          </cell>
          <cell r="AR1629">
            <v>2968000</v>
          </cell>
          <cell r="AT1629">
            <v>989000</v>
          </cell>
          <cell r="BA1629">
            <v>1093420</v>
          </cell>
        </row>
        <row r="1630">
          <cell r="A1630" t="str">
            <v>ETLCUST-05317</v>
          </cell>
          <cell r="B1630" t="str">
            <v>SINCOS GREEN TECH LIMITED</v>
          </cell>
          <cell r="C1630" t="str">
            <v>Mosfiqur Rahman</v>
          </cell>
          <cell r="D1630" t="str">
            <v>Corporate</v>
          </cell>
          <cell r="E1630" t="str">
            <v>Corporate</v>
          </cell>
          <cell r="BA1630">
            <v>94545.5</v>
          </cell>
        </row>
        <row r="1631">
          <cell r="A1631" t="str">
            <v>ETLCUST-00669</v>
          </cell>
          <cell r="B1631" t="str">
            <v>SINGAPORE COMPUTER MART - BAGERHAT</v>
          </cell>
          <cell r="C1631" t="str">
            <v>Imrul Rayhan</v>
          </cell>
          <cell r="D1631" t="str">
            <v>Khulna</v>
          </cell>
          <cell r="E1631" t="str">
            <v>Khulna</v>
          </cell>
          <cell r="G1631">
            <v>100000</v>
          </cell>
          <cell r="R1631">
            <v>7500</v>
          </cell>
          <cell r="V1631">
            <v>33000</v>
          </cell>
          <cell r="X1631">
            <v>200400</v>
          </cell>
          <cell r="AL1631">
            <v>46550</v>
          </cell>
          <cell r="AM1631">
            <v>35790</v>
          </cell>
          <cell r="BA1631">
            <v>239535</v>
          </cell>
        </row>
        <row r="1632">
          <cell r="A1632" t="str">
            <v>ETLCUST-05233</v>
          </cell>
          <cell r="B1632" t="str">
            <v>SINO SSC BD LIMITED - GULSHAN</v>
          </cell>
          <cell r="C1632" t="str">
            <v>Md Tanjilur Rakib</v>
          </cell>
          <cell r="D1632" t="str">
            <v>HO-SI</v>
          </cell>
          <cell r="E1632" t="str">
            <v>HO-SI</v>
          </cell>
          <cell r="I1632">
            <v>34400</v>
          </cell>
          <cell r="U1632">
            <v>8000</v>
          </cell>
          <cell r="AJ1632">
            <v>1676000</v>
          </cell>
          <cell r="AR1632">
            <v>1601950</v>
          </cell>
          <cell r="AV1632">
            <v>16950</v>
          </cell>
        </row>
        <row r="1633">
          <cell r="A1633" t="str">
            <v>ETLCUST-05057</v>
          </cell>
          <cell r="B1633" t="str">
            <v>SISCON ELECTRONICS - KALIGONJ</v>
          </cell>
          <cell r="C1633" t="str">
            <v>Md Rakibul Islam</v>
          </cell>
          <cell r="D1633" t="str">
            <v>South Bengal</v>
          </cell>
          <cell r="E1633" t="str">
            <v>South Bengal</v>
          </cell>
          <cell r="G1633">
            <v>50000</v>
          </cell>
          <cell r="BA1633">
            <v>63125</v>
          </cell>
        </row>
        <row r="1634">
          <cell r="A1634" t="str">
            <v>ETLCUST-00369</v>
          </cell>
          <cell r="B1634" t="str">
            <v>SISCOTECH - KAFRUL</v>
          </cell>
          <cell r="C1634" t="str">
            <v>Jiku Saha</v>
          </cell>
          <cell r="D1634" t="str">
            <v>Uttara</v>
          </cell>
          <cell r="E1634" t="str">
            <v>Uttara</v>
          </cell>
          <cell r="AR1634">
            <v>9500</v>
          </cell>
        </row>
        <row r="1635">
          <cell r="A1635" t="str">
            <v>ETLCUST-00218</v>
          </cell>
          <cell r="B1635" t="str">
            <v>SIX SENSE TECHNOLOGIES LTD - E.ROAD</v>
          </cell>
          <cell r="C1635" t="str">
            <v>Md Rabiul Islam</v>
          </cell>
          <cell r="D1635" t="str">
            <v>DHB</v>
          </cell>
          <cell r="E1635" t="str">
            <v>DHB</v>
          </cell>
          <cell r="H1635">
            <v>71500</v>
          </cell>
          <cell r="R1635">
            <v>2600</v>
          </cell>
          <cell r="S1635">
            <v>0</v>
          </cell>
          <cell r="AL1635">
            <v>4610700</v>
          </cell>
          <cell r="AM1635">
            <v>16584545</v>
          </cell>
          <cell r="AO1635">
            <v>2304400</v>
          </cell>
          <cell r="AP1635">
            <v>101000</v>
          </cell>
          <cell r="AQ1635">
            <v>0</v>
          </cell>
          <cell r="AR1635">
            <v>373950</v>
          </cell>
          <cell r="BA1635">
            <v>127876650</v>
          </cell>
        </row>
        <row r="1636">
          <cell r="A1636" t="str">
            <v>ETLCUST-05383</v>
          </cell>
          <cell r="B1636" t="str">
            <v>SK COMPUTER TELECOM - COX'S BAZAR</v>
          </cell>
          <cell r="C1636" t="str">
            <v>Md. Mamunur Rashid</v>
          </cell>
          <cell r="D1636" t="str">
            <v>CTG</v>
          </cell>
          <cell r="E1636" t="str">
            <v>CTG</v>
          </cell>
          <cell r="T1636">
            <v>34600</v>
          </cell>
          <cell r="X1636">
            <v>331850</v>
          </cell>
          <cell r="AO1636">
            <v>11875</v>
          </cell>
          <cell r="AT1636">
            <v>9000</v>
          </cell>
          <cell r="BA1636">
            <v>145500</v>
          </cell>
        </row>
        <row r="1637">
          <cell r="A1637" t="str">
            <v>ETLCUST-05116</v>
          </cell>
          <cell r="B1637" t="str">
            <v>SK LINK - JHANAIDAH</v>
          </cell>
          <cell r="C1637" t="str">
            <v>Md Rakibul Islam</v>
          </cell>
          <cell r="D1637" t="str">
            <v>South Bengal</v>
          </cell>
          <cell r="E1637" t="str">
            <v>South Bengal</v>
          </cell>
          <cell r="G1637">
            <v>38000</v>
          </cell>
        </row>
        <row r="1638">
          <cell r="A1638" t="str">
            <v>ETLCUST-00271</v>
          </cell>
          <cell r="B1638" t="str">
            <v>SKY LINK COMPUTERS - SYLHET</v>
          </cell>
          <cell r="C1638" t="str">
            <v>Kunjaraj Singha</v>
          </cell>
          <cell r="D1638" t="str">
            <v>Sylhet</v>
          </cell>
          <cell r="E1638" t="str">
            <v>Sylhet</v>
          </cell>
          <cell r="L1638">
            <v>49000</v>
          </cell>
          <cell r="R1638">
            <v>16040</v>
          </cell>
          <cell r="S1638">
            <v>0</v>
          </cell>
          <cell r="T1638">
            <v>460500</v>
          </cell>
          <cell r="V1638">
            <v>20000</v>
          </cell>
          <cell r="X1638">
            <v>91000</v>
          </cell>
          <cell r="AJ1638">
            <v>154710</v>
          </cell>
          <cell r="AK1638">
            <v>131760</v>
          </cell>
          <cell r="AL1638">
            <v>122390</v>
          </cell>
          <cell r="AM1638">
            <v>112830</v>
          </cell>
          <cell r="AT1638">
            <v>22000</v>
          </cell>
          <cell r="AZ1638">
            <v>67600</v>
          </cell>
          <cell r="BA1638">
            <v>483490</v>
          </cell>
        </row>
        <row r="1639">
          <cell r="A1639" t="str">
            <v>ETLCUST-03649</v>
          </cell>
          <cell r="B1639" t="str">
            <v>SKYVIEW NETWORK AND ELECTRONICS - CHUADANGA</v>
          </cell>
          <cell r="C1639" t="str">
            <v>Md. Hasanuzzaman</v>
          </cell>
          <cell r="D1639" t="str">
            <v>South Bengal</v>
          </cell>
          <cell r="E1639" t="str">
            <v>South Bengal</v>
          </cell>
          <cell r="G1639">
            <v>50120</v>
          </cell>
          <cell r="L1639">
            <v>9999</v>
          </cell>
          <cell r="S1639">
            <v>0</v>
          </cell>
          <cell r="AL1639">
            <v>10605</v>
          </cell>
          <cell r="AM1639">
            <v>760</v>
          </cell>
          <cell r="AQ1639">
            <v>0</v>
          </cell>
          <cell r="BA1639">
            <v>482935</v>
          </cell>
        </row>
        <row r="1640">
          <cell r="A1640" t="str">
            <v>ETLCUST-04277</v>
          </cell>
          <cell r="B1640" t="str">
            <v>SKYVIEW ONLINE LTD.  - JATRABARI</v>
          </cell>
          <cell r="C1640" t="str">
            <v>Sabuj Das</v>
          </cell>
          <cell r="D1640" t="str">
            <v>HO-SI</v>
          </cell>
          <cell r="E1640" t="str">
            <v>HO-SI</v>
          </cell>
          <cell r="BA1640">
            <v>70000</v>
          </cell>
        </row>
        <row r="1641">
          <cell r="A1641" t="str">
            <v>ETLCUST-01123</v>
          </cell>
          <cell r="B1641" t="str">
            <v>SMALL BRIDGE - MIRPUR</v>
          </cell>
          <cell r="C1641" t="str">
            <v>Amit Sarker</v>
          </cell>
          <cell r="D1641" t="str">
            <v>IDB</v>
          </cell>
          <cell r="E1641" t="str">
            <v>IDB</v>
          </cell>
          <cell r="U1641">
            <v>17000</v>
          </cell>
          <cell r="AJ1641">
            <v>95550</v>
          </cell>
          <cell r="AL1641">
            <v>108120</v>
          </cell>
          <cell r="AM1641">
            <v>366865</v>
          </cell>
          <cell r="AZ1641">
            <v>243850</v>
          </cell>
          <cell r="BA1641">
            <v>1290940</v>
          </cell>
        </row>
        <row r="1642">
          <cell r="A1642" t="str">
            <v>ETLCUST-00884</v>
          </cell>
          <cell r="B1642" t="str">
            <v>SMART COMPUTER - BHARAMARA</v>
          </cell>
          <cell r="C1642" t="str">
            <v>Md Rakibul Islam</v>
          </cell>
          <cell r="D1642" t="str">
            <v>South Bengal</v>
          </cell>
          <cell r="E1642" t="str">
            <v>South Bengal</v>
          </cell>
          <cell r="X1642">
            <v>3000</v>
          </cell>
          <cell r="AM1642">
            <v>29375</v>
          </cell>
          <cell r="AO1642">
            <v>1200</v>
          </cell>
          <cell r="AQ1642">
            <v>0</v>
          </cell>
        </row>
        <row r="1643">
          <cell r="A1643" t="str">
            <v>ETLCUST-04559</v>
          </cell>
          <cell r="B1643" t="str">
            <v>SMART COMPUTER - BHOLA</v>
          </cell>
          <cell r="C1643" t="str">
            <v>Md. Aminul Islam</v>
          </cell>
          <cell r="D1643" t="str">
            <v>South Bengal</v>
          </cell>
          <cell r="E1643" t="str">
            <v>South Bengal</v>
          </cell>
          <cell r="AM1643">
            <v>5980</v>
          </cell>
          <cell r="AQ1643">
            <v>0</v>
          </cell>
          <cell r="BA1643">
            <v>509510</v>
          </cell>
        </row>
        <row r="1644">
          <cell r="A1644" t="str">
            <v>ETLCUST-01340</v>
          </cell>
          <cell r="B1644" t="str">
            <v>SMART COMPUTER - FENI</v>
          </cell>
          <cell r="C1644" t="str">
            <v>Reazuddin</v>
          </cell>
          <cell r="D1644" t="str">
            <v>CTG</v>
          </cell>
          <cell r="E1644" t="str">
            <v>CTG</v>
          </cell>
          <cell r="G1644">
            <v>161600</v>
          </cell>
          <cell r="AQ1644">
            <v>0</v>
          </cell>
          <cell r="BA1644">
            <v>272300</v>
          </cell>
        </row>
        <row r="1645">
          <cell r="A1645" t="str">
            <v>ETLCUST-03073</v>
          </cell>
          <cell r="B1645" t="str">
            <v>SMART COMPUTER - JATRABARI</v>
          </cell>
          <cell r="C1645" t="str">
            <v>Md Kamrul Hasan Sabuz</v>
          </cell>
          <cell r="D1645" t="str">
            <v>Gulistan</v>
          </cell>
          <cell r="E1645" t="str">
            <v>Gulistan</v>
          </cell>
          <cell r="L1645">
            <v>55000</v>
          </cell>
          <cell r="P1645">
            <v>44800</v>
          </cell>
          <cell r="R1645">
            <v>10400</v>
          </cell>
          <cell r="S1645">
            <v>0</v>
          </cell>
          <cell r="T1645">
            <v>51250</v>
          </cell>
          <cell r="X1645">
            <v>336550</v>
          </cell>
          <cell r="AF1645">
            <v>12700</v>
          </cell>
          <cell r="AJ1645">
            <v>84675</v>
          </cell>
          <cell r="AL1645">
            <v>58300</v>
          </cell>
          <cell r="AM1645">
            <v>292675</v>
          </cell>
          <cell r="AO1645">
            <v>128400</v>
          </cell>
          <cell r="AR1645">
            <v>23500</v>
          </cell>
          <cell r="BA1645">
            <v>2098310</v>
          </cell>
        </row>
        <row r="1646">
          <cell r="A1646" t="str">
            <v>ETLCUST-00901</v>
          </cell>
          <cell r="B1646" t="str">
            <v>SMART COMPUTER - MAGURA</v>
          </cell>
          <cell r="C1646" t="str">
            <v>Md Rakibul Islam</v>
          </cell>
          <cell r="D1646" t="str">
            <v>South Bengal</v>
          </cell>
          <cell r="E1646" t="str">
            <v>South Bengal</v>
          </cell>
          <cell r="G1646">
            <v>5100</v>
          </cell>
          <cell r="S1646">
            <v>0</v>
          </cell>
          <cell r="T1646">
            <v>4400</v>
          </cell>
          <cell r="BA1646">
            <v>39570</v>
          </cell>
        </row>
        <row r="1647">
          <cell r="A1647" t="str">
            <v>ETLCUST-00885</v>
          </cell>
          <cell r="B1647" t="str">
            <v>SMART COMPUTER - MEHERPUR</v>
          </cell>
          <cell r="C1647" t="str">
            <v>Md. Hasanuzzaman</v>
          </cell>
          <cell r="D1647" t="str">
            <v>South Bengal</v>
          </cell>
          <cell r="E1647" t="str">
            <v>South Bengal</v>
          </cell>
          <cell r="G1647">
            <v>50000</v>
          </cell>
          <cell r="P1647">
            <v>30300</v>
          </cell>
          <cell r="S1647">
            <v>0</v>
          </cell>
          <cell r="AM1647">
            <v>7600</v>
          </cell>
          <cell r="AQ1647">
            <v>0</v>
          </cell>
          <cell r="BA1647">
            <v>202290</v>
          </cell>
        </row>
        <row r="1648">
          <cell r="A1648" t="str">
            <v>ETLCUST-04353</v>
          </cell>
          <cell r="B1648" t="str">
            <v>SMART COMPUTER AND CCTV - SYLHET</v>
          </cell>
          <cell r="C1648" t="str">
            <v>Sanwar Husen</v>
          </cell>
          <cell r="D1648" t="str">
            <v>Sylhet</v>
          </cell>
          <cell r="E1648" t="str">
            <v>Sylhet</v>
          </cell>
          <cell r="P1648">
            <v>25600</v>
          </cell>
          <cell r="R1648">
            <v>46200</v>
          </cell>
          <cell r="X1648">
            <v>24000</v>
          </cell>
        </row>
        <row r="1649">
          <cell r="A1649" t="str">
            <v>ETLCUST-00067</v>
          </cell>
          <cell r="B1649" t="str">
            <v>SMART COMPUTER SOLUTION - ASHULIA</v>
          </cell>
          <cell r="C1649" t="str">
            <v>Biplop Kumar</v>
          </cell>
          <cell r="D1649" t="str">
            <v>DHK-EXT</v>
          </cell>
          <cell r="E1649" t="str">
            <v>DHK-EXT</v>
          </cell>
          <cell r="G1649">
            <v>224000</v>
          </cell>
          <cell r="L1649">
            <v>21000</v>
          </cell>
          <cell r="P1649">
            <v>320000</v>
          </cell>
          <cell r="R1649">
            <v>38960</v>
          </cell>
          <cell r="S1649">
            <v>0</v>
          </cell>
          <cell r="X1649">
            <v>2219600</v>
          </cell>
          <cell r="AF1649">
            <v>38400</v>
          </cell>
          <cell r="AM1649">
            <v>84225</v>
          </cell>
          <cell r="BA1649">
            <v>6692450</v>
          </cell>
        </row>
        <row r="1650">
          <cell r="A1650" t="str">
            <v>ETLCUST-04587</v>
          </cell>
          <cell r="B1650" t="str">
            <v>SMART FIX IT - RAJSHAHI</v>
          </cell>
          <cell r="C1650" t="str">
            <v>Md Moniruzzaman Masum</v>
          </cell>
          <cell r="D1650" t="str">
            <v>Rajshahi</v>
          </cell>
          <cell r="E1650" t="str">
            <v>Rajshahi</v>
          </cell>
          <cell r="Q1650">
            <v>1350</v>
          </cell>
          <cell r="R1650">
            <v>4200</v>
          </cell>
          <cell r="T1650">
            <v>11200</v>
          </cell>
          <cell r="X1650">
            <v>79825</v>
          </cell>
          <cell r="AM1650">
            <v>18925</v>
          </cell>
          <cell r="AT1650">
            <v>32000</v>
          </cell>
          <cell r="AV1650">
            <v>15000</v>
          </cell>
          <cell r="BA1650">
            <v>155570</v>
          </cell>
        </row>
        <row r="1651">
          <cell r="A1651" t="str">
            <v>ETLCUST-01297</v>
          </cell>
          <cell r="B1651" t="str">
            <v>SMART IT COMMUNICATIONS - MYMENSINGH</v>
          </cell>
          <cell r="C1651" t="str">
            <v>Rafiqul Islam Sumon</v>
          </cell>
          <cell r="D1651" t="str">
            <v>Mymensingh</v>
          </cell>
          <cell r="E1651" t="str">
            <v>Mymensingh</v>
          </cell>
          <cell r="G1651">
            <v>36500</v>
          </cell>
          <cell r="L1651">
            <v>157500</v>
          </cell>
          <cell r="S1651">
            <v>0</v>
          </cell>
          <cell r="T1651">
            <v>1134050</v>
          </cell>
          <cell r="X1651">
            <v>9460925</v>
          </cell>
          <cell r="AM1651">
            <v>1876700</v>
          </cell>
          <cell r="AQ1651">
            <v>0</v>
          </cell>
          <cell r="AR1651">
            <v>5400</v>
          </cell>
          <cell r="BA1651">
            <v>6371610</v>
          </cell>
        </row>
        <row r="1652">
          <cell r="A1652" t="str">
            <v>ETLCUST-04974</v>
          </cell>
          <cell r="B1652" t="str">
            <v>SMART LAB</v>
          </cell>
          <cell r="C1652" t="str">
            <v>Md. Anisur Rahman</v>
          </cell>
          <cell r="D1652" t="str">
            <v>Corporate</v>
          </cell>
          <cell r="E1652" t="str">
            <v>Corporate</v>
          </cell>
          <cell r="AA1652">
            <v>1100000</v>
          </cell>
        </row>
        <row r="1653">
          <cell r="A1653" t="str">
            <v>ETLCUST-01370</v>
          </cell>
          <cell r="B1653" t="str">
            <v>SMART SECURITY SYSTEM - NARSINGDI</v>
          </cell>
          <cell r="C1653" t="str">
            <v>Arafat Hossain</v>
          </cell>
          <cell r="D1653" t="str">
            <v>South Bengal</v>
          </cell>
          <cell r="E1653" t="str">
            <v>South Bengal</v>
          </cell>
          <cell r="G1653">
            <v>110000</v>
          </cell>
          <cell r="S1653">
            <v>0</v>
          </cell>
          <cell r="AM1653">
            <v>1803675</v>
          </cell>
          <cell r="AQ1653">
            <v>0</v>
          </cell>
          <cell r="BA1653">
            <v>199850</v>
          </cell>
        </row>
        <row r="1654">
          <cell r="A1654" t="str">
            <v>ETLCUST-00811</v>
          </cell>
          <cell r="B1654" t="str">
            <v>SMART SOLUTIONS - RAJSHAHI</v>
          </cell>
          <cell r="C1654" t="str">
            <v>Md Moniruzzaman Masum</v>
          </cell>
          <cell r="D1654" t="str">
            <v>Rajshahi</v>
          </cell>
          <cell r="E1654" t="str">
            <v>Rajshahi</v>
          </cell>
          <cell r="G1654">
            <v>101000</v>
          </cell>
          <cell r="O1654">
            <v>550</v>
          </cell>
          <cell r="P1654">
            <v>25600</v>
          </cell>
          <cell r="X1654">
            <v>197000</v>
          </cell>
          <cell r="AK1654">
            <v>43000</v>
          </cell>
          <cell r="BA1654">
            <v>179450</v>
          </cell>
        </row>
        <row r="1655">
          <cell r="A1655" t="str">
            <v>ETLCUST-02512</v>
          </cell>
          <cell r="B1655" t="str">
            <v>Smart Technologies (BD) Ltd.</v>
          </cell>
          <cell r="C1655" t="str">
            <v>Md Saim Ali Rezvy</v>
          </cell>
          <cell r="D1655" t="str">
            <v>Corporate</v>
          </cell>
          <cell r="E1655" t="str">
            <v>Corporate</v>
          </cell>
          <cell r="R1655">
            <v>632500</v>
          </cell>
          <cell r="AF1655">
            <v>2376600</v>
          </cell>
          <cell r="AJ1655">
            <v>120000</v>
          </cell>
          <cell r="AR1655">
            <v>168000</v>
          </cell>
          <cell r="BA1655">
            <v>1470220</v>
          </cell>
        </row>
        <row r="1656">
          <cell r="A1656" t="str">
            <v>ETLCUST-02998</v>
          </cell>
          <cell r="B1656" t="str">
            <v>SMART VIEW - NATORE</v>
          </cell>
          <cell r="C1656" t="str">
            <v>Md. Abu Basar</v>
          </cell>
          <cell r="D1656" t="str">
            <v>Rajshahi</v>
          </cell>
          <cell r="E1656" t="str">
            <v>Rajshahi</v>
          </cell>
          <cell r="R1656">
            <v>220500</v>
          </cell>
          <cell r="S1656">
            <v>0</v>
          </cell>
          <cell r="T1656">
            <v>10000</v>
          </cell>
          <cell r="X1656">
            <v>731650</v>
          </cell>
          <cell r="AM1656">
            <v>7525</v>
          </cell>
          <cell r="AQ1656">
            <v>0</v>
          </cell>
          <cell r="AR1656">
            <v>5600</v>
          </cell>
          <cell r="BA1656">
            <v>626340</v>
          </cell>
        </row>
        <row r="1657">
          <cell r="A1657" t="str">
            <v>ETLCUST-01380</v>
          </cell>
          <cell r="B1657" t="str">
            <v>SMARTVIEW COMPUTER AND ELECTRONICS - FARIDPUR</v>
          </cell>
          <cell r="C1657" t="str">
            <v>Hanif shek</v>
          </cell>
          <cell r="D1657" t="str">
            <v>South Bengal</v>
          </cell>
          <cell r="E1657" t="str">
            <v>South Bengal</v>
          </cell>
          <cell r="G1657">
            <v>50000</v>
          </cell>
          <cell r="P1657">
            <v>438400</v>
          </cell>
          <cell r="R1657">
            <v>30000</v>
          </cell>
          <cell r="S1657">
            <v>0</v>
          </cell>
          <cell r="T1657">
            <v>306850</v>
          </cell>
          <cell r="U1657">
            <v>19000</v>
          </cell>
          <cell r="V1657">
            <v>-1850</v>
          </cell>
          <cell r="X1657">
            <v>2757400</v>
          </cell>
          <cell r="AK1657">
            <v>85000</v>
          </cell>
          <cell r="AM1657">
            <v>430880</v>
          </cell>
          <cell r="AP1657">
            <v>8200</v>
          </cell>
          <cell r="AQ1657">
            <v>0</v>
          </cell>
          <cell r="AR1657">
            <v>27500</v>
          </cell>
          <cell r="AT1657">
            <v>22800</v>
          </cell>
          <cell r="BA1657">
            <v>3672565</v>
          </cell>
        </row>
        <row r="1658">
          <cell r="A1658" t="str">
            <v>ETLCUST-03338</v>
          </cell>
          <cell r="B1658" t="str">
            <v>SMS IT WORLD - MOTIJHEEL</v>
          </cell>
          <cell r="C1658" t="str">
            <v>Hridoy Chandra Das</v>
          </cell>
          <cell r="D1658" t="str">
            <v>Motijheel</v>
          </cell>
          <cell r="E1658" t="str">
            <v>Motijheel</v>
          </cell>
          <cell r="P1658">
            <v>161000</v>
          </cell>
          <cell r="R1658">
            <v>60000</v>
          </cell>
          <cell r="S1658">
            <v>0</v>
          </cell>
          <cell r="V1658">
            <v>280500</v>
          </cell>
          <cell r="AD1658">
            <v>8200</v>
          </cell>
          <cell r="AT1658">
            <v>215100</v>
          </cell>
        </row>
        <row r="1659">
          <cell r="A1659" t="str">
            <v>ETLCUST-01910</v>
          </cell>
          <cell r="B1659" t="str">
            <v>SOFT TECH - MULTIPLAN</v>
          </cell>
          <cell r="C1659" t="str">
            <v>Md. Abdus Satter</v>
          </cell>
          <cell r="D1659" t="str">
            <v>HO-SI</v>
          </cell>
          <cell r="E1659" t="str">
            <v>HO-SI</v>
          </cell>
          <cell r="R1659">
            <v>332500</v>
          </cell>
          <cell r="AR1659">
            <v>1380000</v>
          </cell>
          <cell r="BA1659">
            <v>238970</v>
          </cell>
        </row>
        <row r="1660">
          <cell r="A1660" t="str">
            <v>ETLCUST-04914</v>
          </cell>
          <cell r="B1660" t="str">
            <v>SOFTECH COMPUTER - SREEPUR</v>
          </cell>
          <cell r="C1660" t="str">
            <v>MD. Shipon Ali</v>
          </cell>
          <cell r="D1660" t="str">
            <v>Uttara</v>
          </cell>
          <cell r="E1660" t="str">
            <v>Uttara</v>
          </cell>
          <cell r="G1660">
            <v>48000</v>
          </cell>
          <cell r="X1660">
            <v>50000</v>
          </cell>
          <cell r="AL1660">
            <v>6625</v>
          </cell>
          <cell r="AO1660">
            <v>56300</v>
          </cell>
          <cell r="AQ1660">
            <v>0</v>
          </cell>
          <cell r="BA1660">
            <v>13800</v>
          </cell>
        </row>
        <row r="1661">
          <cell r="A1661" t="str">
            <v>ETLCUST-00738</v>
          </cell>
          <cell r="B1661" t="str">
            <v>SOFTECH SYSTEMS AND NETWORKS - MULTIPLAN</v>
          </cell>
          <cell r="C1661" t="str">
            <v>Mohammad Mostofa</v>
          </cell>
          <cell r="D1661" t="str">
            <v>Multiplan</v>
          </cell>
          <cell r="E1661" t="str">
            <v>Multiplan</v>
          </cell>
          <cell r="P1661">
            <v>100000</v>
          </cell>
        </row>
        <row r="1662">
          <cell r="A1662" t="str">
            <v>ETLCUST-05198</v>
          </cell>
          <cell r="B1662" t="str">
            <v>SOHAG COMPUTER -KHULNA</v>
          </cell>
          <cell r="C1662" t="str">
            <v>Imrul Rayhan</v>
          </cell>
          <cell r="D1662" t="str">
            <v>Khulna</v>
          </cell>
          <cell r="E1662" t="str">
            <v>Khulna</v>
          </cell>
          <cell r="X1662">
            <v>31000</v>
          </cell>
          <cell r="BA1662">
            <v>2180</v>
          </cell>
        </row>
        <row r="1663">
          <cell r="A1663" t="str">
            <v>ETLCUST-04054</v>
          </cell>
          <cell r="B1663" t="str">
            <v>SOHAN ELECTRONICS - PABNA</v>
          </cell>
          <cell r="C1663" t="str">
            <v>Forhad Rubel</v>
          </cell>
          <cell r="D1663" t="str">
            <v>North Bengal</v>
          </cell>
          <cell r="E1663" t="str">
            <v>North Bengal</v>
          </cell>
          <cell r="G1663">
            <v>274000</v>
          </cell>
          <cell r="Q1663">
            <v>1350</v>
          </cell>
          <cell r="S1663">
            <v>0</v>
          </cell>
          <cell r="AQ1663">
            <v>0</v>
          </cell>
          <cell r="BA1663">
            <v>1586155</v>
          </cell>
        </row>
        <row r="1664">
          <cell r="A1664" t="str">
            <v>ETLCUST-04703</v>
          </cell>
          <cell r="B1664" t="str">
            <v>SOHAN PRINTER SALE &amp; SERVICE - RAJSHAHI</v>
          </cell>
          <cell r="C1664" t="str">
            <v>Md Moniruzzaman Masum</v>
          </cell>
          <cell r="D1664" t="str">
            <v>Rajshahi</v>
          </cell>
          <cell r="E1664" t="str">
            <v>Rajshahi</v>
          </cell>
          <cell r="R1664">
            <v>88000</v>
          </cell>
        </row>
        <row r="1665">
          <cell r="A1665" t="str">
            <v>ETLCUST-04618</v>
          </cell>
          <cell r="B1665" t="str">
            <v>SOHEL TELECOM - NATORE</v>
          </cell>
          <cell r="C1665" t="str">
            <v>Md. Abu Basar</v>
          </cell>
          <cell r="D1665" t="str">
            <v>Rajshahi</v>
          </cell>
          <cell r="E1665" t="str">
            <v>Rajshahi</v>
          </cell>
          <cell r="G1665">
            <v>112000</v>
          </cell>
          <cell r="S1665">
            <v>0</v>
          </cell>
          <cell r="X1665">
            <v>46925</v>
          </cell>
          <cell r="AL1665">
            <v>15900</v>
          </cell>
          <cell r="AM1665">
            <v>438575</v>
          </cell>
          <cell r="AQ1665">
            <v>0</v>
          </cell>
          <cell r="BA1665">
            <v>2060325</v>
          </cell>
        </row>
        <row r="1666">
          <cell r="A1666" t="str">
            <v>ETLCUST-03312</v>
          </cell>
          <cell r="B1666" t="str">
            <v>SOLAIMAN COMPUTER - SIRAJGONJ</v>
          </cell>
          <cell r="C1666" t="str">
            <v>Md. Raihan Shohag</v>
          </cell>
          <cell r="D1666" t="str">
            <v>North Bengal</v>
          </cell>
          <cell r="E1666" t="str">
            <v>North Bengal</v>
          </cell>
          <cell r="G1666">
            <v>20000</v>
          </cell>
          <cell r="S1666">
            <v>0</v>
          </cell>
          <cell r="AJ1666">
            <v>1500</v>
          </cell>
          <cell r="AL1666">
            <v>47700</v>
          </cell>
          <cell r="AM1666">
            <v>133750</v>
          </cell>
          <cell r="AQ1666">
            <v>0</v>
          </cell>
          <cell r="AZ1666">
            <v>11180</v>
          </cell>
          <cell r="BA1666">
            <v>3697730</v>
          </cell>
        </row>
        <row r="1667">
          <cell r="A1667" t="str">
            <v>ETLCUST-05256</v>
          </cell>
          <cell r="B1667" t="str">
            <v>SOLUTION ONE - CTG</v>
          </cell>
          <cell r="C1667" t="str">
            <v>Md. Mamunur Rashid</v>
          </cell>
          <cell r="D1667" t="str">
            <v>CTG</v>
          </cell>
          <cell r="E1667" t="str">
            <v>CTG</v>
          </cell>
          <cell r="U1667">
            <v>225000</v>
          </cell>
          <cell r="X1667">
            <v>30600</v>
          </cell>
          <cell r="AM1667">
            <v>850</v>
          </cell>
          <cell r="AR1667">
            <v>44560</v>
          </cell>
          <cell r="AV1667">
            <v>135400</v>
          </cell>
        </row>
        <row r="1668">
          <cell r="A1668" t="str">
            <v>ETLCUST-02934</v>
          </cell>
          <cell r="B1668" t="str">
            <v>SONY ELECTRONICS - CTG</v>
          </cell>
          <cell r="C1668" t="str">
            <v>Md. Mamunur Rashid</v>
          </cell>
          <cell r="D1668" t="str">
            <v>CTG</v>
          </cell>
          <cell r="E1668" t="str">
            <v>CTG</v>
          </cell>
          <cell r="Q1668">
            <v>890</v>
          </cell>
          <cell r="S1668">
            <v>0</v>
          </cell>
          <cell r="T1668">
            <v>266750</v>
          </cell>
          <cell r="X1668">
            <v>9286725</v>
          </cell>
          <cell r="AL1668">
            <v>390040</v>
          </cell>
          <cell r="AM1668">
            <v>758175</v>
          </cell>
          <cell r="AR1668">
            <v>144960</v>
          </cell>
          <cell r="AV1668">
            <v>154000</v>
          </cell>
          <cell r="BA1668">
            <v>7574005</v>
          </cell>
        </row>
        <row r="1669">
          <cell r="A1669" t="str">
            <v>ETLCUST-00474</v>
          </cell>
          <cell r="B1669" t="str">
            <v>SONY ELECTRONICS - GULISTAN</v>
          </cell>
          <cell r="C1669" t="str">
            <v>Md Kamrul Hasan Sabuz</v>
          </cell>
          <cell r="D1669" t="str">
            <v>Gulistan</v>
          </cell>
          <cell r="E1669" t="str">
            <v>Gulistan</v>
          </cell>
          <cell r="AZ1669">
            <v>433550</v>
          </cell>
        </row>
        <row r="1670">
          <cell r="A1670" t="str">
            <v>ETLCUST-02438</v>
          </cell>
          <cell r="B1670" t="str">
            <v>SOORTY TEXTILES (BD) LTD.</v>
          </cell>
          <cell r="C1670" t="str">
            <v>Abu Zahid Sobuj</v>
          </cell>
          <cell r="D1670" t="str">
            <v>Corporate</v>
          </cell>
          <cell r="E1670" t="str">
            <v>Corporate</v>
          </cell>
          <cell r="U1670">
            <v>48100</v>
          </cell>
        </row>
        <row r="1671">
          <cell r="A1671" t="str">
            <v>ETLCUST-01583</v>
          </cell>
          <cell r="B1671" t="str">
            <v>SORME ENTERPRISE - GULISTAN</v>
          </cell>
          <cell r="C1671" t="str">
            <v>Md Kamrul Hasan Sabuz</v>
          </cell>
          <cell r="D1671" t="str">
            <v>Gulistan</v>
          </cell>
          <cell r="E1671" t="str">
            <v>Gulistan</v>
          </cell>
          <cell r="AZ1671">
            <v>881850</v>
          </cell>
        </row>
        <row r="1672">
          <cell r="A1672" t="str">
            <v>ETLCUST-00976</v>
          </cell>
          <cell r="B1672" t="str">
            <v>SORNA ELECTRONICS - BOGRA</v>
          </cell>
          <cell r="C1672" t="str">
            <v>Md Shahidul Islam</v>
          </cell>
          <cell r="D1672" t="str">
            <v>North Bengal</v>
          </cell>
          <cell r="E1672" t="str">
            <v>North Bengal</v>
          </cell>
          <cell r="G1672">
            <v>1305000</v>
          </cell>
          <cell r="S1672">
            <v>0</v>
          </cell>
          <cell r="T1672">
            <v>560000</v>
          </cell>
          <cell r="AL1672">
            <v>51700</v>
          </cell>
          <cell r="AM1672">
            <v>1332345</v>
          </cell>
          <cell r="AR1672">
            <v>44800</v>
          </cell>
          <cell r="BA1672">
            <v>14685730</v>
          </cell>
        </row>
        <row r="1673">
          <cell r="A1673" t="str">
            <v>ETLCUST-02446</v>
          </cell>
          <cell r="B1673" t="str">
            <v>SOS CHILDREN'S VILLAGE INTERNATIONAL IN BANGLADESH</v>
          </cell>
          <cell r="C1673" t="str">
            <v>Shakil Ahmed</v>
          </cell>
          <cell r="D1673" t="str">
            <v>Corporate</v>
          </cell>
          <cell r="E1673" t="str">
            <v>Corporate</v>
          </cell>
          <cell r="AD1673">
            <v>147894</v>
          </cell>
        </row>
        <row r="1674">
          <cell r="A1674" t="str">
            <v>ETLCUST-04388</v>
          </cell>
          <cell r="B1674" t="str">
            <v>SOTEZ TECHNOLOGY - RAJBARI</v>
          </cell>
          <cell r="C1674" t="str">
            <v>Hanif shek</v>
          </cell>
          <cell r="D1674" t="str">
            <v>South Bengal</v>
          </cell>
          <cell r="E1674" t="str">
            <v>South Bengal</v>
          </cell>
          <cell r="BA1674">
            <v>412125</v>
          </cell>
        </row>
        <row r="1675">
          <cell r="A1675" t="str">
            <v>ETLCUST-04344</v>
          </cell>
          <cell r="B1675" t="str">
            <v>SOTOTA ELECTRONICS - B.BARIA</v>
          </cell>
          <cell r="C1675" t="str">
            <v>Md. Imran Miah Khandakar</v>
          </cell>
          <cell r="D1675" t="str">
            <v>Sylhet</v>
          </cell>
          <cell r="E1675" t="str">
            <v>Sylhet</v>
          </cell>
          <cell r="AM1675">
            <v>425</v>
          </cell>
          <cell r="BA1675">
            <v>22300</v>
          </cell>
        </row>
        <row r="1676">
          <cell r="A1676" t="str">
            <v>ETLCUST-04855</v>
          </cell>
          <cell r="B1676" t="str">
            <v>SOTOTA ELECTRONICS - CTG</v>
          </cell>
          <cell r="C1676" t="str">
            <v>Shahidul Alam Chowdhury</v>
          </cell>
          <cell r="D1676" t="str">
            <v>CTG</v>
          </cell>
          <cell r="E1676" t="str">
            <v>CTG</v>
          </cell>
          <cell r="BA1676">
            <v>10000</v>
          </cell>
        </row>
        <row r="1677">
          <cell r="A1677" t="str">
            <v>ETLCUST-03077</v>
          </cell>
          <cell r="B1677" t="str">
            <v xml:space="preserve">SOURCE AND SERVICE - MOTIJHEEL              </v>
          </cell>
          <cell r="C1677" t="str">
            <v>Sabuj Das</v>
          </cell>
          <cell r="D1677" t="str">
            <v>HO-SI</v>
          </cell>
          <cell r="E1677" t="str">
            <v>HO-SI</v>
          </cell>
          <cell r="U1677">
            <v>15800</v>
          </cell>
          <cell r="Y1677">
            <v>223000</v>
          </cell>
          <cell r="AF1677">
            <v>1680200</v>
          </cell>
          <cell r="BA1677">
            <v>16750</v>
          </cell>
        </row>
        <row r="1678">
          <cell r="A1678" t="str">
            <v>ETLCUST-02636</v>
          </cell>
          <cell r="B1678" t="str">
            <v>SOUTH BANGLA COMPUTERS</v>
          </cell>
          <cell r="C1678" t="str">
            <v>Nazir Ahmod</v>
          </cell>
          <cell r="D1678" t="str">
            <v>Corporate</v>
          </cell>
          <cell r="E1678" t="str">
            <v>Corporate</v>
          </cell>
          <cell r="AV1678">
            <v>600000</v>
          </cell>
        </row>
        <row r="1679">
          <cell r="A1679" t="str">
            <v>ETLCUST-03775</v>
          </cell>
          <cell r="B1679" t="str">
            <v>SOUTHEAST BANK PLC.</v>
          </cell>
          <cell r="C1679" t="str">
            <v>Rafsan Jani</v>
          </cell>
          <cell r="D1679" t="str">
            <v>Corporate</v>
          </cell>
          <cell r="E1679" t="str">
            <v>Corporate</v>
          </cell>
          <cell r="R1679">
            <v>43158.18</v>
          </cell>
          <cell r="AF1679">
            <v>1948181.8800000001</v>
          </cell>
        </row>
        <row r="1680">
          <cell r="A1680" t="str">
            <v>ETLCUST-00913</v>
          </cell>
          <cell r="B1680" t="str">
            <v>SP COMPUTER SYSTEMS - CHUYADANGA</v>
          </cell>
          <cell r="C1680" t="str">
            <v>Md. Hasanuzzaman</v>
          </cell>
          <cell r="D1680" t="str">
            <v>South Bengal</v>
          </cell>
          <cell r="E1680" t="str">
            <v>South Bengal</v>
          </cell>
          <cell r="V1680">
            <v>6400</v>
          </cell>
          <cell r="X1680">
            <v>11400</v>
          </cell>
          <cell r="AM1680">
            <v>380</v>
          </cell>
          <cell r="AO1680">
            <v>5225</v>
          </cell>
          <cell r="BA1680">
            <v>26055</v>
          </cell>
        </row>
        <row r="1681">
          <cell r="A1681" t="str">
            <v>ETLCUST-00878</v>
          </cell>
          <cell r="B1681" t="str">
            <v>S-P TRADING CORPORATION - KUSHTIA</v>
          </cell>
          <cell r="C1681" t="str">
            <v>Md Rakibul Islam</v>
          </cell>
          <cell r="D1681" t="str">
            <v>South Bengal</v>
          </cell>
          <cell r="E1681" t="str">
            <v>South Bengal</v>
          </cell>
          <cell r="G1681">
            <v>5500</v>
          </cell>
          <cell r="AZ1681">
            <v>26800</v>
          </cell>
        </row>
        <row r="1682">
          <cell r="A1682" t="str">
            <v>ETLCUST-01463</v>
          </cell>
          <cell r="B1682" t="str">
            <v>SPARK COMPUTERS AND ENGINEERS - BARISAL</v>
          </cell>
          <cell r="C1682" t="str">
            <v>Shah Imran</v>
          </cell>
          <cell r="D1682" t="str">
            <v>South Bengal</v>
          </cell>
          <cell r="E1682" t="str">
            <v>South Bengal</v>
          </cell>
          <cell r="BA1682">
            <v>34470</v>
          </cell>
        </row>
        <row r="1683">
          <cell r="A1683" t="str">
            <v>ETLCUST-05095</v>
          </cell>
          <cell r="B1683" t="str">
            <v>SPC Solution - FENI</v>
          </cell>
          <cell r="C1683" t="str">
            <v>Reazuddin</v>
          </cell>
          <cell r="D1683" t="str">
            <v>CTG</v>
          </cell>
          <cell r="E1683" t="str">
            <v>CTG</v>
          </cell>
          <cell r="X1683">
            <v>34000</v>
          </cell>
          <cell r="AL1683">
            <v>203930</v>
          </cell>
        </row>
        <row r="1684">
          <cell r="A1684" t="str">
            <v>ETLCUST-01906</v>
          </cell>
          <cell r="B1684" t="str">
            <v>SPEED COMPUTER - ELEPHANT ROAD</v>
          </cell>
          <cell r="C1684" t="str">
            <v>Md Shamim Miah</v>
          </cell>
          <cell r="D1684" t="str">
            <v>DHB</v>
          </cell>
          <cell r="E1684" t="str">
            <v>DHB</v>
          </cell>
          <cell r="AO1684">
            <v>502525</v>
          </cell>
        </row>
        <row r="1685">
          <cell r="A1685" t="str">
            <v>ETLCUST-01457</v>
          </cell>
          <cell r="B1685" t="str">
            <v>SPEED SOLUTION - BARISAL</v>
          </cell>
          <cell r="C1685" t="str">
            <v>Shah Imran</v>
          </cell>
          <cell r="D1685" t="str">
            <v>South Bengal</v>
          </cell>
          <cell r="E1685" t="str">
            <v>South Bengal</v>
          </cell>
          <cell r="BA1685">
            <v>118225</v>
          </cell>
        </row>
        <row r="1686">
          <cell r="A1686" t="str">
            <v>ETLCUST-02465</v>
          </cell>
          <cell r="B1686" t="str">
            <v>SQ WIRE &amp; CABLE LTD.</v>
          </cell>
          <cell r="C1686" t="str">
            <v>Md. Raihan Ali</v>
          </cell>
          <cell r="D1686" t="str">
            <v>Corporate</v>
          </cell>
          <cell r="E1686" t="str">
            <v>Corporate</v>
          </cell>
          <cell r="U1686">
            <v>10200</v>
          </cell>
        </row>
        <row r="1687">
          <cell r="A1687" t="str">
            <v>ETLCUST-02836</v>
          </cell>
          <cell r="B1687" t="str">
            <v>SQUARE APPARELS LTD.</v>
          </cell>
          <cell r="C1687" t="str">
            <v>Md Saim Ali Rezvy</v>
          </cell>
          <cell r="D1687" t="str">
            <v>Corporate</v>
          </cell>
          <cell r="E1687" t="str">
            <v>Corporate</v>
          </cell>
          <cell r="AD1687">
            <v>46500</v>
          </cell>
          <cell r="BA1687">
            <v>4400</v>
          </cell>
        </row>
        <row r="1688">
          <cell r="A1688" t="str">
            <v>ETLCUST-02837</v>
          </cell>
          <cell r="B1688" t="str">
            <v>SQUARE DENIMS LTD.</v>
          </cell>
          <cell r="C1688" t="str">
            <v>Md Saim Ali Rezvy</v>
          </cell>
          <cell r="D1688" t="str">
            <v>Corporate</v>
          </cell>
          <cell r="E1688" t="str">
            <v>Corporate</v>
          </cell>
          <cell r="AD1688">
            <v>159129.13</v>
          </cell>
        </row>
        <row r="1689">
          <cell r="A1689" t="str">
            <v>ETLCUST-02838</v>
          </cell>
          <cell r="B1689" t="str">
            <v>SQUARE FASHIONS LTD.</v>
          </cell>
          <cell r="C1689" t="str">
            <v>Md Saim Ali Rezvy</v>
          </cell>
          <cell r="D1689" t="str">
            <v>Corporate</v>
          </cell>
          <cell r="E1689" t="str">
            <v>Corporate</v>
          </cell>
          <cell r="U1689">
            <v>87250</v>
          </cell>
          <cell r="AD1689">
            <v>741730.04</v>
          </cell>
          <cell r="AV1689">
            <v>53000</v>
          </cell>
          <cell r="AY1689">
            <v>1579.13</v>
          </cell>
        </row>
        <row r="1690">
          <cell r="A1690" t="str">
            <v>ETLCUST-02466</v>
          </cell>
          <cell r="B1690" t="str">
            <v>SQUARE HOSPITALS LTD.</v>
          </cell>
          <cell r="C1690" t="str">
            <v>Ashraful Islam</v>
          </cell>
          <cell r="D1690" t="str">
            <v>Corporate</v>
          </cell>
          <cell r="E1690" t="str">
            <v>Corporate</v>
          </cell>
          <cell r="U1690">
            <v>268136.20999999996</v>
          </cell>
        </row>
        <row r="1691">
          <cell r="A1691" t="str">
            <v>ETLCUST-02839</v>
          </cell>
          <cell r="B1691" t="str">
            <v>SQUARE TEXTILES PLC.</v>
          </cell>
          <cell r="C1691" t="str">
            <v>Md Saim Ali Rezvy</v>
          </cell>
          <cell r="D1691" t="str">
            <v>Corporate</v>
          </cell>
          <cell r="E1691" t="str">
            <v>Corporate</v>
          </cell>
          <cell r="AV1691">
            <v>44400</v>
          </cell>
        </row>
        <row r="1692">
          <cell r="A1692" t="str">
            <v>ETLCUST-03353</v>
          </cell>
          <cell r="B1692" t="str">
            <v>SQUARE TOILETRIES LIMITED</v>
          </cell>
          <cell r="C1692" t="str">
            <v>Shakil Ahmed</v>
          </cell>
          <cell r="D1692" t="str">
            <v>Corporate</v>
          </cell>
          <cell r="E1692" t="str">
            <v>Corporate</v>
          </cell>
          <cell r="R1692">
            <v>348000</v>
          </cell>
          <cell r="S1692">
            <v>0</v>
          </cell>
        </row>
        <row r="1693">
          <cell r="A1693" t="str">
            <v>ETLCUST-05094</v>
          </cell>
          <cell r="B1693" t="str">
            <v>SR ELECTRONICS - NATIONAL STADIUM</v>
          </cell>
          <cell r="C1693" t="str">
            <v>Noor Hossain</v>
          </cell>
          <cell r="D1693" t="str">
            <v>Gulistan</v>
          </cell>
          <cell r="E1693" t="str">
            <v>Gulistan</v>
          </cell>
          <cell r="T1693">
            <v>634600</v>
          </cell>
          <cell r="U1693">
            <v>66100</v>
          </cell>
          <cell r="X1693">
            <v>5213775</v>
          </cell>
          <cell r="AL1693">
            <v>52350</v>
          </cell>
        </row>
        <row r="1694">
          <cell r="A1694" t="str">
            <v>ETLCUST-02757</v>
          </cell>
          <cell r="B1694" t="str">
            <v>SR LAPTOP SHOWROOM - RAJSHAHI</v>
          </cell>
          <cell r="C1694" t="str">
            <v>Md Moniruzzaman Masum</v>
          </cell>
          <cell r="D1694" t="str">
            <v>Rajshahi</v>
          </cell>
          <cell r="E1694" t="str">
            <v>Rajshahi</v>
          </cell>
          <cell r="AL1694">
            <v>1990</v>
          </cell>
        </row>
        <row r="1695">
          <cell r="A1695" t="str">
            <v>ETLCUST-00973</v>
          </cell>
          <cell r="B1695" t="str">
            <v>SR TELECOM - PABNA</v>
          </cell>
          <cell r="C1695" t="str">
            <v>Forhad Rubel</v>
          </cell>
          <cell r="D1695" t="str">
            <v>North Bengal</v>
          </cell>
          <cell r="E1695" t="str">
            <v>North Bengal</v>
          </cell>
          <cell r="AM1695">
            <v>147805</v>
          </cell>
          <cell r="AQ1695">
            <v>0</v>
          </cell>
          <cell r="BA1695">
            <v>176900</v>
          </cell>
        </row>
        <row r="1696">
          <cell r="A1696" t="str">
            <v>ETLCUST-04046</v>
          </cell>
          <cell r="B1696" t="str">
            <v>SRISTY COMPUTER - CHUADANGA</v>
          </cell>
          <cell r="C1696" t="str">
            <v>Md. Hasanuzzaman</v>
          </cell>
          <cell r="D1696" t="str">
            <v>South Bengal</v>
          </cell>
          <cell r="E1696" t="str">
            <v>South Bengal</v>
          </cell>
          <cell r="G1696">
            <v>100000</v>
          </cell>
          <cell r="O1696">
            <v>14300</v>
          </cell>
          <cell r="P1696">
            <v>12800</v>
          </cell>
          <cell r="R1696">
            <v>27400</v>
          </cell>
          <cell r="V1696">
            <v>35500</v>
          </cell>
          <cell r="X1696">
            <v>44600</v>
          </cell>
          <cell r="AL1696">
            <v>99375</v>
          </cell>
          <cell r="AM1696">
            <v>1140</v>
          </cell>
          <cell r="AQ1696">
            <v>0</v>
          </cell>
          <cell r="AT1696">
            <v>79600</v>
          </cell>
          <cell r="BA1696">
            <v>723970</v>
          </cell>
        </row>
        <row r="1697">
          <cell r="A1697" t="str">
            <v>ETLCUST-03134</v>
          </cell>
          <cell r="B1697" t="str">
            <v>SS COMPUTER AND TECHNOLOGY - MULTIPLAN</v>
          </cell>
          <cell r="C1697" t="str">
            <v>Md Mokshed Ali</v>
          </cell>
          <cell r="D1697" t="str">
            <v>Multiplan</v>
          </cell>
          <cell r="E1697" t="str">
            <v>Multiplan</v>
          </cell>
          <cell r="AJ1697">
            <v>150000</v>
          </cell>
          <cell r="AV1697">
            <v>147800</v>
          </cell>
        </row>
        <row r="1698">
          <cell r="A1698" t="str">
            <v>ETLCUST-03224</v>
          </cell>
          <cell r="B1698" t="str">
            <v xml:space="preserve">SS ONLNE -  AZIMPUR </v>
          </cell>
          <cell r="C1698" t="str">
            <v>Md. Abdus Satter</v>
          </cell>
          <cell r="D1698" t="str">
            <v>HO-SI</v>
          </cell>
          <cell r="E1698" t="str">
            <v>HO-SI</v>
          </cell>
          <cell r="U1698">
            <v>7900</v>
          </cell>
        </row>
        <row r="1699">
          <cell r="A1699" t="str">
            <v>ETLCUST-04068</v>
          </cell>
          <cell r="B1699" t="str">
            <v>ST TECHNOLOGIES BD - MULTIPLAN</v>
          </cell>
          <cell r="C1699" t="str">
            <v>Pran Krishna Gosh</v>
          </cell>
          <cell r="D1699" t="str">
            <v>Multiplan</v>
          </cell>
          <cell r="E1699" t="str">
            <v>Multiplan</v>
          </cell>
          <cell r="P1699">
            <v>32000</v>
          </cell>
          <cell r="R1699">
            <v>78000</v>
          </cell>
          <cell r="AO1699">
            <v>452600</v>
          </cell>
          <cell r="AT1699">
            <v>60550</v>
          </cell>
          <cell r="BA1699">
            <v>14990</v>
          </cell>
        </row>
        <row r="1700">
          <cell r="A1700" t="str">
            <v>ETLCUST-02809</v>
          </cell>
          <cell r="B1700" t="str">
            <v>STANDARD GROUP LIMITED</v>
          </cell>
          <cell r="C1700" t="str">
            <v>Hasibul Hasan Symoon</v>
          </cell>
          <cell r="D1700" t="str">
            <v>Corporate</v>
          </cell>
          <cell r="E1700" t="str">
            <v>Corporate</v>
          </cell>
          <cell r="AA1700">
            <v>107370</v>
          </cell>
        </row>
        <row r="1701">
          <cell r="A1701" t="str">
            <v>ETLCUST-02472</v>
          </cell>
          <cell r="B1701" t="str">
            <v>STANDARD STITCHES LTD. (WOVEN UNIT)</v>
          </cell>
          <cell r="C1701" t="str">
            <v>Hasibul Hasan Symoon</v>
          </cell>
          <cell r="D1701" t="str">
            <v>Corporate</v>
          </cell>
          <cell r="E1701" t="str">
            <v>Corporate</v>
          </cell>
          <cell r="AA1701">
            <v>52630</v>
          </cell>
          <cell r="AJ1701">
            <v>63159</v>
          </cell>
          <cell r="AR1701">
            <v>8950</v>
          </cell>
        </row>
        <row r="1702">
          <cell r="A1702" t="str">
            <v>ETLCUST-05441</v>
          </cell>
          <cell r="B1702" t="str">
            <v>STANDARD TRADING COMPANY</v>
          </cell>
          <cell r="C1702" t="str">
            <v>Rafsan Jani</v>
          </cell>
          <cell r="D1702" t="str">
            <v>Corporate</v>
          </cell>
          <cell r="E1702" t="str">
            <v>Corporate</v>
          </cell>
          <cell r="Y1702">
            <v>220000</v>
          </cell>
        </row>
        <row r="1703">
          <cell r="A1703" t="str">
            <v>ETLCUST-04699</v>
          </cell>
          <cell r="B1703" t="str">
            <v>STAR COMPUTER AND CAMERA POINT - CHANDPUR</v>
          </cell>
          <cell r="C1703" t="str">
            <v>Nazmul Amin Sajib</v>
          </cell>
          <cell r="D1703" t="str">
            <v>CTG</v>
          </cell>
          <cell r="E1703" t="str">
            <v>CTG</v>
          </cell>
          <cell r="Q1703">
            <v>2700</v>
          </cell>
          <cell r="AL1703">
            <v>164485</v>
          </cell>
          <cell r="AM1703">
            <v>120005</v>
          </cell>
          <cell r="AQ1703">
            <v>0</v>
          </cell>
          <cell r="BA1703">
            <v>1623755</v>
          </cell>
        </row>
        <row r="1704">
          <cell r="A1704" t="str">
            <v>ETLCUST-00800</v>
          </cell>
          <cell r="B1704" t="str">
            <v>STAR COMPUTER TECHNOLOGY-RAJSHAHI</v>
          </cell>
          <cell r="C1704" t="str">
            <v>Ahmed Bulbul</v>
          </cell>
          <cell r="D1704" t="str">
            <v>Rajshahi</v>
          </cell>
          <cell r="E1704" t="str">
            <v>Rajshahi</v>
          </cell>
          <cell r="R1704">
            <v>39000</v>
          </cell>
        </row>
        <row r="1705">
          <cell r="A1705" t="str">
            <v>ETLCUST-03037</v>
          </cell>
          <cell r="B1705" t="str">
            <v>STAR COMPUTER VISION - MOTIJHEEL</v>
          </cell>
          <cell r="C1705" t="str">
            <v>Md. Sahedul Islam</v>
          </cell>
          <cell r="D1705" t="str">
            <v>Motijheel</v>
          </cell>
          <cell r="E1705" t="str">
            <v>Motijheel</v>
          </cell>
          <cell r="R1705">
            <v>1050000</v>
          </cell>
        </row>
        <row r="1706">
          <cell r="A1706" t="str">
            <v>ETLCUST-03308</v>
          </cell>
          <cell r="B1706" t="str">
            <v>STAR ENTERPRISE - PABNA</v>
          </cell>
          <cell r="C1706" t="str">
            <v>Forhad Rubel</v>
          </cell>
          <cell r="D1706" t="str">
            <v>North Bengal</v>
          </cell>
          <cell r="E1706" t="str">
            <v>North Bengal</v>
          </cell>
          <cell r="G1706">
            <v>112000</v>
          </cell>
          <cell r="BA1706">
            <v>97200</v>
          </cell>
        </row>
        <row r="1707">
          <cell r="A1707" t="str">
            <v>ETLCUST-04256</v>
          </cell>
          <cell r="B1707" t="str">
            <v>STAR NETWORKING SOLUTIONS - DHANMONDI</v>
          </cell>
          <cell r="C1707" t="str">
            <v>Md. Abdus Satter</v>
          </cell>
          <cell r="D1707" t="str">
            <v>HO-SI</v>
          </cell>
          <cell r="E1707" t="str">
            <v>HO-SI</v>
          </cell>
          <cell r="U1707">
            <v>11500</v>
          </cell>
          <cell r="X1707">
            <v>65000</v>
          </cell>
          <cell r="AA1707">
            <v>27000</v>
          </cell>
          <cell r="AJ1707">
            <v>28700</v>
          </cell>
        </row>
        <row r="1708">
          <cell r="A1708" t="str">
            <v>ETLCUST-05096</v>
          </cell>
          <cell r="B1708" t="str">
            <v>STAR NEWS</v>
          </cell>
          <cell r="C1708" t="str">
            <v>Hasibul Hasan Symoon</v>
          </cell>
          <cell r="D1708" t="str">
            <v>Corporate</v>
          </cell>
          <cell r="E1708" t="str">
            <v>Corporate</v>
          </cell>
          <cell r="U1708">
            <v>72500</v>
          </cell>
          <cell r="AY1708">
            <v>20000</v>
          </cell>
        </row>
        <row r="1709">
          <cell r="A1709" t="str">
            <v>ETLCUST-01474</v>
          </cell>
          <cell r="B1709" t="str">
            <v>STAR PHOTOSHOP - BARISAL</v>
          </cell>
          <cell r="C1709" t="str">
            <v>Shah Imran</v>
          </cell>
          <cell r="D1709" t="str">
            <v>South Bengal</v>
          </cell>
          <cell r="E1709" t="str">
            <v>South Bengal</v>
          </cell>
          <cell r="O1709">
            <v>7700</v>
          </cell>
          <cell r="P1709">
            <v>105000</v>
          </cell>
          <cell r="R1709">
            <v>108100</v>
          </cell>
          <cell r="S1709">
            <v>0</v>
          </cell>
          <cell r="V1709">
            <v>20880</v>
          </cell>
          <cell r="X1709">
            <v>114450</v>
          </cell>
          <cell r="Y1709">
            <v>50500</v>
          </cell>
          <cell r="AJ1709">
            <v>50280</v>
          </cell>
          <cell r="AK1709">
            <v>183800</v>
          </cell>
          <cell r="AL1709">
            <v>6625</v>
          </cell>
          <cell r="AM1709">
            <v>10160</v>
          </cell>
          <cell r="AQ1709">
            <v>0</v>
          </cell>
          <cell r="AT1709">
            <v>2500</v>
          </cell>
          <cell r="BA1709">
            <v>149725</v>
          </cell>
        </row>
        <row r="1710">
          <cell r="A1710" t="str">
            <v>ETLCUST-00446</v>
          </cell>
          <cell r="B1710" t="str">
            <v>STAR SATELLITE - MADHUPUR</v>
          </cell>
          <cell r="C1710" t="str">
            <v>Niloy Ghosh</v>
          </cell>
          <cell r="D1710" t="str">
            <v>DHK-EXT</v>
          </cell>
          <cell r="E1710" t="str">
            <v>DHK-EXT</v>
          </cell>
          <cell r="G1710">
            <v>829000</v>
          </cell>
          <cell r="S1710">
            <v>0</v>
          </cell>
          <cell r="AM1710">
            <v>42335</v>
          </cell>
          <cell r="AQ1710">
            <v>0</v>
          </cell>
          <cell r="AR1710">
            <v>8500</v>
          </cell>
          <cell r="BA1710">
            <v>2195750</v>
          </cell>
        </row>
        <row r="1711">
          <cell r="A1711" t="str">
            <v>ETLCUST-03995</v>
          </cell>
          <cell r="B1711" t="str">
            <v>STAR TECH AND ENGINEERING LTD - CORPORATE</v>
          </cell>
          <cell r="C1711" t="str">
            <v>Md Tanjilur Rakib</v>
          </cell>
          <cell r="D1711" t="str">
            <v>HO-SI</v>
          </cell>
          <cell r="E1711" t="str">
            <v>HO-SI</v>
          </cell>
          <cell r="L1711">
            <v>31000</v>
          </cell>
          <cell r="R1711">
            <v>64000</v>
          </cell>
          <cell r="X1711">
            <v>725300</v>
          </cell>
          <cell r="AF1711">
            <v>8702900</v>
          </cell>
          <cell r="AR1711">
            <v>95000</v>
          </cell>
          <cell r="AS1711">
            <v>67500</v>
          </cell>
          <cell r="AT1711">
            <v>455000</v>
          </cell>
          <cell r="BA1711">
            <v>55820</v>
          </cell>
        </row>
        <row r="1712">
          <cell r="A1712" t="str">
            <v>ETLCUST-04801</v>
          </cell>
          <cell r="B1712" t="str">
            <v>STAR TECH LIMITED - GAZIPUR</v>
          </cell>
          <cell r="C1712" t="str">
            <v>Md. Rahad</v>
          </cell>
          <cell r="D1712" t="str">
            <v>Uttara</v>
          </cell>
          <cell r="E1712" t="str">
            <v>Uttara</v>
          </cell>
          <cell r="R1712">
            <v>23200</v>
          </cell>
          <cell r="X1712">
            <v>1200</v>
          </cell>
          <cell r="AJ1712">
            <v>28300</v>
          </cell>
          <cell r="AM1712">
            <v>4400</v>
          </cell>
          <cell r="BA1712">
            <v>12250</v>
          </cell>
        </row>
        <row r="1713">
          <cell r="A1713" t="str">
            <v>ETLCUST-01550</v>
          </cell>
          <cell r="B1713" t="str">
            <v>STAR TECH LTD - CTG</v>
          </cell>
          <cell r="C1713" t="str">
            <v>Md. Mamunur Rashid</v>
          </cell>
          <cell r="D1713" t="str">
            <v>CTG</v>
          </cell>
          <cell r="E1713" t="str">
            <v>CTG</v>
          </cell>
          <cell r="G1713">
            <v>33000</v>
          </cell>
          <cell r="H1713">
            <v>72000</v>
          </cell>
          <cell r="L1713">
            <v>10500</v>
          </cell>
          <cell r="P1713">
            <v>16000</v>
          </cell>
          <cell r="R1713">
            <v>624000</v>
          </cell>
          <cell r="T1713">
            <v>4800</v>
          </cell>
          <cell r="U1713">
            <v>98550</v>
          </cell>
          <cell r="X1713">
            <v>22400</v>
          </cell>
          <cell r="AF1713">
            <v>153200</v>
          </cell>
          <cell r="AJ1713">
            <v>71700</v>
          </cell>
          <cell r="AK1713">
            <v>84750</v>
          </cell>
          <cell r="AL1713">
            <v>72950</v>
          </cell>
          <cell r="AM1713">
            <v>481200</v>
          </cell>
          <cell r="AO1713">
            <v>2850</v>
          </cell>
          <cell r="AP1713">
            <v>36900</v>
          </cell>
          <cell r="AR1713">
            <v>88650</v>
          </cell>
          <cell r="AV1713">
            <v>140400</v>
          </cell>
          <cell r="BA1713">
            <v>5624460</v>
          </cell>
        </row>
        <row r="1714">
          <cell r="A1714" t="str">
            <v>ETLCUST-00236</v>
          </cell>
          <cell r="B1714" t="str">
            <v>STAR TECH LTD. - E.ROAD</v>
          </cell>
          <cell r="C1714" t="str">
            <v>Juel Mia</v>
          </cell>
          <cell r="D1714" t="str">
            <v>SBU</v>
          </cell>
          <cell r="E1714" t="str">
            <v>SBU</v>
          </cell>
          <cell r="F1714">
            <v>175000</v>
          </cell>
          <cell r="G1714">
            <v>183600</v>
          </cell>
          <cell r="H1714">
            <v>1185000</v>
          </cell>
          <cell r="I1714">
            <v>640</v>
          </cell>
          <cell r="L1714">
            <v>495000</v>
          </cell>
          <cell r="M1714">
            <v>149900</v>
          </cell>
          <cell r="P1714">
            <v>3547800</v>
          </cell>
          <cell r="R1714">
            <v>8361900</v>
          </cell>
          <cell r="S1714">
            <v>0</v>
          </cell>
          <cell r="U1714">
            <v>1613900</v>
          </cell>
          <cell r="V1714">
            <v>1168650</v>
          </cell>
          <cell r="X1714">
            <v>36490</v>
          </cell>
          <cell r="Y1714">
            <v>2952500</v>
          </cell>
          <cell r="AA1714">
            <v>210800</v>
          </cell>
          <cell r="AF1714">
            <v>6502310</v>
          </cell>
          <cell r="AJ1714">
            <v>17122875</v>
          </cell>
          <cell r="AK1714">
            <v>1232050</v>
          </cell>
          <cell r="AL1714">
            <v>2947340</v>
          </cell>
          <cell r="AM1714">
            <v>6079670</v>
          </cell>
          <cell r="AN1714">
            <v>340000</v>
          </cell>
          <cell r="AO1714">
            <v>19900</v>
          </cell>
          <cell r="AP1714">
            <v>856100</v>
          </cell>
          <cell r="AR1714">
            <v>1042030</v>
          </cell>
          <cell r="AS1714">
            <v>4681000</v>
          </cell>
          <cell r="AT1714">
            <v>2055050</v>
          </cell>
          <cell r="AV1714">
            <v>742700</v>
          </cell>
          <cell r="BA1714">
            <v>48650255</v>
          </cell>
        </row>
        <row r="1715">
          <cell r="A1715" t="str">
            <v>ETLCUST-00184</v>
          </cell>
          <cell r="B1715" t="str">
            <v>STAR TECH LTD. - IDB</v>
          </cell>
          <cell r="C1715" t="str">
            <v>Amit Sarker</v>
          </cell>
          <cell r="D1715" t="str">
            <v>IDB</v>
          </cell>
          <cell r="E1715" t="str">
            <v>IDB</v>
          </cell>
          <cell r="R1715">
            <v>123140</v>
          </cell>
          <cell r="T1715">
            <v>14950</v>
          </cell>
          <cell r="U1715">
            <v>138000</v>
          </cell>
          <cell r="X1715">
            <v>6400</v>
          </cell>
          <cell r="AF1715">
            <v>222000</v>
          </cell>
          <cell r="AJ1715">
            <v>52000</v>
          </cell>
          <cell r="AM1715">
            <v>149760</v>
          </cell>
          <cell r="AP1715">
            <v>59000</v>
          </cell>
          <cell r="AR1715">
            <v>61600</v>
          </cell>
          <cell r="AV1715">
            <v>100200</v>
          </cell>
          <cell r="BA1715">
            <v>2330015</v>
          </cell>
        </row>
        <row r="1716">
          <cell r="A1716" t="str">
            <v>ETLCUST-00733</v>
          </cell>
          <cell r="B1716" t="str">
            <v>STAR TECH LTD. - KHULNA</v>
          </cell>
          <cell r="C1716" t="str">
            <v>Saidur Rahman Khokan</v>
          </cell>
          <cell r="D1716" t="str">
            <v>Khulna</v>
          </cell>
          <cell r="E1716" t="str">
            <v>Khulna</v>
          </cell>
          <cell r="P1716">
            <v>25600</v>
          </cell>
          <cell r="R1716">
            <v>31240</v>
          </cell>
          <cell r="T1716">
            <v>7500</v>
          </cell>
          <cell r="U1716">
            <v>6000</v>
          </cell>
          <cell r="AK1716">
            <v>102740</v>
          </cell>
          <cell r="BA1716">
            <v>57875</v>
          </cell>
        </row>
        <row r="1717">
          <cell r="A1717" t="str">
            <v>ETLCUST-00863</v>
          </cell>
          <cell r="B1717" t="str">
            <v>STAR TECH LTD. - MULTIPLAN</v>
          </cell>
          <cell r="C1717" t="str">
            <v>Pran Krishna Gosh</v>
          </cell>
          <cell r="D1717" t="str">
            <v>Multiplan</v>
          </cell>
          <cell r="E1717" t="str">
            <v>Multiplan</v>
          </cell>
          <cell r="H1717">
            <v>92500</v>
          </cell>
          <cell r="L1717">
            <v>68000</v>
          </cell>
          <cell r="P1717">
            <v>167300</v>
          </cell>
          <cell r="R1717">
            <v>191000</v>
          </cell>
          <cell r="U1717">
            <v>144900</v>
          </cell>
          <cell r="AA1717">
            <v>20500</v>
          </cell>
          <cell r="AF1717">
            <v>166000</v>
          </cell>
          <cell r="AJ1717">
            <v>518250</v>
          </cell>
          <cell r="AK1717">
            <v>107980</v>
          </cell>
          <cell r="AL1717">
            <v>26000</v>
          </cell>
          <cell r="AP1717">
            <v>31200</v>
          </cell>
          <cell r="AR1717">
            <v>46790</v>
          </cell>
          <cell r="AS1717">
            <v>300000</v>
          </cell>
          <cell r="AT1717">
            <v>36600</v>
          </cell>
          <cell r="AV1717">
            <v>53700</v>
          </cell>
          <cell r="BA1717">
            <v>136250</v>
          </cell>
        </row>
        <row r="1718">
          <cell r="A1718" t="str">
            <v>ETLCUST-04063</v>
          </cell>
          <cell r="B1718" t="str">
            <v>STAR TECH LTD. - UTTARA</v>
          </cell>
          <cell r="C1718" t="str">
            <v>Dulal Sarker</v>
          </cell>
          <cell r="D1718" t="str">
            <v>Uttara</v>
          </cell>
          <cell r="E1718" t="str">
            <v>Uttara</v>
          </cell>
          <cell r="P1718">
            <v>49000</v>
          </cell>
          <cell r="R1718">
            <v>46800</v>
          </cell>
          <cell r="AJ1718">
            <v>51950</v>
          </cell>
          <cell r="AK1718">
            <v>60060</v>
          </cell>
          <cell r="AP1718">
            <v>11500</v>
          </cell>
          <cell r="AR1718">
            <v>51500</v>
          </cell>
          <cell r="AT1718">
            <v>1900</v>
          </cell>
          <cell r="AV1718">
            <v>125600</v>
          </cell>
          <cell r="BA1718">
            <v>332075</v>
          </cell>
        </row>
        <row r="1719">
          <cell r="A1719" t="str">
            <v>ETLCUST-05413</v>
          </cell>
          <cell r="B1719" t="str">
            <v>STAR TECHNOLOGY - CUMILLA</v>
          </cell>
          <cell r="C1719" t="str">
            <v>Nazmul Amin Sajib</v>
          </cell>
          <cell r="D1719" t="str">
            <v>CTG</v>
          </cell>
          <cell r="E1719" t="str">
            <v>CTG</v>
          </cell>
          <cell r="BA1719">
            <v>15450</v>
          </cell>
        </row>
        <row r="1720">
          <cell r="A1720" t="str">
            <v>ETLCUST-03884</v>
          </cell>
          <cell r="B1720" t="str">
            <v xml:space="preserve">STAR TECHNOLOGY- SYLHET </v>
          </cell>
          <cell r="C1720" t="str">
            <v>Kunjaraj Singha</v>
          </cell>
          <cell r="D1720" t="str">
            <v>Sylhet</v>
          </cell>
          <cell r="E1720" t="str">
            <v>Sylhet</v>
          </cell>
          <cell r="T1720">
            <v>882500</v>
          </cell>
          <cell r="X1720">
            <v>30000</v>
          </cell>
          <cell r="AL1720">
            <v>61250</v>
          </cell>
        </row>
        <row r="1721">
          <cell r="A1721" t="str">
            <v>ETLCUST-04545</v>
          </cell>
          <cell r="B1721" t="str">
            <v>STAR WORLD COMPUTER - PATUAKHALI</v>
          </cell>
          <cell r="C1721" t="str">
            <v>Shah Imran</v>
          </cell>
          <cell r="D1721" t="str">
            <v>South Bengal</v>
          </cell>
          <cell r="E1721" t="str">
            <v>South Bengal</v>
          </cell>
          <cell r="G1721">
            <v>20400</v>
          </cell>
          <cell r="L1721">
            <v>9999</v>
          </cell>
          <cell r="S1721">
            <v>0</v>
          </cell>
          <cell r="X1721">
            <v>215800</v>
          </cell>
          <cell r="AL1721">
            <v>15775</v>
          </cell>
          <cell r="AM1721">
            <v>132160</v>
          </cell>
          <cell r="AO1721">
            <v>4500</v>
          </cell>
          <cell r="AQ1721">
            <v>0</v>
          </cell>
          <cell r="BA1721">
            <v>345795</v>
          </cell>
        </row>
        <row r="1722">
          <cell r="A1722" t="str">
            <v>ETLCUST-05019</v>
          </cell>
          <cell r="B1722" t="str">
            <v>STARLINK - NARAYANGANJ</v>
          </cell>
          <cell r="C1722" t="str">
            <v>Arafat Hossain</v>
          </cell>
          <cell r="D1722" t="str">
            <v>South Bengal</v>
          </cell>
          <cell r="E1722" t="str">
            <v>South Bengal</v>
          </cell>
          <cell r="G1722">
            <v>36500</v>
          </cell>
          <cell r="O1722">
            <v>14300</v>
          </cell>
          <cell r="V1722">
            <v>-460</v>
          </cell>
          <cell r="AO1722">
            <v>25310</v>
          </cell>
        </row>
        <row r="1723">
          <cell r="A1723" t="str">
            <v>ETLCUST-04192</v>
          </cell>
          <cell r="B1723" t="str">
            <v>STEADFAST COURIER LIMITED - HAZARIBAGH</v>
          </cell>
          <cell r="C1723" t="str">
            <v>Sadekur Rahman</v>
          </cell>
          <cell r="D1723" t="str">
            <v>HO-SI</v>
          </cell>
          <cell r="E1723" t="str">
            <v>HO-SI</v>
          </cell>
          <cell r="U1723">
            <v>710000</v>
          </cell>
        </row>
        <row r="1724">
          <cell r="A1724" t="str">
            <v>ETLCUST-03195</v>
          </cell>
          <cell r="B1724" t="str">
            <v>S-TECH - RAJSHAHI</v>
          </cell>
          <cell r="C1724" t="str">
            <v>Ahmed Bulbul</v>
          </cell>
          <cell r="D1724" t="str">
            <v>Rajshahi</v>
          </cell>
          <cell r="E1724" t="str">
            <v>Rajshahi</v>
          </cell>
          <cell r="L1724">
            <v>40000</v>
          </cell>
          <cell r="P1724">
            <v>65600</v>
          </cell>
          <cell r="R1724">
            <v>7500</v>
          </cell>
          <cell r="T1724">
            <v>8300</v>
          </cell>
          <cell r="X1724">
            <v>44000</v>
          </cell>
          <cell r="Y1724">
            <v>235000</v>
          </cell>
          <cell r="AF1724">
            <v>79800</v>
          </cell>
          <cell r="AJ1724">
            <v>41300</v>
          </cell>
          <cell r="AK1724">
            <v>171700</v>
          </cell>
          <cell r="AM1724">
            <v>2900</v>
          </cell>
          <cell r="AO1724">
            <v>12000</v>
          </cell>
          <cell r="AT1724">
            <v>30000</v>
          </cell>
          <cell r="AZ1724">
            <v>21800</v>
          </cell>
          <cell r="BA1724">
            <v>25385</v>
          </cell>
        </row>
        <row r="1725">
          <cell r="A1725" t="str">
            <v>ETLCUST-00576</v>
          </cell>
          <cell r="B1725" t="str">
            <v>STEPS TECHNOLOGY - LALMATIA</v>
          </cell>
          <cell r="C1725" t="str">
            <v>Md. Abdus Satter</v>
          </cell>
          <cell r="D1725" t="str">
            <v>HO-SI</v>
          </cell>
          <cell r="E1725" t="str">
            <v>HO-SI</v>
          </cell>
          <cell r="H1725">
            <v>72000</v>
          </cell>
          <cell r="P1725">
            <v>100500</v>
          </cell>
          <cell r="U1725">
            <v>350050</v>
          </cell>
          <cell r="X1725">
            <v>2210000</v>
          </cell>
          <cell r="AV1725">
            <v>136970</v>
          </cell>
        </row>
        <row r="1726">
          <cell r="A1726" t="str">
            <v>ETLCUST-02476</v>
          </cell>
          <cell r="B1726" t="str">
            <v>STHAPONA CONSULTANTS</v>
          </cell>
          <cell r="C1726" t="str">
            <v>Ashraful Islam</v>
          </cell>
          <cell r="D1726" t="str">
            <v>Corporate</v>
          </cell>
          <cell r="E1726" t="str">
            <v>Corporate</v>
          </cell>
          <cell r="R1726">
            <v>41500</v>
          </cell>
        </row>
        <row r="1727">
          <cell r="A1727" t="str">
            <v>ETLCUST-00795</v>
          </cell>
          <cell r="B1727" t="str">
            <v>STR ELECTRONICS - RAJSHAHI</v>
          </cell>
          <cell r="C1727" t="str">
            <v>Ahmed Bulbul</v>
          </cell>
          <cell r="D1727" t="str">
            <v>Rajshahi</v>
          </cell>
          <cell r="E1727" t="str">
            <v>Rajshahi</v>
          </cell>
          <cell r="P1727">
            <v>42600</v>
          </cell>
          <cell r="T1727">
            <v>15000</v>
          </cell>
          <cell r="AF1727">
            <v>-50900</v>
          </cell>
          <cell r="AJ1727">
            <v>125950</v>
          </cell>
          <cell r="AM1727">
            <v>5615</v>
          </cell>
          <cell r="AO1727">
            <v>83650</v>
          </cell>
          <cell r="BA1727">
            <v>8775</v>
          </cell>
        </row>
        <row r="1728">
          <cell r="A1728" t="str">
            <v>ETLCUST-04789</v>
          </cell>
          <cell r="B1728" t="str">
            <v>STRAM TECHNOLOGIES LTD - CTG</v>
          </cell>
          <cell r="C1728" t="str">
            <v>Titul Dutta</v>
          </cell>
          <cell r="D1728" t="str">
            <v>CTG</v>
          </cell>
          <cell r="E1728" t="str">
            <v>CTG</v>
          </cell>
          <cell r="X1728">
            <v>3000</v>
          </cell>
          <cell r="AM1728">
            <v>425</v>
          </cell>
          <cell r="AR1728">
            <v>129600</v>
          </cell>
          <cell r="AV1728">
            <v>16200</v>
          </cell>
          <cell r="BA1728">
            <v>2090</v>
          </cell>
        </row>
        <row r="1729">
          <cell r="A1729" t="str">
            <v>ETLCUST-03398</v>
          </cell>
          <cell r="B1729" t="str">
            <v>STREAM SOLUTION - PURBACHAL ROAD</v>
          </cell>
          <cell r="C1729" t="str">
            <v>Jiku Saha</v>
          </cell>
          <cell r="D1729" t="str">
            <v>Uttara</v>
          </cell>
          <cell r="E1729" t="str">
            <v>Uttara</v>
          </cell>
          <cell r="AA1729">
            <v>22000</v>
          </cell>
        </row>
        <row r="1730">
          <cell r="A1730" t="str">
            <v>ETLCUST-02594</v>
          </cell>
          <cell r="B1730" t="str">
            <v>STUDIO INNOVATION LIMITED</v>
          </cell>
          <cell r="C1730" t="str">
            <v>Md. Raihan Ali</v>
          </cell>
          <cell r="D1730" t="str">
            <v>Corporate</v>
          </cell>
          <cell r="E1730" t="str">
            <v>Corporate</v>
          </cell>
          <cell r="Y1730">
            <v>590000</v>
          </cell>
        </row>
        <row r="1731">
          <cell r="A1731" t="str">
            <v>ETLCUST-04500</v>
          </cell>
          <cell r="B1731" t="str">
            <v>SUBOL TRADERS - RANGPUR</v>
          </cell>
          <cell r="C1731" t="str">
            <v>Md. Arif Arman</v>
          </cell>
          <cell r="D1731" t="str">
            <v>North Bengal</v>
          </cell>
          <cell r="E1731" t="str">
            <v>North Bengal</v>
          </cell>
          <cell r="G1731">
            <v>212000</v>
          </cell>
          <cell r="P1731">
            <v>33500</v>
          </cell>
          <cell r="X1731">
            <v>17500</v>
          </cell>
          <cell r="AK1731">
            <v>33600</v>
          </cell>
          <cell r="AL1731">
            <v>205080</v>
          </cell>
          <cell r="AM1731">
            <v>405335</v>
          </cell>
          <cell r="AQ1731">
            <v>0</v>
          </cell>
          <cell r="BA1731">
            <v>3251890</v>
          </cell>
        </row>
        <row r="1732">
          <cell r="A1732" t="str">
            <v>ETLCUST-04588</v>
          </cell>
          <cell r="B1732" t="str">
            <v>SUBORNO ELETRIC - GOPALGANJ</v>
          </cell>
          <cell r="C1732" t="str">
            <v>Hanif shek</v>
          </cell>
          <cell r="D1732" t="str">
            <v>South Bengal</v>
          </cell>
          <cell r="E1732" t="str">
            <v>South Bengal</v>
          </cell>
          <cell r="G1732">
            <v>100000</v>
          </cell>
          <cell r="R1732">
            <v>84000</v>
          </cell>
          <cell r="S1732">
            <v>0</v>
          </cell>
          <cell r="T1732">
            <v>211250</v>
          </cell>
          <cell r="X1732">
            <v>1709700</v>
          </cell>
          <cell r="AL1732">
            <v>49700</v>
          </cell>
          <cell r="AM1732">
            <v>41250</v>
          </cell>
          <cell r="BA1732">
            <v>1970465</v>
          </cell>
        </row>
        <row r="1733">
          <cell r="A1733" t="str">
            <v>ETLCUST-00416</v>
          </cell>
          <cell r="B1733" t="str">
            <v>SUCCESS COMPUTER - BHAIRAB</v>
          </cell>
          <cell r="C1733" t="str">
            <v>Md. Imran Miah Khandakar</v>
          </cell>
          <cell r="D1733" t="str">
            <v>Sylhet</v>
          </cell>
          <cell r="E1733" t="str">
            <v>Sylhet</v>
          </cell>
          <cell r="S1733">
            <v>0</v>
          </cell>
          <cell r="X1733">
            <v>15000</v>
          </cell>
          <cell r="BA1733">
            <v>1458940</v>
          </cell>
        </row>
        <row r="1734">
          <cell r="A1734" t="str">
            <v>ETLCUST-01281</v>
          </cell>
          <cell r="B1734" t="str">
            <v>SUCCESS COMPUTER AND ENGINEERING - MYMENSINGH</v>
          </cell>
          <cell r="C1734" t="str">
            <v>Rafiqul Islam Sumon</v>
          </cell>
          <cell r="D1734" t="str">
            <v>Mymensingh</v>
          </cell>
          <cell r="E1734" t="str">
            <v>Mymensingh</v>
          </cell>
          <cell r="R1734">
            <v>39000</v>
          </cell>
          <cell r="T1734">
            <v>202750</v>
          </cell>
          <cell r="U1734">
            <v>189300</v>
          </cell>
          <cell r="X1734">
            <v>258500</v>
          </cell>
          <cell r="AM1734">
            <v>15125</v>
          </cell>
          <cell r="AR1734">
            <v>7050</v>
          </cell>
          <cell r="AZ1734">
            <v>8300</v>
          </cell>
          <cell r="BA1734">
            <v>109680</v>
          </cell>
        </row>
        <row r="1735">
          <cell r="A1735" t="str">
            <v>ETLCUST-01330</v>
          </cell>
          <cell r="B1735" t="str">
            <v>SUCCESS COMPUTERS - CHOWMUHANI</v>
          </cell>
          <cell r="C1735" t="str">
            <v>Reazuddin</v>
          </cell>
          <cell r="D1735" t="str">
            <v>CTG</v>
          </cell>
          <cell r="E1735" t="str">
            <v>CTG</v>
          </cell>
          <cell r="G1735">
            <v>140000</v>
          </cell>
          <cell r="L1735">
            <v>85000</v>
          </cell>
          <cell r="P1735">
            <v>49000</v>
          </cell>
          <cell r="X1735">
            <v>1635730</v>
          </cell>
          <cell r="AK1735">
            <v>36000</v>
          </cell>
          <cell r="AL1735">
            <v>270550</v>
          </cell>
          <cell r="AM1735">
            <v>39190</v>
          </cell>
          <cell r="AT1735">
            <v>25700</v>
          </cell>
          <cell r="BA1735">
            <v>1865885</v>
          </cell>
        </row>
        <row r="1736">
          <cell r="A1736" t="str">
            <v>ETLCUST-04887</v>
          </cell>
          <cell r="B1736" t="str">
            <v>SUMASH TECH LIMITED</v>
          </cell>
          <cell r="C1736" t="str">
            <v>Md Al Amin Shuvo</v>
          </cell>
          <cell r="D1736" t="str">
            <v>Ecommerce</v>
          </cell>
          <cell r="E1736" t="str">
            <v>Ecommerce</v>
          </cell>
          <cell r="AO1736">
            <v>-28650</v>
          </cell>
        </row>
        <row r="1737">
          <cell r="A1737" t="str">
            <v>ETLCUST-00275</v>
          </cell>
          <cell r="B1737" t="str">
            <v>SUMON COMPUTER - SYLHET</v>
          </cell>
          <cell r="C1737" t="str">
            <v>Amit Das</v>
          </cell>
          <cell r="D1737" t="str">
            <v>Sylhet</v>
          </cell>
          <cell r="E1737" t="str">
            <v>Sylhet</v>
          </cell>
          <cell r="T1737">
            <v>-263500</v>
          </cell>
          <cell r="X1737">
            <v>-36000</v>
          </cell>
          <cell r="AF1737">
            <v>47500</v>
          </cell>
          <cell r="BA1737">
            <v>-84375</v>
          </cell>
        </row>
        <row r="1738">
          <cell r="A1738" t="str">
            <v>ETLCUST-00706</v>
          </cell>
          <cell r="B1738" t="str">
            <v>SUMON COMPUTER AND ELECTRONICS - PAIKGACHA</v>
          </cell>
          <cell r="C1738" t="str">
            <v>Imrul Rayhan</v>
          </cell>
          <cell r="D1738" t="str">
            <v>Khulna</v>
          </cell>
          <cell r="E1738" t="str">
            <v>Khulna</v>
          </cell>
          <cell r="G1738">
            <v>40000</v>
          </cell>
          <cell r="AM1738">
            <v>17750</v>
          </cell>
          <cell r="AZ1738">
            <v>53600</v>
          </cell>
          <cell r="BA1738">
            <v>93000</v>
          </cell>
        </row>
        <row r="1739">
          <cell r="A1739" t="str">
            <v>ETLCUST-01063</v>
          </cell>
          <cell r="B1739" t="str">
            <v>SUMON TELECOM - CTG</v>
          </cell>
          <cell r="C1739" t="str">
            <v>Titul Dutta</v>
          </cell>
          <cell r="D1739" t="str">
            <v>CTG</v>
          </cell>
          <cell r="E1739" t="str">
            <v>CTG</v>
          </cell>
          <cell r="R1739">
            <v>2560</v>
          </cell>
          <cell r="BA1739">
            <v>9060</v>
          </cell>
        </row>
        <row r="1740">
          <cell r="A1740" t="str">
            <v>ETLCUST-03104</v>
          </cell>
          <cell r="B1740" t="str">
            <v>SUMONA TRADERS - TUSHVANDAR</v>
          </cell>
          <cell r="C1740" t="str">
            <v>Md Abdullah Al Mamun</v>
          </cell>
          <cell r="D1740" t="str">
            <v>North Bengal</v>
          </cell>
          <cell r="E1740" t="str">
            <v>North Bengal</v>
          </cell>
          <cell r="AZ1740">
            <v>7000</v>
          </cell>
        </row>
        <row r="1741">
          <cell r="A1741" t="str">
            <v>ETLCUST-03173</v>
          </cell>
          <cell r="B1741" t="str">
            <v>SUN COMPUTER -RANGPUR</v>
          </cell>
          <cell r="C1741" t="str">
            <v>Md Abdullah Al Mamun</v>
          </cell>
          <cell r="D1741" t="str">
            <v>North Bengal</v>
          </cell>
          <cell r="E1741" t="str">
            <v>North Bengal</v>
          </cell>
          <cell r="AZ1741">
            <v>129900</v>
          </cell>
        </row>
        <row r="1742">
          <cell r="A1742" t="str">
            <v>ETLCUST-00978</v>
          </cell>
          <cell r="B1742" t="str">
            <v>SUN MOON COMPUTER - ISHWARDI</v>
          </cell>
          <cell r="C1742" t="str">
            <v>Forhad Rubel</v>
          </cell>
          <cell r="D1742" t="str">
            <v>North Bengal</v>
          </cell>
          <cell r="E1742" t="str">
            <v>North Bengal</v>
          </cell>
          <cell r="S1742">
            <v>0</v>
          </cell>
          <cell r="X1742">
            <v>5300</v>
          </cell>
          <cell r="AL1742">
            <v>56055</v>
          </cell>
          <cell r="BA1742">
            <v>441010</v>
          </cell>
        </row>
        <row r="1743">
          <cell r="A1743" t="str">
            <v>ETLCUST-00724</v>
          </cell>
          <cell r="B1743" t="str">
            <v>SUNLIT TECHNOLOGY - JASHORE</v>
          </cell>
          <cell r="C1743" t="str">
            <v>Md Husaun</v>
          </cell>
          <cell r="D1743" t="str">
            <v>Khulna</v>
          </cell>
          <cell r="E1743" t="str">
            <v>Khulna</v>
          </cell>
          <cell r="G1743">
            <v>557600</v>
          </cell>
          <cell r="Q1743">
            <v>890</v>
          </cell>
          <cell r="AL1743">
            <v>238800</v>
          </cell>
          <cell r="AM1743">
            <v>36500</v>
          </cell>
          <cell r="BA1743">
            <v>541550</v>
          </cell>
        </row>
        <row r="1744">
          <cell r="A1744" t="str">
            <v>ETLCUST-03178</v>
          </cell>
          <cell r="B1744" t="str">
            <v>SUNSABIL - KHULNA</v>
          </cell>
          <cell r="C1744" t="str">
            <v>Imrul Rayhan</v>
          </cell>
          <cell r="D1744" t="str">
            <v>Khulna</v>
          </cell>
          <cell r="E1744" t="str">
            <v>Khulna</v>
          </cell>
          <cell r="R1744">
            <v>128440</v>
          </cell>
          <cell r="S1744">
            <v>0</v>
          </cell>
          <cell r="T1744">
            <v>146500</v>
          </cell>
          <cell r="U1744">
            <v>3900</v>
          </cell>
          <cell r="X1744">
            <v>140625</v>
          </cell>
          <cell r="AJ1744">
            <v>95855</v>
          </cell>
          <cell r="AK1744">
            <v>65250</v>
          </cell>
          <cell r="AQ1744">
            <v>0</v>
          </cell>
          <cell r="BA1744">
            <v>280750</v>
          </cell>
        </row>
        <row r="1745">
          <cell r="A1745" t="str">
            <v>ETLCUST-02987</v>
          </cell>
          <cell r="B1745" t="str">
            <v>SUPER COMPUTER  SHOP - NOAKHALI</v>
          </cell>
          <cell r="C1745" t="str">
            <v>Reazuddin</v>
          </cell>
          <cell r="D1745" t="str">
            <v>CTG</v>
          </cell>
          <cell r="E1745" t="str">
            <v>CTG</v>
          </cell>
          <cell r="AJ1745">
            <v>56000</v>
          </cell>
          <cell r="AN1745">
            <v>225000</v>
          </cell>
        </row>
        <row r="1746">
          <cell r="A1746" t="str">
            <v>ETLCUST-03686</v>
          </cell>
          <cell r="B1746" t="str">
            <v>SUPER COMPUTER - SYLHET</v>
          </cell>
          <cell r="C1746" t="str">
            <v>Kunjaraj Singha</v>
          </cell>
          <cell r="D1746" t="str">
            <v>Sylhet</v>
          </cell>
          <cell r="E1746" t="str">
            <v>Sylhet</v>
          </cell>
          <cell r="R1746">
            <v>9000</v>
          </cell>
        </row>
        <row r="1747">
          <cell r="A1747" t="str">
            <v>ETLCUST-04611</v>
          </cell>
          <cell r="B1747" t="str">
            <v>SUPER COMPUTER AND IT - RAJSHAHI</v>
          </cell>
          <cell r="C1747" t="str">
            <v>Ahmed Bulbul</v>
          </cell>
          <cell r="D1747" t="str">
            <v>Rajshahi</v>
          </cell>
          <cell r="E1747" t="str">
            <v>Rajshahi</v>
          </cell>
          <cell r="P1747">
            <v>16000</v>
          </cell>
          <cell r="AJ1747">
            <v>4850</v>
          </cell>
          <cell r="AO1747">
            <v>900</v>
          </cell>
        </row>
        <row r="1748">
          <cell r="A1748" t="str">
            <v>ETLCUST-00480</v>
          </cell>
          <cell r="B1748" t="str">
            <v>SUPER KING TRADE INT.- GULISTAN</v>
          </cell>
          <cell r="C1748" t="str">
            <v>Md Kamrul Hasan Sabuz</v>
          </cell>
          <cell r="D1748" t="str">
            <v>Gulistan</v>
          </cell>
          <cell r="E1748" t="str">
            <v>Gulistan</v>
          </cell>
          <cell r="AZ1748">
            <v>425600</v>
          </cell>
        </row>
        <row r="1749">
          <cell r="A1749" t="str">
            <v>ETLCUST-04145</v>
          </cell>
          <cell r="B1749" t="str">
            <v>SUPER OIL REFINERY LIMITED</v>
          </cell>
          <cell r="C1749" t="str">
            <v>Rafsan Jani</v>
          </cell>
          <cell r="D1749" t="str">
            <v>Corporate</v>
          </cell>
          <cell r="E1749" t="str">
            <v>Corporate</v>
          </cell>
          <cell r="AJ1749">
            <v>26500</v>
          </cell>
        </row>
        <row r="1750">
          <cell r="A1750" t="str">
            <v>ETLCUST-02498</v>
          </cell>
          <cell r="B1750" t="str">
            <v>SUPER STAR GROUP LIMITED</v>
          </cell>
          <cell r="C1750" t="str">
            <v>Mohammad Maruf Hasan</v>
          </cell>
          <cell r="D1750" t="str">
            <v>Corporate</v>
          </cell>
          <cell r="E1750" t="str">
            <v>Corporate</v>
          </cell>
          <cell r="V1750">
            <v>27090</v>
          </cell>
          <cell r="Y1750">
            <v>1008697.1100000001</v>
          </cell>
        </row>
        <row r="1751">
          <cell r="A1751" t="str">
            <v>ETLCUST-05027</v>
          </cell>
          <cell r="B1751" t="str">
            <v>SUPERTEK ELECTRONICS - LAKSHMIPUR</v>
          </cell>
          <cell r="C1751" t="str">
            <v>Reazuddin</v>
          </cell>
          <cell r="D1751" t="str">
            <v>CTG</v>
          </cell>
          <cell r="E1751" t="str">
            <v>CTG</v>
          </cell>
          <cell r="X1751">
            <v>145050</v>
          </cell>
          <cell r="AL1751">
            <v>356915</v>
          </cell>
          <cell r="AM1751">
            <v>44720</v>
          </cell>
          <cell r="BA1751">
            <v>291370</v>
          </cell>
        </row>
        <row r="1752">
          <cell r="A1752" t="str">
            <v>ETLCUST-00475</v>
          </cell>
          <cell r="B1752" t="str">
            <v>SUPREME ELECTRONIC - GULISTAN</v>
          </cell>
          <cell r="C1752" t="str">
            <v>Md Kamrul Hasan Sabuz</v>
          </cell>
          <cell r="D1752" t="str">
            <v>Gulistan</v>
          </cell>
          <cell r="E1752" t="str">
            <v>Gulistan</v>
          </cell>
          <cell r="AZ1752">
            <v>566000</v>
          </cell>
        </row>
        <row r="1753">
          <cell r="A1753" t="str">
            <v>ETLCUST-00981</v>
          </cell>
          <cell r="B1753" t="str">
            <v>SUR BITAN - SIRAJGONJ</v>
          </cell>
          <cell r="C1753" t="str">
            <v>Md. Raihan Shohag</v>
          </cell>
          <cell r="D1753" t="str">
            <v>North Bengal</v>
          </cell>
          <cell r="E1753" t="str">
            <v>North Bengal</v>
          </cell>
          <cell r="AM1753">
            <v>124790</v>
          </cell>
          <cell r="BA1753">
            <v>1204200</v>
          </cell>
        </row>
        <row r="1754">
          <cell r="A1754" t="str">
            <v>ETLCUST-04642</v>
          </cell>
          <cell r="B1754" t="str">
            <v>SUROKKHA CC CAMERA AND IT SOLUTION - JASHORE</v>
          </cell>
          <cell r="C1754" t="str">
            <v>Md Husaun</v>
          </cell>
          <cell r="D1754" t="str">
            <v>Khulna</v>
          </cell>
          <cell r="E1754" t="str">
            <v>Khulna</v>
          </cell>
          <cell r="X1754">
            <v>398100</v>
          </cell>
        </row>
        <row r="1755">
          <cell r="A1755" t="str">
            <v>ETLCUST-05078</v>
          </cell>
          <cell r="B1755" t="str">
            <v>SUROVI AGRO INDUSTRIES LTD.</v>
          </cell>
          <cell r="C1755" t="str">
            <v>Md. Anisur Rahman</v>
          </cell>
          <cell r="D1755" t="str">
            <v>Corporate</v>
          </cell>
          <cell r="E1755" t="str">
            <v>Corporate</v>
          </cell>
          <cell r="X1755">
            <v>13800</v>
          </cell>
        </row>
        <row r="1756">
          <cell r="A1756" t="str">
            <v>ETLCUST-04276</v>
          </cell>
          <cell r="B1756" t="str">
            <v>SUSHOMA ELECTRONICS - MANIKGANJ</v>
          </cell>
          <cell r="C1756" t="str">
            <v>Niloy Ghosh</v>
          </cell>
          <cell r="D1756" t="str">
            <v>DHK-EXT</v>
          </cell>
          <cell r="E1756" t="str">
            <v>DHK-EXT</v>
          </cell>
          <cell r="S1756">
            <v>0</v>
          </cell>
          <cell r="T1756">
            <v>22000</v>
          </cell>
          <cell r="AM1756">
            <v>261205</v>
          </cell>
          <cell r="AQ1756">
            <v>0</v>
          </cell>
          <cell r="BA1756">
            <v>3100070</v>
          </cell>
        </row>
        <row r="1757">
          <cell r="A1757" t="str">
            <v>ETLCUST-00797</v>
          </cell>
          <cell r="B1757" t="str">
            <v>SWADESH COMPUTER - NAOGAON</v>
          </cell>
          <cell r="C1757" t="str">
            <v>Md. Abu Basar</v>
          </cell>
          <cell r="D1757" t="str">
            <v>Rajshahi</v>
          </cell>
          <cell r="E1757" t="str">
            <v>Rajshahi</v>
          </cell>
          <cell r="G1757">
            <v>100000</v>
          </cell>
          <cell r="P1757">
            <v>25600</v>
          </cell>
          <cell r="R1757">
            <v>208900</v>
          </cell>
          <cell r="X1757">
            <v>828600</v>
          </cell>
          <cell r="AF1757">
            <v>34700</v>
          </cell>
          <cell r="AL1757">
            <v>50550</v>
          </cell>
          <cell r="AM1757">
            <v>198925</v>
          </cell>
          <cell r="AO1757">
            <v>10500</v>
          </cell>
          <cell r="AQ1757">
            <v>0</v>
          </cell>
          <cell r="AR1757">
            <v>25450</v>
          </cell>
          <cell r="AZ1757">
            <v>200580</v>
          </cell>
          <cell r="BA1757">
            <v>1673355</v>
          </cell>
        </row>
        <row r="1758">
          <cell r="A1758" t="str">
            <v>ETLCUST-05002</v>
          </cell>
          <cell r="B1758" t="str">
            <v>SWAPNO ELECTRONICS AND SERVICE CENTER  - RAYPUR</v>
          </cell>
          <cell r="C1758" t="str">
            <v>Reazuddin</v>
          </cell>
          <cell r="D1758" t="str">
            <v>CTG</v>
          </cell>
          <cell r="E1758" t="str">
            <v>CTG</v>
          </cell>
          <cell r="AM1758">
            <v>1140</v>
          </cell>
          <cell r="AQ1758">
            <v>0</v>
          </cell>
          <cell r="BA1758">
            <v>35225</v>
          </cell>
        </row>
        <row r="1759">
          <cell r="A1759" t="str">
            <v>ETLCUST-04761</v>
          </cell>
          <cell r="B1759" t="str">
            <v xml:space="preserve">SWEPT PLUS SURVILANCE SURVICES </v>
          </cell>
          <cell r="C1759" t="str">
            <v>Arafat Hossain</v>
          </cell>
          <cell r="D1759" t="str">
            <v>South Bengal</v>
          </cell>
          <cell r="E1759" t="str">
            <v>South Bengal</v>
          </cell>
          <cell r="BA1759">
            <v>108250</v>
          </cell>
        </row>
        <row r="1760">
          <cell r="A1760" t="str">
            <v>ETLCUST-04591</v>
          </cell>
          <cell r="B1760" t="str">
            <v>SYLHET IT POINT - SYLHET</v>
          </cell>
          <cell r="C1760" t="str">
            <v>Sanwar Husen</v>
          </cell>
          <cell r="D1760" t="str">
            <v>Sylhet</v>
          </cell>
          <cell r="E1760" t="str">
            <v>Sylhet</v>
          </cell>
          <cell r="P1760">
            <v>64200</v>
          </cell>
          <cell r="R1760">
            <v>537120</v>
          </cell>
          <cell r="V1760">
            <v>5850</v>
          </cell>
          <cell r="X1760">
            <v>36200</v>
          </cell>
          <cell r="AL1760">
            <v>1990</v>
          </cell>
          <cell r="AT1760">
            <v>22000</v>
          </cell>
          <cell r="BA1760">
            <v>12400</v>
          </cell>
        </row>
        <row r="1761">
          <cell r="A1761" t="str">
            <v>ETLCUST-00832</v>
          </cell>
          <cell r="B1761" t="str">
            <v>SYS COMPUTER - IDB</v>
          </cell>
          <cell r="C1761" t="str">
            <v>Fajle Rabbi</v>
          </cell>
          <cell r="D1761" t="str">
            <v>IDB</v>
          </cell>
          <cell r="E1761" t="str">
            <v>IDB</v>
          </cell>
          <cell r="H1761">
            <v>108500</v>
          </cell>
          <cell r="I1761">
            <v>450</v>
          </cell>
          <cell r="P1761">
            <v>133200</v>
          </cell>
          <cell r="R1761">
            <v>3694480</v>
          </cell>
          <cell r="S1761">
            <v>0</v>
          </cell>
          <cell r="T1761">
            <v>45700</v>
          </cell>
          <cell r="U1761">
            <v>86300</v>
          </cell>
          <cell r="V1761">
            <v>58750</v>
          </cell>
          <cell r="X1761">
            <v>308500</v>
          </cell>
          <cell r="AA1761">
            <v>20500</v>
          </cell>
          <cell r="AD1761">
            <v>8200</v>
          </cell>
          <cell r="AF1761">
            <v>289800</v>
          </cell>
          <cell r="AJ1761">
            <v>81730</v>
          </cell>
          <cell r="AK1761">
            <v>221500</v>
          </cell>
          <cell r="AM1761">
            <v>8245</v>
          </cell>
          <cell r="AO1761">
            <v>70525</v>
          </cell>
          <cell r="AP1761">
            <v>8200</v>
          </cell>
          <cell r="AR1761">
            <v>445200</v>
          </cell>
          <cell r="AT1761">
            <v>560600</v>
          </cell>
          <cell r="AV1761">
            <v>200400</v>
          </cell>
          <cell r="AZ1761">
            <v>3300</v>
          </cell>
          <cell r="BA1761">
            <v>1268505</v>
          </cell>
        </row>
        <row r="1762">
          <cell r="A1762" t="str">
            <v>ETLCUST-00835</v>
          </cell>
          <cell r="B1762" t="str">
            <v>SYS INTERNATIONAL - IDB</v>
          </cell>
          <cell r="C1762" t="str">
            <v>Fajle Rabbi</v>
          </cell>
          <cell r="D1762" t="str">
            <v>IDB</v>
          </cell>
          <cell r="E1762" t="str">
            <v>IDB</v>
          </cell>
          <cell r="P1762">
            <v>12800</v>
          </cell>
          <cell r="R1762">
            <v>1082000</v>
          </cell>
          <cell r="V1762">
            <v>238000</v>
          </cell>
          <cell r="X1762">
            <v>6100</v>
          </cell>
          <cell r="AJ1762">
            <v>193000</v>
          </cell>
          <cell r="AT1762">
            <v>40000</v>
          </cell>
        </row>
        <row r="1763">
          <cell r="A1763" t="str">
            <v>ETLCUST-05067</v>
          </cell>
          <cell r="B1763" t="str">
            <v>SYSNET SOLUTIONS BANGLADESH LIMITED - GULSHAN</v>
          </cell>
          <cell r="C1763" t="str">
            <v>Md Tanjilur Rakib</v>
          </cell>
          <cell r="D1763" t="str">
            <v>HO-SI</v>
          </cell>
          <cell r="E1763" t="str">
            <v>HO-SI</v>
          </cell>
          <cell r="X1763">
            <v>203000</v>
          </cell>
        </row>
        <row r="1764">
          <cell r="A1764" t="str">
            <v>ETLCUST-03992</v>
          </cell>
          <cell r="B1764" t="str">
            <v>SYSTECH COMPUTER - FARIDPUR</v>
          </cell>
          <cell r="C1764" t="str">
            <v>Hanif shek</v>
          </cell>
          <cell r="D1764" t="str">
            <v>South Bengal</v>
          </cell>
          <cell r="E1764" t="str">
            <v>South Bengal</v>
          </cell>
          <cell r="G1764">
            <v>56000</v>
          </cell>
          <cell r="T1764">
            <v>75250</v>
          </cell>
          <cell r="Y1764">
            <v>190000</v>
          </cell>
          <cell r="BA1764">
            <v>2450</v>
          </cell>
        </row>
        <row r="1765">
          <cell r="A1765" t="str">
            <v>ETLCUST-04094</v>
          </cell>
          <cell r="B1765" t="str">
            <v>SYSTEM SOLUTION COMPUTER AND TECHNOLOGY - CTG</v>
          </cell>
          <cell r="C1765" t="str">
            <v>Manjurul Huda Parvez</v>
          </cell>
          <cell r="D1765" t="str">
            <v>CTG</v>
          </cell>
          <cell r="E1765" t="str">
            <v>CTG</v>
          </cell>
          <cell r="X1765">
            <v>15350</v>
          </cell>
        </row>
        <row r="1766">
          <cell r="A1766" t="str">
            <v>ETLCUST-01538</v>
          </cell>
          <cell r="B1766" t="str">
            <v>SYSTEM ZONE - CTG</v>
          </cell>
          <cell r="C1766" t="str">
            <v>Manjurul Huda Parvez</v>
          </cell>
          <cell r="D1766" t="str">
            <v>CTG</v>
          </cell>
          <cell r="E1766" t="str">
            <v>CTG</v>
          </cell>
          <cell r="X1766">
            <v>307475</v>
          </cell>
          <cell r="Y1766">
            <v>200000</v>
          </cell>
          <cell r="AL1766">
            <v>102230</v>
          </cell>
          <cell r="BA1766">
            <v>156945</v>
          </cell>
        </row>
        <row r="1767">
          <cell r="A1767" t="str">
            <v>ETLCUST-05060</v>
          </cell>
          <cell r="B1767" t="str">
            <v>T M SOLUTION BD - SUVASTU</v>
          </cell>
          <cell r="C1767" t="str">
            <v>Md Shamim Miah</v>
          </cell>
          <cell r="D1767" t="str">
            <v>DHB</v>
          </cell>
          <cell r="E1767" t="str">
            <v>DHB</v>
          </cell>
          <cell r="AM1767">
            <v>40210</v>
          </cell>
          <cell r="AQ1767">
            <v>0</v>
          </cell>
          <cell r="AR1767">
            <v>252000</v>
          </cell>
          <cell r="BA1767">
            <v>119500</v>
          </cell>
        </row>
        <row r="1768">
          <cell r="A1768" t="str">
            <v>ETLCUST-03961</v>
          </cell>
          <cell r="B1768" t="str">
            <v>T R CORPORATION - CTG</v>
          </cell>
          <cell r="C1768" t="str">
            <v>Manjurul Huda Parvez</v>
          </cell>
          <cell r="D1768" t="str">
            <v>CTG</v>
          </cell>
          <cell r="E1768" t="str">
            <v>CTG</v>
          </cell>
          <cell r="R1768">
            <v>17500</v>
          </cell>
          <cell r="T1768">
            <v>2350</v>
          </cell>
          <cell r="U1768">
            <v>15800</v>
          </cell>
          <cell r="Y1768">
            <v>380000</v>
          </cell>
          <cell r="AJ1768">
            <v>60000</v>
          </cell>
          <cell r="AL1768">
            <v>4880</v>
          </cell>
          <cell r="AO1768">
            <v>1190</v>
          </cell>
          <cell r="AP1768">
            <v>3200</v>
          </cell>
          <cell r="AR1768">
            <v>27000</v>
          </cell>
          <cell r="BA1768">
            <v>7850</v>
          </cell>
        </row>
        <row r="1769">
          <cell r="A1769" t="str">
            <v>ETLCUST-00891</v>
          </cell>
          <cell r="B1769" t="str">
            <v>TAFSIR COMPUTER - KUSHTIA</v>
          </cell>
          <cell r="C1769" t="str">
            <v>Md Rakibul Islam</v>
          </cell>
          <cell r="D1769" t="str">
            <v>South Bengal</v>
          </cell>
          <cell r="E1769" t="str">
            <v>South Bengal</v>
          </cell>
          <cell r="G1769">
            <v>50250</v>
          </cell>
          <cell r="O1769">
            <v>22880</v>
          </cell>
          <cell r="X1769">
            <v>115250</v>
          </cell>
          <cell r="AM1769">
            <v>850</v>
          </cell>
          <cell r="AQ1769">
            <v>0</v>
          </cell>
          <cell r="BA1769">
            <v>62190</v>
          </cell>
        </row>
        <row r="1770">
          <cell r="A1770" t="str">
            <v>ETLCUST-03516</v>
          </cell>
          <cell r="B1770" t="str">
            <v>TAJ COMPUTER AND TECHNOLOGY -SUVASTU ARCHADE</v>
          </cell>
          <cell r="C1770" t="str">
            <v>Md Shamim Miah</v>
          </cell>
          <cell r="D1770" t="str">
            <v>DHB</v>
          </cell>
          <cell r="E1770" t="str">
            <v>DHB</v>
          </cell>
          <cell r="AO1770">
            <v>100175</v>
          </cell>
        </row>
        <row r="1771">
          <cell r="A1771" t="str">
            <v>ETLCUST-00716</v>
          </cell>
          <cell r="B1771" t="str">
            <v>TAJ JAHAN COMPUTER - KHULNA</v>
          </cell>
          <cell r="C1771" t="str">
            <v>Saidur Rahman Khokan</v>
          </cell>
          <cell r="D1771" t="str">
            <v>Khulna</v>
          </cell>
          <cell r="E1771" t="str">
            <v>Khulna</v>
          </cell>
          <cell r="AK1771">
            <v>17700</v>
          </cell>
          <cell r="BA1771">
            <v>15100</v>
          </cell>
        </row>
        <row r="1772">
          <cell r="A1772" t="str">
            <v>ETLCUST-00174</v>
          </cell>
          <cell r="B1772" t="str">
            <v>TAJCO INTERNATIONAL - IDB</v>
          </cell>
          <cell r="C1772" t="str">
            <v>Gaji Parvin Nesa</v>
          </cell>
          <cell r="D1772" t="str">
            <v>IDB</v>
          </cell>
          <cell r="E1772" t="str">
            <v>IDB</v>
          </cell>
          <cell r="AO1772">
            <v>20875</v>
          </cell>
        </row>
        <row r="1773">
          <cell r="A1773" t="str">
            <v>ETLCUST-05239</v>
          </cell>
          <cell r="B1773" t="str">
            <v>TAKOA ENTERPRISE - NAWABPUR</v>
          </cell>
          <cell r="C1773" t="str">
            <v>Noor Hossain</v>
          </cell>
          <cell r="D1773" t="str">
            <v>Gulistan</v>
          </cell>
          <cell r="E1773" t="str">
            <v>Gulistan</v>
          </cell>
          <cell r="T1773">
            <v>207250</v>
          </cell>
          <cell r="X1773">
            <v>1307750</v>
          </cell>
          <cell r="AL1773">
            <v>126640</v>
          </cell>
        </row>
        <row r="1774">
          <cell r="A1774" t="str">
            <v>ETLCUST-03879</v>
          </cell>
          <cell r="B1774" t="str">
            <v>TALUKDAR TELECOM - BARISAL</v>
          </cell>
          <cell r="C1774" t="str">
            <v>Md. Aminul Islam</v>
          </cell>
          <cell r="D1774" t="str">
            <v>South Bengal</v>
          </cell>
          <cell r="E1774" t="str">
            <v>South Bengal</v>
          </cell>
          <cell r="AL1774">
            <v>9540</v>
          </cell>
          <cell r="BA1774">
            <v>102965</v>
          </cell>
        </row>
        <row r="1775">
          <cell r="A1775" t="str">
            <v>ETLCUST-00367</v>
          </cell>
          <cell r="B1775" t="str">
            <v>TALUKDER COMPUTERS AND SOLUTIONS LTD - BANANI</v>
          </cell>
          <cell r="C1775" t="str">
            <v>Jiku Saha</v>
          </cell>
          <cell r="D1775" t="str">
            <v>Uttara</v>
          </cell>
          <cell r="E1775" t="str">
            <v>Uttara</v>
          </cell>
          <cell r="G1775">
            <v>112000</v>
          </cell>
          <cell r="P1775">
            <v>64000</v>
          </cell>
          <cell r="S1775">
            <v>0</v>
          </cell>
          <cell r="T1775">
            <v>71000</v>
          </cell>
          <cell r="U1775">
            <v>14800</v>
          </cell>
          <cell r="X1775">
            <v>111175</v>
          </cell>
          <cell r="AJ1775">
            <v>3439990</v>
          </cell>
          <cell r="AL1775">
            <v>7950</v>
          </cell>
          <cell r="AM1775">
            <v>1313160</v>
          </cell>
          <cell r="AQ1775">
            <v>0</v>
          </cell>
          <cell r="AR1775">
            <v>312050</v>
          </cell>
          <cell r="BA1775">
            <v>36369415</v>
          </cell>
        </row>
        <row r="1776">
          <cell r="A1776" t="str">
            <v>ETLCUST-03599</v>
          </cell>
          <cell r="B1776" t="str">
            <v>TAMANNA INTERNATIONAL - SUVASTU ARCADE</v>
          </cell>
          <cell r="C1776" t="str">
            <v>Mohotasim Rana</v>
          </cell>
          <cell r="D1776" t="str">
            <v>DHB</v>
          </cell>
          <cell r="E1776" t="str">
            <v>DHB</v>
          </cell>
          <cell r="AO1776">
            <v>25350</v>
          </cell>
        </row>
        <row r="1777">
          <cell r="A1777" t="str">
            <v>ETLCUST-03255</v>
          </cell>
          <cell r="B1777" t="str">
            <v>TANIA ELECTRONICS AND ELECTRIC - GAZIPUR</v>
          </cell>
          <cell r="C1777" t="str">
            <v>MD. Shipon Ali</v>
          </cell>
          <cell r="D1777" t="str">
            <v>Uttara</v>
          </cell>
          <cell r="E1777" t="str">
            <v>Uttara</v>
          </cell>
          <cell r="G1777">
            <v>172200</v>
          </cell>
          <cell r="S1777">
            <v>0</v>
          </cell>
          <cell r="V1777">
            <v>35250</v>
          </cell>
          <cell r="AK1777">
            <v>71900</v>
          </cell>
          <cell r="AL1777">
            <v>226850</v>
          </cell>
          <cell r="AM1777">
            <v>189940</v>
          </cell>
          <cell r="BA1777">
            <v>859645</v>
          </cell>
        </row>
        <row r="1778">
          <cell r="A1778" t="str">
            <v>ETLCUST-03146</v>
          </cell>
          <cell r="B1778" t="str">
            <v>TANSHEN - CUMILLA</v>
          </cell>
          <cell r="C1778" t="str">
            <v>Nazmul Amin Sajib</v>
          </cell>
          <cell r="D1778" t="str">
            <v>CTG</v>
          </cell>
          <cell r="E1778" t="str">
            <v>CTG</v>
          </cell>
          <cell r="Q1778">
            <v>1350</v>
          </cell>
          <cell r="R1778">
            <v>3740</v>
          </cell>
          <cell r="T1778">
            <v>832750</v>
          </cell>
          <cell r="X1778">
            <v>1999336</v>
          </cell>
          <cell r="BA1778">
            <v>1750</v>
          </cell>
        </row>
        <row r="1779">
          <cell r="A1779" t="str">
            <v>ETLCUST-04346</v>
          </cell>
          <cell r="B1779" t="str">
            <v>TANVIR ENTERPRISE - MULTIPLAN</v>
          </cell>
          <cell r="C1779" t="str">
            <v>Md. Anamul Hoque</v>
          </cell>
          <cell r="D1779" t="str">
            <v>Multiplan</v>
          </cell>
          <cell r="E1779" t="str">
            <v>Multiplan</v>
          </cell>
          <cell r="O1779">
            <v>35740</v>
          </cell>
          <cell r="P1779">
            <v>38400</v>
          </cell>
          <cell r="R1779">
            <v>45500</v>
          </cell>
        </row>
        <row r="1780">
          <cell r="A1780" t="str">
            <v>ETLCUST-01879</v>
          </cell>
          <cell r="B1780" t="str">
            <v>TANVIR TRADERS - PALTAN</v>
          </cell>
          <cell r="C1780" t="str">
            <v>Md. Akram Rashid</v>
          </cell>
          <cell r="D1780" t="str">
            <v>Motijheel</v>
          </cell>
          <cell r="E1780" t="str">
            <v>Motijheel</v>
          </cell>
          <cell r="R1780">
            <v>1199000</v>
          </cell>
        </row>
        <row r="1781">
          <cell r="A1781" t="str">
            <v>ETLCUST-03993</v>
          </cell>
          <cell r="B1781" t="str">
            <v>TAQWA ENTERPRICE - GULSHAN</v>
          </cell>
          <cell r="C1781" t="str">
            <v>Jiku Saha</v>
          </cell>
          <cell r="D1781" t="str">
            <v>Uttara</v>
          </cell>
          <cell r="E1781" t="str">
            <v>Uttara</v>
          </cell>
          <cell r="AJ1781">
            <v>2066775</v>
          </cell>
        </row>
        <row r="1782">
          <cell r="A1782" t="str">
            <v>ETLCUST-04079</v>
          </cell>
          <cell r="B1782" t="str">
            <v>TAQWA TECHNOLOGY - UTTARA</v>
          </cell>
          <cell r="C1782" t="str">
            <v>Dulal Sarker</v>
          </cell>
          <cell r="D1782" t="str">
            <v>Uttara</v>
          </cell>
          <cell r="E1782" t="str">
            <v>Uttara</v>
          </cell>
          <cell r="M1782">
            <v>16600</v>
          </cell>
          <cell r="U1782">
            <v>105380</v>
          </cell>
          <cell r="AV1782">
            <v>133600</v>
          </cell>
        </row>
        <row r="1783">
          <cell r="A1783" t="str">
            <v>ETLCUST-02742</v>
          </cell>
          <cell r="B1783" t="str">
            <v>TARASIMA APPARELS LTD.</v>
          </cell>
          <cell r="C1783" t="str">
            <v>Ashraful Islam</v>
          </cell>
          <cell r="D1783" t="str">
            <v>Corporate</v>
          </cell>
          <cell r="E1783" t="str">
            <v>Corporate</v>
          </cell>
          <cell r="AJ1783">
            <v>121050</v>
          </cell>
          <cell r="AT1783">
            <v>25260</v>
          </cell>
        </row>
        <row r="1784">
          <cell r="A1784" t="str">
            <v>ETLCUST-01014</v>
          </cell>
          <cell r="B1784" t="str">
            <v>TAREK COMPUTER - PABNA</v>
          </cell>
          <cell r="C1784" t="str">
            <v>Forhad Rubel</v>
          </cell>
          <cell r="D1784" t="str">
            <v>North Bengal</v>
          </cell>
          <cell r="E1784" t="str">
            <v>North Bengal</v>
          </cell>
          <cell r="R1784">
            <v>75520</v>
          </cell>
          <cell r="AQ1784">
            <v>0</v>
          </cell>
          <cell r="AT1784">
            <v>43750</v>
          </cell>
        </row>
        <row r="1785">
          <cell r="A1785" t="str">
            <v>ETLCUST-00736</v>
          </cell>
          <cell r="B1785" t="str">
            <v>TARIK IT SERVICE - SATKHIRA</v>
          </cell>
          <cell r="C1785" t="str">
            <v>Imrul Rayhan</v>
          </cell>
          <cell r="D1785" t="str">
            <v>Khulna</v>
          </cell>
          <cell r="E1785" t="str">
            <v>Khulna</v>
          </cell>
          <cell r="G1785">
            <v>144000</v>
          </cell>
          <cell r="P1785">
            <v>57700</v>
          </cell>
          <cell r="S1785">
            <v>0</v>
          </cell>
          <cell r="AK1785">
            <v>17800</v>
          </cell>
          <cell r="AL1785">
            <v>53595</v>
          </cell>
          <cell r="AM1785">
            <v>27550</v>
          </cell>
          <cell r="AQ1785">
            <v>0</v>
          </cell>
          <cell r="BA1785">
            <v>1413920</v>
          </cell>
        </row>
        <row r="1786">
          <cell r="A1786" t="str">
            <v>ETLCUST-05388</v>
          </cell>
          <cell r="B1786" t="str">
            <v>TASFIA IT - SAVAR</v>
          </cell>
          <cell r="C1786" t="str">
            <v>Biplop Kumar</v>
          </cell>
          <cell r="D1786" t="str">
            <v>DHK-EXT</v>
          </cell>
          <cell r="E1786" t="str">
            <v>DHK-EXT</v>
          </cell>
          <cell r="AJ1786">
            <v>62050</v>
          </cell>
        </row>
        <row r="1787">
          <cell r="A1787" t="str">
            <v>ETLCUST-03542</v>
          </cell>
          <cell r="B1787" t="str">
            <v>TASIN COMPUTER - SAVAR</v>
          </cell>
          <cell r="C1787" t="str">
            <v>Biplop Kumar</v>
          </cell>
          <cell r="D1787" t="str">
            <v>DHK-EXT</v>
          </cell>
          <cell r="E1787" t="str">
            <v>DHK-EXT</v>
          </cell>
          <cell r="G1787">
            <v>100000</v>
          </cell>
          <cell r="L1787">
            <v>245000</v>
          </cell>
          <cell r="P1787">
            <v>64500</v>
          </cell>
          <cell r="S1787">
            <v>0</v>
          </cell>
          <cell r="T1787">
            <v>708800</v>
          </cell>
          <cell r="X1787">
            <v>19242650</v>
          </cell>
          <cell r="AL1787">
            <v>507375</v>
          </cell>
          <cell r="AM1787">
            <v>1942430</v>
          </cell>
          <cell r="AO1787">
            <v>26875</v>
          </cell>
          <cell r="AQ1787">
            <v>0</v>
          </cell>
          <cell r="BA1787">
            <v>18588345</v>
          </cell>
        </row>
        <row r="1788">
          <cell r="A1788" t="str">
            <v>ETLCUST-00802</v>
          </cell>
          <cell r="B1788" t="str">
            <v>TASNUVA COMPUTERS - NAOGOAN</v>
          </cell>
          <cell r="C1788" t="str">
            <v>Md. Abu Basar</v>
          </cell>
          <cell r="D1788" t="str">
            <v>Rajshahi</v>
          </cell>
          <cell r="E1788" t="str">
            <v>Rajshahi</v>
          </cell>
          <cell r="X1788">
            <v>60000</v>
          </cell>
          <cell r="AP1788">
            <v>11500</v>
          </cell>
        </row>
        <row r="1789">
          <cell r="A1789" t="str">
            <v>ETLCUST-04815</v>
          </cell>
          <cell r="B1789" t="str">
            <v>TAZ COMPUTER - KHULNA</v>
          </cell>
          <cell r="C1789" t="str">
            <v>Saidur Rahman Khokan</v>
          </cell>
          <cell r="D1789" t="str">
            <v>Khulna</v>
          </cell>
          <cell r="E1789" t="str">
            <v>Khulna</v>
          </cell>
          <cell r="AZ1789">
            <v>233200</v>
          </cell>
        </row>
        <row r="1790">
          <cell r="A1790" t="str">
            <v>ETLCUST-04049</v>
          </cell>
          <cell r="B1790" t="str">
            <v>TECH 360 - MULTIPLAN</v>
          </cell>
          <cell r="C1790" t="str">
            <v>Sabuj Das</v>
          </cell>
          <cell r="D1790" t="str">
            <v>HO-SI</v>
          </cell>
          <cell r="E1790" t="str">
            <v>HO-SI</v>
          </cell>
          <cell r="H1790">
            <v>60000</v>
          </cell>
          <cell r="AV1790">
            <v>30000</v>
          </cell>
        </row>
        <row r="1791">
          <cell r="A1791" t="str">
            <v>ETLCUST-05384</v>
          </cell>
          <cell r="B1791" t="str">
            <v>TECH BAZAAR - SYLHET</v>
          </cell>
          <cell r="C1791" t="str">
            <v>Sanwar Husen</v>
          </cell>
          <cell r="D1791" t="str">
            <v>Sylhet</v>
          </cell>
          <cell r="E1791" t="str">
            <v>Sylhet</v>
          </cell>
          <cell r="R1791">
            <v>5020</v>
          </cell>
          <cell r="T1791">
            <v>2350</v>
          </cell>
          <cell r="U1791">
            <v>27000</v>
          </cell>
          <cell r="X1791">
            <v>66350</v>
          </cell>
          <cell r="AK1791">
            <v>13000</v>
          </cell>
          <cell r="AM1791">
            <v>425</v>
          </cell>
          <cell r="BA1791">
            <v>24925</v>
          </cell>
        </row>
        <row r="1792">
          <cell r="A1792" t="str">
            <v>ETLCUST-04517</v>
          </cell>
          <cell r="B1792" t="str">
            <v>TECH BEE IT SOLUTION - CTG</v>
          </cell>
          <cell r="C1792" t="str">
            <v>Shahidul Alam Chowdhury</v>
          </cell>
          <cell r="D1792" t="str">
            <v>CTG</v>
          </cell>
          <cell r="E1792" t="str">
            <v>CTG</v>
          </cell>
          <cell r="P1792">
            <v>192000</v>
          </cell>
          <cell r="V1792">
            <v>27000</v>
          </cell>
          <cell r="AJ1792">
            <v>51225</v>
          </cell>
          <cell r="AK1792">
            <v>102000</v>
          </cell>
          <cell r="AM1792">
            <v>380</v>
          </cell>
          <cell r="AO1792">
            <v>15450</v>
          </cell>
          <cell r="BA1792">
            <v>42350</v>
          </cell>
        </row>
        <row r="1793">
          <cell r="A1793" t="str">
            <v>ETLCUST-05276</v>
          </cell>
          <cell r="B1793" t="str">
            <v>TECH CITY - PANCHAGARH</v>
          </cell>
          <cell r="C1793" t="str">
            <v>Akramul Haque</v>
          </cell>
          <cell r="D1793" t="str">
            <v>North Bengal</v>
          </cell>
          <cell r="E1793" t="str">
            <v>North Bengal</v>
          </cell>
          <cell r="AL1793">
            <v>5830</v>
          </cell>
          <cell r="AM1793">
            <v>9390</v>
          </cell>
          <cell r="AQ1793">
            <v>0</v>
          </cell>
          <cell r="BA1793">
            <v>156115</v>
          </cell>
        </row>
        <row r="1794">
          <cell r="A1794" t="str">
            <v>ETLCUST-05127</v>
          </cell>
          <cell r="B1794" t="str">
            <v>TECH HAVEN - E.ROAD</v>
          </cell>
          <cell r="C1794" t="str">
            <v>Md. Razan Hossain</v>
          </cell>
          <cell r="D1794" t="str">
            <v>DHB</v>
          </cell>
          <cell r="E1794" t="str">
            <v>DHB</v>
          </cell>
          <cell r="P1794">
            <v>12800</v>
          </cell>
          <cell r="U1794">
            <v>7400</v>
          </cell>
          <cell r="V1794">
            <v>7500</v>
          </cell>
          <cell r="AA1794">
            <v>20500</v>
          </cell>
          <cell r="AK1794">
            <v>47460</v>
          </cell>
        </row>
        <row r="1795">
          <cell r="A1795" t="str">
            <v>ETLCUST-00792</v>
          </cell>
          <cell r="B1795" t="str">
            <v>TECH LAB - RAJSHAHI</v>
          </cell>
          <cell r="C1795" t="str">
            <v>Ahmed Bulbul</v>
          </cell>
          <cell r="D1795" t="str">
            <v>Rajshahi</v>
          </cell>
          <cell r="E1795" t="str">
            <v>Rajshahi</v>
          </cell>
          <cell r="P1795">
            <v>6400</v>
          </cell>
          <cell r="V1795">
            <v>36000</v>
          </cell>
        </row>
        <row r="1796">
          <cell r="A1796" t="str">
            <v>ETLCUST-03544</v>
          </cell>
          <cell r="B1796" t="str">
            <v>TECH LAND - IDB</v>
          </cell>
          <cell r="C1796" t="str">
            <v>Amit Sarker</v>
          </cell>
          <cell r="D1796" t="str">
            <v>IDB</v>
          </cell>
          <cell r="E1796" t="str">
            <v>IDB</v>
          </cell>
          <cell r="R1796">
            <v>41000</v>
          </cell>
          <cell r="U1796">
            <v>77850</v>
          </cell>
          <cell r="X1796">
            <v>36500</v>
          </cell>
          <cell r="Y1796">
            <v>347000</v>
          </cell>
          <cell r="AF1796">
            <v>225500</v>
          </cell>
          <cell r="AJ1796">
            <v>12000</v>
          </cell>
          <cell r="AK1796">
            <v>26000</v>
          </cell>
          <cell r="AM1796">
            <v>5465</v>
          </cell>
          <cell r="AP1796">
            <v>11500</v>
          </cell>
          <cell r="AR1796">
            <v>110000</v>
          </cell>
          <cell r="BA1796">
            <v>136835</v>
          </cell>
        </row>
        <row r="1797">
          <cell r="A1797" t="str">
            <v>ETLCUST-00855</v>
          </cell>
          <cell r="B1797" t="str">
            <v>TECH LAND - MULTIPLAN</v>
          </cell>
          <cell r="C1797" t="str">
            <v>Md. Sahiduzzaman Shahin</v>
          </cell>
          <cell r="D1797" t="str">
            <v>SBU</v>
          </cell>
          <cell r="E1797" t="str">
            <v>SBU</v>
          </cell>
          <cell r="H1797">
            <v>69000</v>
          </cell>
          <cell r="L1797">
            <v>5448500</v>
          </cell>
          <cell r="S1797">
            <v>0</v>
          </cell>
          <cell r="T1797">
            <v>2435800</v>
          </cell>
          <cell r="U1797">
            <v>458350</v>
          </cell>
          <cell r="X1797">
            <v>18400</v>
          </cell>
          <cell r="Y1797">
            <v>730000</v>
          </cell>
          <cell r="AF1797">
            <v>800</v>
          </cell>
          <cell r="AJ1797">
            <v>52700</v>
          </cell>
          <cell r="AK1797">
            <v>93000</v>
          </cell>
          <cell r="AL1797">
            <v>308310</v>
          </cell>
          <cell r="AM1797">
            <v>447490</v>
          </cell>
          <cell r="AO1797">
            <v>14750</v>
          </cell>
          <cell r="AR1797">
            <v>587400</v>
          </cell>
          <cell r="AS1797">
            <v>335000</v>
          </cell>
          <cell r="AZ1797">
            <v>32650</v>
          </cell>
          <cell r="BA1797">
            <v>4978740</v>
          </cell>
        </row>
        <row r="1798">
          <cell r="A1798" t="str">
            <v>ETLCUST-00147</v>
          </cell>
          <cell r="B1798" t="str">
            <v>TECH LIFE BD - UTTARA</v>
          </cell>
          <cell r="C1798" t="str">
            <v>Dulal Sarker</v>
          </cell>
          <cell r="D1798" t="str">
            <v>Uttara</v>
          </cell>
          <cell r="E1798" t="str">
            <v>Uttara</v>
          </cell>
          <cell r="AO1798">
            <v>46210</v>
          </cell>
          <cell r="AV1798">
            <v>180000</v>
          </cell>
          <cell r="BA1798">
            <v>9600</v>
          </cell>
        </row>
        <row r="1799">
          <cell r="A1799" t="str">
            <v>ETLCUST-04213</v>
          </cell>
          <cell r="B1799" t="str">
            <v>TECH MART SOLUTION - MIRPUR</v>
          </cell>
          <cell r="C1799" t="str">
            <v>Gaji Parvin Nesa</v>
          </cell>
          <cell r="D1799" t="str">
            <v>IDB</v>
          </cell>
          <cell r="E1799" t="str">
            <v>IDB</v>
          </cell>
          <cell r="R1799">
            <v>150000</v>
          </cell>
        </row>
        <row r="1800">
          <cell r="A1800" t="str">
            <v>ETLCUST-04984</v>
          </cell>
          <cell r="B1800" t="str">
            <v>TECH MOTION - CTG</v>
          </cell>
          <cell r="C1800" t="str">
            <v>Mohammad Mamunur Rashid</v>
          </cell>
          <cell r="D1800" t="str">
            <v>CTG</v>
          </cell>
          <cell r="E1800" t="str">
            <v>CTG</v>
          </cell>
          <cell r="AM1800">
            <v>2295</v>
          </cell>
          <cell r="BA1800">
            <v>40900</v>
          </cell>
        </row>
        <row r="1801">
          <cell r="A1801" t="str">
            <v>ETLCUST-05049</v>
          </cell>
          <cell r="B1801" t="str">
            <v>TECH POWER SOLUTIONS-CTG</v>
          </cell>
          <cell r="C1801" t="str">
            <v>Shahidul Alam Chowdhury</v>
          </cell>
          <cell r="D1801" t="str">
            <v>CTG</v>
          </cell>
          <cell r="E1801" t="str">
            <v>CTG</v>
          </cell>
          <cell r="Q1801">
            <v>890</v>
          </cell>
          <cell r="S1801">
            <v>0</v>
          </cell>
          <cell r="AL1801">
            <v>27440</v>
          </cell>
          <cell r="AM1801">
            <v>1275</v>
          </cell>
          <cell r="BA1801">
            <v>829880</v>
          </cell>
        </row>
        <row r="1802">
          <cell r="A1802" t="str">
            <v>ETLCUST-04562</v>
          </cell>
          <cell r="B1802" t="str">
            <v xml:space="preserve">TECH PRO INOFRMATION - FARIDPUR </v>
          </cell>
          <cell r="C1802" t="str">
            <v>Hanif shek</v>
          </cell>
          <cell r="D1802" t="str">
            <v>South Bengal</v>
          </cell>
          <cell r="E1802" t="str">
            <v>South Bengal</v>
          </cell>
          <cell r="G1802">
            <v>112000</v>
          </cell>
          <cell r="P1802">
            <v>13200</v>
          </cell>
          <cell r="X1802">
            <v>7000</v>
          </cell>
          <cell r="AL1802">
            <v>7950</v>
          </cell>
          <cell r="AO1802">
            <v>450000</v>
          </cell>
          <cell r="BA1802">
            <v>160440</v>
          </cell>
        </row>
        <row r="1803">
          <cell r="A1803" t="str">
            <v>ETLCUST-00170</v>
          </cell>
          <cell r="B1803" t="str">
            <v>TECH REPUBLIC LTD - TALTOLA</v>
          </cell>
          <cell r="C1803" t="str">
            <v>Gaji Parvin Nesa</v>
          </cell>
          <cell r="D1803" t="str">
            <v>IDB</v>
          </cell>
          <cell r="E1803" t="str">
            <v>IDB</v>
          </cell>
          <cell r="F1803">
            <v>340000</v>
          </cell>
          <cell r="AF1803">
            <v>1035000</v>
          </cell>
          <cell r="AJ1803">
            <v>75000</v>
          </cell>
        </row>
        <row r="1804">
          <cell r="A1804" t="str">
            <v>ETLCUST-05322</v>
          </cell>
          <cell r="B1804" t="str">
            <v xml:space="preserve">TECH SERVE - E. ROAD </v>
          </cell>
          <cell r="C1804" t="str">
            <v>Md. Razan Hossain</v>
          </cell>
          <cell r="D1804" t="str">
            <v>DHB</v>
          </cell>
          <cell r="E1804" t="str">
            <v>DHB</v>
          </cell>
          <cell r="AK1804">
            <v>94920</v>
          </cell>
        </row>
        <row r="1805">
          <cell r="A1805" t="str">
            <v>ETLCUST-00830</v>
          </cell>
          <cell r="B1805" t="str">
            <v>TECH SHOP PLUS - IDB</v>
          </cell>
          <cell r="C1805" t="str">
            <v>Fajle Rabbi</v>
          </cell>
          <cell r="D1805" t="str">
            <v>IDB</v>
          </cell>
          <cell r="E1805" t="str">
            <v>IDB</v>
          </cell>
          <cell r="AO1805">
            <v>3000</v>
          </cell>
        </row>
        <row r="1806">
          <cell r="A1806" t="str">
            <v>ETLCUST-01465</v>
          </cell>
          <cell r="B1806" t="str">
            <v>TECH SMART - PATUAKHALI</v>
          </cell>
          <cell r="C1806" t="str">
            <v>Shah Imran</v>
          </cell>
          <cell r="D1806" t="str">
            <v>South Bengal</v>
          </cell>
          <cell r="E1806" t="str">
            <v>South Bengal</v>
          </cell>
          <cell r="G1806">
            <v>4500</v>
          </cell>
          <cell r="Q1806">
            <v>890</v>
          </cell>
          <cell r="BA1806">
            <v>33610</v>
          </cell>
        </row>
        <row r="1807">
          <cell r="A1807" t="str">
            <v>ETLCUST-00530</v>
          </cell>
          <cell r="B1807" t="str">
            <v>TECH SOLUTION - ADABAR</v>
          </cell>
          <cell r="C1807" t="str">
            <v>Sadekur Rahman</v>
          </cell>
          <cell r="D1807" t="str">
            <v>HO-SI</v>
          </cell>
          <cell r="E1807" t="str">
            <v>HO-SI</v>
          </cell>
          <cell r="AJ1807">
            <v>250000</v>
          </cell>
        </row>
        <row r="1808">
          <cell r="A1808" t="str">
            <v>ETLCUST-04673</v>
          </cell>
          <cell r="B1808" t="str">
            <v>TECH VALLEY SOLUTIONS LIMITED - KALABAGAN</v>
          </cell>
          <cell r="C1808" t="str">
            <v>Sabuj Das</v>
          </cell>
          <cell r="D1808" t="str">
            <v>HO-SI</v>
          </cell>
          <cell r="E1808" t="str">
            <v>HO-SI</v>
          </cell>
          <cell r="I1808">
            <v>5948879.1999999993</v>
          </cell>
          <cell r="L1808">
            <v>3945100</v>
          </cell>
          <cell r="U1808">
            <v>98400</v>
          </cell>
          <cell r="X1808">
            <v>119200</v>
          </cell>
          <cell r="AA1808">
            <v>120000</v>
          </cell>
        </row>
        <row r="1809">
          <cell r="A1809" t="str">
            <v>ETLCUST-01537</v>
          </cell>
          <cell r="B1809" t="str">
            <v>TECH VALLY - RANGAMATI</v>
          </cell>
          <cell r="C1809" t="str">
            <v>Md. Mamunur Rashid</v>
          </cell>
          <cell r="D1809" t="str">
            <v>CTG</v>
          </cell>
          <cell r="E1809" t="str">
            <v>CTG</v>
          </cell>
          <cell r="P1809">
            <v>16500</v>
          </cell>
          <cell r="V1809">
            <v>21000</v>
          </cell>
          <cell r="AM1809">
            <v>27910</v>
          </cell>
          <cell r="AO1809">
            <v>1250</v>
          </cell>
          <cell r="BA1809">
            <v>46950</v>
          </cell>
        </row>
        <row r="1810">
          <cell r="A1810" t="str">
            <v>ETLCUST-05097</v>
          </cell>
          <cell r="B1810" t="str">
            <v>TECH VIEW - MANIKGANJ</v>
          </cell>
          <cell r="C1810" t="str">
            <v>Niloy Ghosh</v>
          </cell>
          <cell r="D1810" t="str">
            <v>DHK-EXT</v>
          </cell>
          <cell r="E1810" t="str">
            <v>DHK-EXT</v>
          </cell>
          <cell r="T1810">
            <v>1850</v>
          </cell>
          <cell r="X1810">
            <v>105175</v>
          </cell>
          <cell r="AO1810">
            <v>26850</v>
          </cell>
        </row>
        <row r="1811">
          <cell r="A1811" t="str">
            <v>ETLCUST-04485</v>
          </cell>
          <cell r="B1811" t="str">
            <v>Tech World BD - Multiplan</v>
          </cell>
          <cell r="C1811" t="str">
            <v>Md Mokshed Ali</v>
          </cell>
          <cell r="D1811" t="str">
            <v>Multiplan</v>
          </cell>
          <cell r="E1811" t="str">
            <v>Multiplan</v>
          </cell>
          <cell r="AO1811">
            <v>4500</v>
          </cell>
        </row>
        <row r="1812">
          <cell r="A1812" t="str">
            <v>ETLCUST-04382</v>
          </cell>
          <cell r="B1812" t="str">
            <v>TECH ZONE - RAJSHAHI</v>
          </cell>
          <cell r="C1812" t="str">
            <v>Ahmed Bulbul</v>
          </cell>
          <cell r="D1812" t="str">
            <v>Rajshahi</v>
          </cell>
          <cell r="E1812" t="str">
            <v>Rajshahi</v>
          </cell>
          <cell r="L1812">
            <v>20000</v>
          </cell>
          <cell r="P1812">
            <v>6400</v>
          </cell>
          <cell r="R1812">
            <v>22000</v>
          </cell>
          <cell r="X1812">
            <v>12000</v>
          </cell>
          <cell r="BA1812">
            <v>11700</v>
          </cell>
        </row>
        <row r="1813">
          <cell r="A1813" t="str">
            <v>ETLCUST-05420</v>
          </cell>
          <cell r="B1813" t="str">
            <v>TECH ZONE - SYLHET</v>
          </cell>
          <cell r="C1813" t="str">
            <v>Kunjaraj Singha</v>
          </cell>
          <cell r="D1813" t="str">
            <v>Sylhet</v>
          </cell>
          <cell r="E1813" t="str">
            <v>Sylhet</v>
          </cell>
          <cell r="AJ1813">
            <v>50295</v>
          </cell>
        </row>
        <row r="1814">
          <cell r="A1814" t="str">
            <v>ETLCUST-04897</v>
          </cell>
          <cell r="B1814" t="str">
            <v>TECHNIC COMPUTER - BARISHAL</v>
          </cell>
          <cell r="C1814" t="str">
            <v>Md. Aminul Islam</v>
          </cell>
          <cell r="D1814" t="str">
            <v>South Bengal</v>
          </cell>
          <cell r="E1814" t="str">
            <v>South Bengal</v>
          </cell>
          <cell r="P1814">
            <v>17500</v>
          </cell>
          <cell r="R1814">
            <v>124000</v>
          </cell>
          <cell r="X1814">
            <v>1433555</v>
          </cell>
          <cell r="AK1814">
            <v>19500</v>
          </cell>
          <cell r="AO1814">
            <v>29725</v>
          </cell>
          <cell r="AT1814">
            <v>38400</v>
          </cell>
          <cell r="BA1814">
            <v>148700</v>
          </cell>
        </row>
        <row r="1815">
          <cell r="A1815" t="str">
            <v>ETLCUST-02645</v>
          </cell>
          <cell r="B1815" t="str">
            <v>TECHNITY BD LIMITED - PHULBARI</v>
          </cell>
          <cell r="C1815" t="str">
            <v>Akramul Haque</v>
          </cell>
          <cell r="D1815" t="str">
            <v>North Bengal</v>
          </cell>
          <cell r="E1815" t="str">
            <v>North Bengal</v>
          </cell>
          <cell r="X1815">
            <v>100000</v>
          </cell>
        </row>
        <row r="1816">
          <cell r="A1816" t="str">
            <v>ETLCUST-01389</v>
          </cell>
          <cell r="B1816" t="str">
            <v>TECHNO CITY - GAZIPUR</v>
          </cell>
          <cell r="C1816" t="str">
            <v>Md. Rahad</v>
          </cell>
          <cell r="D1816" t="str">
            <v>Uttara</v>
          </cell>
          <cell r="E1816" t="str">
            <v>Uttara</v>
          </cell>
          <cell r="L1816">
            <v>81495</v>
          </cell>
          <cell r="O1816">
            <v>28500</v>
          </cell>
          <cell r="P1816">
            <v>95600</v>
          </cell>
          <cell r="R1816">
            <v>1013080</v>
          </cell>
          <cell r="U1816">
            <v>429900</v>
          </cell>
          <cell r="AK1816">
            <v>67800</v>
          </cell>
          <cell r="BA1816">
            <v>3750</v>
          </cell>
        </row>
        <row r="1817">
          <cell r="A1817" t="str">
            <v>ETLCUST-00758</v>
          </cell>
          <cell r="B1817" t="str">
            <v>TECHNO FAIR - MULTIPLAN</v>
          </cell>
          <cell r="C1817" t="str">
            <v>Mohammad Mostofa</v>
          </cell>
          <cell r="D1817" t="str">
            <v>Multiplan</v>
          </cell>
          <cell r="E1817" t="str">
            <v>Multiplan</v>
          </cell>
          <cell r="P1817">
            <v>12800</v>
          </cell>
          <cell r="X1817">
            <v>12200</v>
          </cell>
          <cell r="AJ1817">
            <v>312700</v>
          </cell>
        </row>
        <row r="1818">
          <cell r="A1818" t="str">
            <v>ETLCUST-04873</v>
          </cell>
          <cell r="B1818" t="str">
            <v>TECHNO HOUSE - E.ROAD</v>
          </cell>
          <cell r="C1818" t="str">
            <v>Mohotasim Rana</v>
          </cell>
          <cell r="D1818" t="str">
            <v>DHB</v>
          </cell>
          <cell r="E1818" t="str">
            <v>DHB</v>
          </cell>
          <cell r="R1818">
            <v>1646500</v>
          </cell>
          <cell r="U1818">
            <v>81000</v>
          </cell>
          <cell r="AJ1818">
            <v>15500</v>
          </cell>
          <cell r="AL1818">
            <v>178875</v>
          </cell>
        </row>
        <row r="1819">
          <cell r="A1819" t="str">
            <v>ETLCUST-00428</v>
          </cell>
          <cell r="B1819" t="str">
            <v>TECHNO MART - TEJGAON</v>
          </cell>
          <cell r="C1819" t="str">
            <v>Mohotasim Rana</v>
          </cell>
          <cell r="D1819" t="str">
            <v>DHB</v>
          </cell>
          <cell r="E1819" t="str">
            <v>DHB</v>
          </cell>
          <cell r="H1819">
            <v>72500</v>
          </cell>
          <cell r="U1819">
            <v>10900</v>
          </cell>
          <cell r="V1819">
            <v>31000</v>
          </cell>
          <cell r="X1819">
            <v>145400</v>
          </cell>
          <cell r="AJ1819">
            <v>665720</v>
          </cell>
          <cell r="AT1819">
            <v>63750</v>
          </cell>
          <cell r="AV1819">
            <v>18000</v>
          </cell>
        </row>
        <row r="1820">
          <cell r="A1820" t="str">
            <v>ETLCUST-02905</v>
          </cell>
          <cell r="B1820" t="str">
            <v>TECHNO PALACE - CTG</v>
          </cell>
          <cell r="C1820" t="str">
            <v>Md. Mamunur Rashid</v>
          </cell>
          <cell r="D1820" t="str">
            <v>CTG</v>
          </cell>
          <cell r="E1820" t="str">
            <v>CTG</v>
          </cell>
          <cell r="P1820">
            <v>25600</v>
          </cell>
          <cell r="AL1820">
            <v>13250</v>
          </cell>
          <cell r="AR1820">
            <v>42500</v>
          </cell>
          <cell r="BA1820">
            <v>454200</v>
          </cell>
        </row>
        <row r="1821">
          <cell r="A1821" t="str">
            <v>ETLCUST-04970</v>
          </cell>
          <cell r="B1821" t="str">
            <v>TECHNO POINT - PIROJPUR</v>
          </cell>
          <cell r="C1821" t="str">
            <v>Md. Aminul Islam</v>
          </cell>
          <cell r="D1821" t="str">
            <v>South Bengal</v>
          </cell>
          <cell r="E1821" t="str">
            <v>South Bengal</v>
          </cell>
          <cell r="G1821">
            <v>56000</v>
          </cell>
          <cell r="P1821">
            <v>38400</v>
          </cell>
          <cell r="X1821">
            <v>169800</v>
          </cell>
          <cell r="AL1821">
            <v>13920</v>
          </cell>
          <cell r="BA1821">
            <v>110960</v>
          </cell>
        </row>
        <row r="1822">
          <cell r="A1822" t="str">
            <v>ETLCUST-05232</v>
          </cell>
          <cell r="B1822" t="str">
            <v>TECHNOCORE BANGLADESH LTD. - CTG</v>
          </cell>
          <cell r="C1822" t="str">
            <v>Shahidul Alam Chowdhury</v>
          </cell>
          <cell r="D1822" t="str">
            <v>CTG</v>
          </cell>
          <cell r="E1822" t="str">
            <v>CTG</v>
          </cell>
          <cell r="AM1822">
            <v>760</v>
          </cell>
          <cell r="BA1822">
            <v>106225</v>
          </cell>
        </row>
        <row r="1823">
          <cell r="A1823" t="str">
            <v>ETLCUST-05291</v>
          </cell>
          <cell r="B1823" t="str">
            <v>TECHNOHUB SOLUTION BD - E.ROAD</v>
          </cell>
          <cell r="C1823" t="str">
            <v>Md. Razan Hossain</v>
          </cell>
          <cell r="D1823" t="str">
            <v>DHB</v>
          </cell>
          <cell r="E1823" t="str">
            <v>DHB</v>
          </cell>
          <cell r="AO1823">
            <v>8040</v>
          </cell>
        </row>
        <row r="1824">
          <cell r="A1824" t="str">
            <v>ETLCUST-00140</v>
          </cell>
          <cell r="B1824" t="str">
            <v>TECHNOLOGY PARK - UTTARA</v>
          </cell>
          <cell r="C1824" t="str">
            <v>Dulal Sarker</v>
          </cell>
          <cell r="D1824" t="str">
            <v>Uttara</v>
          </cell>
          <cell r="E1824" t="str">
            <v>Uttara</v>
          </cell>
          <cell r="AM1824">
            <v>380</v>
          </cell>
          <cell r="AO1824">
            <v>36000</v>
          </cell>
          <cell r="AR1824">
            <v>11750</v>
          </cell>
          <cell r="BA1824">
            <v>25770</v>
          </cell>
        </row>
        <row r="1825">
          <cell r="A1825" t="str">
            <v>ETLCUST-04835</v>
          </cell>
          <cell r="B1825" t="str">
            <v>TECHNOLOGY POINT -  ALAMDANGA</v>
          </cell>
          <cell r="C1825" t="str">
            <v>Md. Hasanuzzaman</v>
          </cell>
          <cell r="D1825" t="str">
            <v>South Bengal</v>
          </cell>
          <cell r="E1825" t="str">
            <v>South Bengal</v>
          </cell>
          <cell r="R1825">
            <v>2080</v>
          </cell>
          <cell r="S1825">
            <v>0</v>
          </cell>
          <cell r="V1825">
            <v>18000</v>
          </cell>
          <cell r="AJ1825">
            <v>3700</v>
          </cell>
          <cell r="AM1825">
            <v>15650</v>
          </cell>
          <cell r="AO1825">
            <v>10620</v>
          </cell>
          <cell r="BA1825">
            <v>151970</v>
          </cell>
        </row>
        <row r="1826">
          <cell r="A1826" t="str">
            <v>ETLCUST-01310</v>
          </cell>
          <cell r="B1826" t="str">
            <v>TECHNOLOGY TODAY - MAIZDEE</v>
          </cell>
          <cell r="C1826" t="str">
            <v>Reazuddin</v>
          </cell>
          <cell r="D1826" t="str">
            <v>CTG</v>
          </cell>
          <cell r="E1826" t="str">
            <v>CTG</v>
          </cell>
          <cell r="R1826">
            <v>263820</v>
          </cell>
          <cell r="S1826">
            <v>0</v>
          </cell>
          <cell r="T1826">
            <v>2190400</v>
          </cell>
          <cell r="X1826">
            <v>18477100</v>
          </cell>
          <cell r="AQ1826">
            <v>0</v>
          </cell>
          <cell r="BA1826">
            <v>1213240</v>
          </cell>
        </row>
        <row r="1827">
          <cell r="A1827" t="str">
            <v>ETLCUST-02986</v>
          </cell>
          <cell r="B1827" t="str">
            <v>TECHPARK INFORMATION SYSTEMS</v>
          </cell>
          <cell r="C1827" t="str">
            <v>Md. Anisur Rahman</v>
          </cell>
          <cell r="D1827" t="str">
            <v>Corporate</v>
          </cell>
          <cell r="E1827" t="str">
            <v>Corporate</v>
          </cell>
          <cell r="R1827">
            <v>1060500</v>
          </cell>
        </row>
        <row r="1828">
          <cell r="A1828" t="str">
            <v>ETLCUST-05416</v>
          </cell>
          <cell r="B1828" t="str">
            <v>TECHSPIRE SYSTEMS - PANTHAPATH</v>
          </cell>
          <cell r="C1828" t="str">
            <v>Sabuj Das</v>
          </cell>
          <cell r="D1828" t="str">
            <v>HO-SI</v>
          </cell>
          <cell r="E1828" t="str">
            <v>HO-SI</v>
          </cell>
          <cell r="U1828">
            <v>25500</v>
          </cell>
          <cell r="AJ1828">
            <v>140000</v>
          </cell>
        </row>
        <row r="1829">
          <cell r="A1829" t="str">
            <v>ETLCUST-03261</v>
          </cell>
          <cell r="B1829" t="str">
            <v>TELE CARE SYSTEM - ARAMBAGH</v>
          </cell>
          <cell r="C1829" t="str">
            <v>Md Tanjilur Rakib</v>
          </cell>
          <cell r="D1829" t="str">
            <v>HO-SI</v>
          </cell>
          <cell r="E1829" t="str">
            <v>HO-SI</v>
          </cell>
          <cell r="AW1829">
            <v>-19500</v>
          </cell>
        </row>
        <row r="1830">
          <cell r="A1830" t="str">
            <v>ETLCUST-01850</v>
          </cell>
          <cell r="B1830" t="str">
            <v>TELEWAVE - E.ROAD</v>
          </cell>
          <cell r="C1830" t="str">
            <v>Sabuj Das</v>
          </cell>
          <cell r="D1830" t="str">
            <v>HO-SI</v>
          </cell>
          <cell r="E1830" t="str">
            <v>HO-SI</v>
          </cell>
          <cell r="U1830">
            <v>85000</v>
          </cell>
          <cell r="X1830">
            <v>57200</v>
          </cell>
          <cell r="AV1830">
            <v>750000</v>
          </cell>
        </row>
        <row r="1831">
          <cell r="A1831" t="str">
            <v>ETLCUST-02500</v>
          </cell>
          <cell r="B1831" t="str">
            <v>TEXEUROP (BD) LTD.</v>
          </cell>
          <cell r="C1831" t="str">
            <v>Abu Zahid Sobuj</v>
          </cell>
          <cell r="D1831" t="str">
            <v>Corporate</v>
          </cell>
          <cell r="E1831" t="str">
            <v>Corporate</v>
          </cell>
          <cell r="H1831">
            <v>67000</v>
          </cell>
          <cell r="S1831">
            <v>98000</v>
          </cell>
          <cell r="X1831">
            <v>2314243</v>
          </cell>
          <cell r="AA1831">
            <v>55000</v>
          </cell>
          <cell r="AK1831">
            <v>34500</v>
          </cell>
          <cell r="AR1831">
            <v>24000</v>
          </cell>
          <cell r="AU1831">
            <v>3400</v>
          </cell>
          <cell r="AV1831">
            <v>197200</v>
          </cell>
        </row>
        <row r="1832">
          <cell r="A1832" t="str">
            <v>ETLCUST-00525</v>
          </cell>
          <cell r="B1832" t="str">
            <v>THAKRAL INFORMATION SYSTEM PVT. LTD. - KAWRAN BAZAR</v>
          </cell>
          <cell r="C1832" t="str">
            <v>Liton Biswas</v>
          </cell>
          <cell r="D1832" t="str">
            <v>HO-SI</v>
          </cell>
          <cell r="E1832" t="str">
            <v>HO-SI</v>
          </cell>
          <cell r="AF1832">
            <v>12800</v>
          </cell>
        </row>
        <row r="1833">
          <cell r="A1833" t="str">
            <v>ETLCUST-00134</v>
          </cell>
          <cell r="B1833" t="str">
            <v>THE BEST COMPUTER - UTTARA</v>
          </cell>
          <cell r="C1833" t="str">
            <v>Dulal Sarker</v>
          </cell>
          <cell r="D1833" t="str">
            <v>Uttara</v>
          </cell>
          <cell r="E1833" t="str">
            <v>Uttara</v>
          </cell>
          <cell r="S1833">
            <v>0</v>
          </cell>
          <cell r="AM1833">
            <v>380</v>
          </cell>
          <cell r="AO1833">
            <v>60750</v>
          </cell>
          <cell r="BA1833">
            <v>327150</v>
          </cell>
        </row>
        <row r="1834">
          <cell r="A1834" t="str">
            <v>ETLCUST-04281</v>
          </cell>
          <cell r="B1834" t="str">
            <v>THE BEST SUPPLIER - RANGPUR</v>
          </cell>
          <cell r="C1834" t="str">
            <v>Md Abdullah Al Mamun</v>
          </cell>
          <cell r="D1834" t="str">
            <v>North Bengal</v>
          </cell>
          <cell r="E1834" t="str">
            <v>North Bengal</v>
          </cell>
          <cell r="R1834">
            <v>230000</v>
          </cell>
          <cell r="X1834">
            <v>64500</v>
          </cell>
        </row>
        <row r="1835">
          <cell r="A1835" t="str">
            <v>ETLCUST-03209</v>
          </cell>
          <cell r="B1835" t="str">
            <v>THE CIVIL ENGINEERS LIMITED - MOHAKHALI</v>
          </cell>
          <cell r="C1835" t="str">
            <v>Sadekur Rahman</v>
          </cell>
          <cell r="D1835" t="str">
            <v>HO-SI</v>
          </cell>
          <cell r="E1835" t="str">
            <v>HO-SI</v>
          </cell>
          <cell r="AV1835">
            <v>17080</v>
          </cell>
        </row>
        <row r="1836">
          <cell r="A1836" t="str">
            <v>ETLCUST-02502</v>
          </cell>
          <cell r="B1836" t="str">
            <v>THE CIVIL ENGINEERS LTD. (WOVEN UNIT)</v>
          </cell>
          <cell r="C1836" t="str">
            <v>Hasibul Hasan Symoon</v>
          </cell>
          <cell r="D1836" t="str">
            <v>Corporate</v>
          </cell>
          <cell r="E1836" t="str">
            <v>Corporate</v>
          </cell>
          <cell r="R1836">
            <v>345280</v>
          </cell>
          <cell r="S1836">
            <v>14525</v>
          </cell>
          <cell r="AA1836">
            <v>105260</v>
          </cell>
          <cell r="AD1836">
            <v>402500</v>
          </cell>
          <cell r="AR1836">
            <v>35800</v>
          </cell>
          <cell r="AY1836">
            <v>0</v>
          </cell>
        </row>
        <row r="1837">
          <cell r="A1837" t="str">
            <v>ETLCUST-00734</v>
          </cell>
          <cell r="B1837" t="str">
            <v>THE COMPUTER CREST - KHULNA</v>
          </cell>
          <cell r="C1837" t="str">
            <v>Saidur Rahman Khokan</v>
          </cell>
          <cell r="D1837" t="str">
            <v>Khulna</v>
          </cell>
          <cell r="E1837" t="str">
            <v>Khulna</v>
          </cell>
          <cell r="G1837">
            <v>28000</v>
          </cell>
          <cell r="X1837">
            <v>150500</v>
          </cell>
          <cell r="AM1837">
            <v>2000</v>
          </cell>
          <cell r="AQ1837">
            <v>0</v>
          </cell>
          <cell r="BA1837">
            <v>876435</v>
          </cell>
        </row>
        <row r="1838">
          <cell r="A1838" t="str">
            <v>ETLCUST-05180</v>
          </cell>
          <cell r="B1838" t="str">
            <v>THE DAILY RUPALI BANGLADESH</v>
          </cell>
          <cell r="C1838" t="str">
            <v>Abu Zahid Sobuj</v>
          </cell>
          <cell r="D1838" t="str">
            <v>Corporate</v>
          </cell>
          <cell r="E1838" t="str">
            <v>Corporate</v>
          </cell>
          <cell r="AR1838">
            <v>25500</v>
          </cell>
        </row>
        <row r="1839">
          <cell r="A1839" t="str">
            <v>ETLCUST-03470</v>
          </cell>
          <cell r="B1839" t="str">
            <v>THE DHAKA MERCANTILE CO-OPERATIVE BANK LTD.</v>
          </cell>
          <cell r="C1839" t="str">
            <v>Abu Zahid Sobuj</v>
          </cell>
          <cell r="D1839" t="str">
            <v>Corporate</v>
          </cell>
          <cell r="E1839" t="str">
            <v>Corporate</v>
          </cell>
          <cell r="AF1839">
            <v>18420.91</v>
          </cell>
        </row>
        <row r="1840">
          <cell r="A1840" t="str">
            <v>ETLCUST-03593</v>
          </cell>
          <cell r="B1840" t="str">
            <v>THE EXPERT SOLUTIONS LTD. - MIRPUR</v>
          </cell>
          <cell r="C1840" t="str">
            <v>Md. Abdus Satter</v>
          </cell>
          <cell r="D1840" t="str">
            <v>HO-SI</v>
          </cell>
          <cell r="E1840" t="str">
            <v>HO-SI</v>
          </cell>
          <cell r="U1840">
            <v>68800</v>
          </cell>
        </row>
        <row r="1841">
          <cell r="A1841" t="str">
            <v>ETLCUST-02710</v>
          </cell>
          <cell r="B1841" t="str">
            <v>THE IBN SINA TRUST</v>
          </cell>
          <cell r="C1841" t="str">
            <v>Md. Anisur Rahman</v>
          </cell>
          <cell r="D1841" t="str">
            <v>Corporate</v>
          </cell>
          <cell r="E1841" t="str">
            <v>Corporate</v>
          </cell>
          <cell r="U1841">
            <v>120000</v>
          </cell>
        </row>
        <row r="1842">
          <cell r="A1842" t="str">
            <v>ETLCUST-04640</v>
          </cell>
          <cell r="B1842" t="str">
            <v xml:space="preserve">THE JR COMPUTER - MULTIPLAN </v>
          </cell>
          <cell r="C1842" t="str">
            <v>Md Nur Karim Chowdhury</v>
          </cell>
          <cell r="D1842" t="str">
            <v>Multiplan</v>
          </cell>
          <cell r="E1842" t="str">
            <v>Multiplan</v>
          </cell>
          <cell r="R1842">
            <v>10500</v>
          </cell>
        </row>
        <row r="1843">
          <cell r="A1843" t="str">
            <v>ETLCUST-04141</v>
          </cell>
          <cell r="B1843" t="str">
            <v>The Mihan Engineers - Mirpur</v>
          </cell>
          <cell r="C1843" t="str">
            <v>Amit Sarker</v>
          </cell>
          <cell r="D1843" t="str">
            <v>IDB</v>
          </cell>
          <cell r="E1843" t="str">
            <v>IDB</v>
          </cell>
          <cell r="T1843">
            <v>702900</v>
          </cell>
          <cell r="U1843">
            <v>42000</v>
          </cell>
          <cell r="X1843">
            <v>1404850</v>
          </cell>
          <cell r="AV1843">
            <v>316000</v>
          </cell>
          <cell r="BA1843">
            <v>5890</v>
          </cell>
        </row>
        <row r="1844">
          <cell r="A1844" t="str">
            <v>ETLCUST-01675</v>
          </cell>
          <cell r="B1844" t="str">
            <v>THE MOON ENTERPRISE - BORO MOGBAZAR</v>
          </cell>
          <cell r="C1844" t="str">
            <v>Md. Abdus Satter</v>
          </cell>
          <cell r="D1844" t="str">
            <v>HO-SI</v>
          </cell>
          <cell r="E1844" t="str">
            <v>HO-SI</v>
          </cell>
          <cell r="AA1844">
            <v>100000</v>
          </cell>
          <cell r="AV1844">
            <v>108000</v>
          </cell>
          <cell r="BA1844">
            <v>48800</v>
          </cell>
        </row>
        <row r="1845">
          <cell r="A1845" t="str">
            <v>ETLCUST-04292</v>
          </cell>
          <cell r="B1845" t="str">
            <v>THE PREMIER BANK PLC.</v>
          </cell>
          <cell r="C1845" t="str">
            <v>Mohammad Maruf Hasan</v>
          </cell>
          <cell r="D1845" t="str">
            <v>Corporate</v>
          </cell>
          <cell r="E1845" t="str">
            <v>Corporate</v>
          </cell>
          <cell r="U1845">
            <v>100000</v>
          </cell>
        </row>
        <row r="1846">
          <cell r="A1846" t="str">
            <v>ETLCUST-01110</v>
          </cell>
          <cell r="B1846" t="str">
            <v>THE SOLUTIONS - IDB</v>
          </cell>
          <cell r="C1846" t="str">
            <v>Amit Sarker</v>
          </cell>
          <cell r="D1846" t="str">
            <v>IDB</v>
          </cell>
          <cell r="E1846" t="str">
            <v>IDB</v>
          </cell>
          <cell r="BA1846">
            <v>17250</v>
          </cell>
        </row>
        <row r="1847">
          <cell r="A1847" t="str">
            <v>ETLCUST-05438</v>
          </cell>
          <cell r="B1847" t="str">
            <v>TICON SYSTEM LIMITED</v>
          </cell>
          <cell r="C1847" t="str">
            <v>Mohammad Maruf Hasan</v>
          </cell>
          <cell r="D1847" t="str">
            <v>Corporate</v>
          </cell>
          <cell r="E1847" t="str">
            <v>Corporate</v>
          </cell>
          <cell r="P1847">
            <v>22400</v>
          </cell>
          <cell r="U1847">
            <v>385000</v>
          </cell>
        </row>
        <row r="1848">
          <cell r="A1848" t="str">
            <v>ETLCUST-00918</v>
          </cell>
          <cell r="B1848" t="str">
            <v>TIPTOP COMPUTER - CHUADANGA</v>
          </cell>
          <cell r="C1848" t="str">
            <v>Md. Hasanuzzaman</v>
          </cell>
          <cell r="D1848" t="str">
            <v>South Bengal</v>
          </cell>
          <cell r="E1848" t="str">
            <v>South Bengal</v>
          </cell>
          <cell r="G1848">
            <v>48400</v>
          </cell>
          <cell r="AM1848">
            <v>10750</v>
          </cell>
          <cell r="BA1848">
            <v>38350</v>
          </cell>
        </row>
        <row r="1849">
          <cell r="A1849" t="str">
            <v>ETLCUST-01432</v>
          </cell>
          <cell r="B1849" t="str">
            <v>TL TELECOM - KONABARI</v>
          </cell>
          <cell r="C1849" t="str">
            <v>MD. Shipon Ali</v>
          </cell>
          <cell r="D1849" t="str">
            <v>Uttara</v>
          </cell>
          <cell r="E1849" t="str">
            <v>Uttara</v>
          </cell>
          <cell r="G1849">
            <v>112000</v>
          </cell>
          <cell r="S1849">
            <v>0</v>
          </cell>
          <cell r="U1849">
            <v>69150</v>
          </cell>
          <cell r="V1849">
            <v>26000</v>
          </cell>
          <cell r="AL1849">
            <v>311425</v>
          </cell>
          <cell r="AM1849">
            <v>1450295</v>
          </cell>
          <cell r="AQ1849">
            <v>0</v>
          </cell>
          <cell r="AR1849">
            <v>4500</v>
          </cell>
          <cell r="AY1849">
            <v>6000</v>
          </cell>
          <cell r="AZ1849">
            <v>55000</v>
          </cell>
          <cell r="BA1849">
            <v>4240690</v>
          </cell>
        </row>
        <row r="1850">
          <cell r="A1850" t="str">
            <v>ETLCUST-05267</v>
          </cell>
          <cell r="B1850" t="str">
            <v>TM ELECTRONICS - NATORE</v>
          </cell>
          <cell r="C1850" t="str">
            <v>Md. Abu Basar</v>
          </cell>
          <cell r="D1850" t="str">
            <v>Rajshahi</v>
          </cell>
          <cell r="E1850" t="str">
            <v>Rajshahi</v>
          </cell>
          <cell r="X1850">
            <v>43000</v>
          </cell>
          <cell r="AK1850">
            <v>43000</v>
          </cell>
        </row>
        <row r="1851">
          <cell r="A1851" t="str">
            <v>ETLCUST-04407</v>
          </cell>
          <cell r="B1851" t="str">
            <v>TOGGI SERVICES LIMITED - BASHUNDHARA</v>
          </cell>
          <cell r="C1851" t="str">
            <v>Liton Biswas</v>
          </cell>
          <cell r="D1851" t="str">
            <v>HO-SI</v>
          </cell>
          <cell r="E1851" t="str">
            <v>HO-SI</v>
          </cell>
          <cell r="R1851">
            <v>101000</v>
          </cell>
          <cell r="U1851">
            <v>35000</v>
          </cell>
          <cell r="Y1851">
            <v>15000</v>
          </cell>
          <cell r="AA1851">
            <v>957500</v>
          </cell>
          <cell r="AT1851">
            <v>1245000</v>
          </cell>
          <cell r="AV1851">
            <v>1780000</v>
          </cell>
        </row>
        <row r="1852">
          <cell r="A1852" t="str">
            <v>ETLCUST-00989</v>
          </cell>
          <cell r="B1852" t="str">
            <v>TOKEN RING - BOGRA</v>
          </cell>
          <cell r="C1852" t="str">
            <v>Md Shahidul Islam</v>
          </cell>
          <cell r="D1852" t="str">
            <v>North Bengal</v>
          </cell>
          <cell r="E1852" t="str">
            <v>North Bengal</v>
          </cell>
          <cell r="G1852">
            <v>112000</v>
          </cell>
          <cell r="R1852">
            <v>93700</v>
          </cell>
          <cell r="U1852">
            <v>78600</v>
          </cell>
          <cell r="AO1852">
            <v>10800</v>
          </cell>
          <cell r="BA1852">
            <v>77520</v>
          </cell>
        </row>
        <row r="1853">
          <cell r="A1853" t="str">
            <v>ETLCUST-05155</v>
          </cell>
          <cell r="B1853" t="str">
            <v>TOKYU-MIL JOINT VENTURE</v>
          </cell>
          <cell r="C1853" t="str">
            <v>Nazir Ahmod</v>
          </cell>
          <cell r="D1853" t="str">
            <v>Corporate</v>
          </cell>
          <cell r="E1853" t="str">
            <v>Corporate</v>
          </cell>
          <cell r="AD1853">
            <v>8500</v>
          </cell>
        </row>
        <row r="1854">
          <cell r="A1854" t="str">
            <v>ETLCUST-03362</v>
          </cell>
          <cell r="B1854" t="str">
            <v>TONIK COMPUTER - CHUADANGA</v>
          </cell>
          <cell r="C1854" t="str">
            <v>Md. Hasanuzzaman</v>
          </cell>
          <cell r="D1854" t="str">
            <v>South Bengal</v>
          </cell>
          <cell r="E1854" t="str">
            <v>South Bengal</v>
          </cell>
          <cell r="G1854">
            <v>28000</v>
          </cell>
          <cell r="T1854">
            <v>5500</v>
          </cell>
          <cell r="AL1854">
            <v>1990</v>
          </cell>
        </row>
        <row r="1855">
          <cell r="A1855" t="str">
            <v>ETLCUST-04878</v>
          </cell>
          <cell r="B1855" t="str">
            <v>TOP ELECTRONICS - UTTARA</v>
          </cell>
          <cell r="C1855" t="str">
            <v>Dulal Sarker</v>
          </cell>
          <cell r="D1855" t="str">
            <v>Uttara</v>
          </cell>
          <cell r="E1855" t="str">
            <v>Uttara</v>
          </cell>
          <cell r="AZ1855">
            <v>243750</v>
          </cell>
        </row>
        <row r="1856">
          <cell r="A1856" t="str">
            <v>ETLCUST-01865</v>
          </cell>
          <cell r="B1856" t="str">
            <v>TORSA ICT - MOTIJHEEL</v>
          </cell>
          <cell r="C1856" t="str">
            <v>Md. Sahedul Islam</v>
          </cell>
          <cell r="D1856" t="str">
            <v>Motijheel</v>
          </cell>
          <cell r="E1856" t="str">
            <v>Motijheel</v>
          </cell>
          <cell r="U1856">
            <v>41300</v>
          </cell>
          <cell r="AT1856">
            <v>8700</v>
          </cell>
        </row>
        <row r="1857">
          <cell r="A1857" t="str">
            <v>ETLCUST-01134</v>
          </cell>
          <cell r="B1857" t="str">
            <v>TOTAL SOLUTION PLUS - KAFRUL</v>
          </cell>
          <cell r="C1857" t="str">
            <v>Amit Sarker</v>
          </cell>
          <cell r="D1857" t="str">
            <v>IDB</v>
          </cell>
          <cell r="E1857" t="str">
            <v>IDB</v>
          </cell>
          <cell r="AM1857">
            <v>66155</v>
          </cell>
          <cell r="BA1857">
            <v>83180</v>
          </cell>
        </row>
        <row r="1858">
          <cell r="A1858" t="str">
            <v>ETLCUST-04773</v>
          </cell>
          <cell r="B1858" t="str">
            <v>TOTAL THREE SIXTY - MIRPUR</v>
          </cell>
          <cell r="C1858" t="str">
            <v>Fajle Rabbi</v>
          </cell>
          <cell r="D1858" t="str">
            <v>IDB</v>
          </cell>
          <cell r="E1858" t="str">
            <v>IDB</v>
          </cell>
          <cell r="AK1858">
            <v>142000</v>
          </cell>
          <cell r="AR1858">
            <v>104000</v>
          </cell>
          <cell r="BA1858">
            <v>4950</v>
          </cell>
        </row>
        <row r="1859">
          <cell r="A1859" t="str">
            <v>ETLCUST-01562</v>
          </cell>
          <cell r="B1859" t="str">
            <v>TOUCH AND SOLVE  - MIRPUR</v>
          </cell>
          <cell r="C1859" t="str">
            <v>Md. Abdus Satter</v>
          </cell>
          <cell r="D1859" t="str">
            <v>HO-SI</v>
          </cell>
          <cell r="E1859" t="str">
            <v>HO-SI</v>
          </cell>
          <cell r="X1859">
            <v>3209410</v>
          </cell>
        </row>
        <row r="1860">
          <cell r="A1860" t="str">
            <v>ETLCUST-00798</v>
          </cell>
          <cell r="B1860" t="str">
            <v>TOUCH COMPUTER - RAJSHAHI</v>
          </cell>
          <cell r="C1860" t="str">
            <v>Ahmed Bulbul</v>
          </cell>
          <cell r="D1860" t="str">
            <v>Rajshahi</v>
          </cell>
          <cell r="E1860" t="str">
            <v>Rajshahi</v>
          </cell>
          <cell r="R1860">
            <v>17500</v>
          </cell>
          <cell r="AM1860">
            <v>66685</v>
          </cell>
          <cell r="AR1860">
            <v>15000</v>
          </cell>
          <cell r="BA1860">
            <v>195785</v>
          </cell>
        </row>
        <row r="1861">
          <cell r="A1861" t="str">
            <v>ETLCUST-02991</v>
          </cell>
          <cell r="B1861" t="str">
            <v>TOUCH ONLINE - CTG</v>
          </cell>
          <cell r="C1861" t="str">
            <v>Manjurul Huda Parvez</v>
          </cell>
          <cell r="D1861" t="str">
            <v>CTG</v>
          </cell>
          <cell r="E1861" t="str">
            <v>CTG</v>
          </cell>
          <cell r="BA1861">
            <v>7200</v>
          </cell>
        </row>
        <row r="1862">
          <cell r="A1862" t="str">
            <v>ETLCUST-03205</v>
          </cell>
          <cell r="B1862" t="str">
            <v>TOUCH POWER &amp; TECHNOLOGY -KONBARI</v>
          </cell>
          <cell r="C1862" t="str">
            <v>MD. Shipon Ali</v>
          </cell>
          <cell r="D1862" t="str">
            <v>Uttara</v>
          </cell>
          <cell r="E1862" t="str">
            <v>Uttara</v>
          </cell>
          <cell r="AQ1862">
            <v>0</v>
          </cell>
        </row>
        <row r="1863">
          <cell r="A1863" t="str">
            <v>ETLCUST-00217</v>
          </cell>
          <cell r="B1863" t="str">
            <v>TR COMPUTER - E.ROAD</v>
          </cell>
          <cell r="C1863" t="str">
            <v>Md Rabiul Islam</v>
          </cell>
          <cell r="D1863" t="str">
            <v>DHB</v>
          </cell>
          <cell r="E1863" t="str">
            <v>DHB</v>
          </cell>
          <cell r="G1863">
            <v>4584800</v>
          </cell>
          <cell r="S1863">
            <v>0</v>
          </cell>
          <cell r="U1863">
            <v>85000</v>
          </cell>
          <cell r="AL1863">
            <v>1411600</v>
          </cell>
          <cell r="AM1863">
            <v>2789655</v>
          </cell>
          <cell r="AQ1863">
            <v>0</v>
          </cell>
          <cell r="AR1863">
            <v>92880</v>
          </cell>
          <cell r="BA1863">
            <v>48162125</v>
          </cell>
        </row>
        <row r="1864">
          <cell r="A1864" t="str">
            <v>ETLCUST-02830</v>
          </cell>
          <cell r="B1864" t="str">
            <v>TR IT SOLUTION - E.ROAD</v>
          </cell>
          <cell r="C1864" t="str">
            <v>Md Shamim Miah</v>
          </cell>
          <cell r="D1864" t="str">
            <v>DHB</v>
          </cell>
          <cell r="E1864" t="str">
            <v>DHB</v>
          </cell>
          <cell r="AO1864">
            <v>618725</v>
          </cell>
        </row>
        <row r="1865">
          <cell r="A1865" t="str">
            <v>ETLCUST-04272</v>
          </cell>
          <cell r="B1865" t="str">
            <v>TRADE BD - CTG</v>
          </cell>
          <cell r="C1865" t="str">
            <v>Shahidul Alam Chowdhury</v>
          </cell>
          <cell r="D1865" t="str">
            <v>CTG</v>
          </cell>
          <cell r="E1865" t="str">
            <v>CTG</v>
          </cell>
          <cell r="G1865">
            <v>5000</v>
          </cell>
          <cell r="P1865">
            <v>32100</v>
          </cell>
          <cell r="R1865">
            <v>20900</v>
          </cell>
          <cell r="U1865">
            <v>22000</v>
          </cell>
          <cell r="X1865">
            <v>51100</v>
          </cell>
          <cell r="AL1865">
            <v>5170</v>
          </cell>
          <cell r="AP1865">
            <v>11500</v>
          </cell>
          <cell r="AR1865">
            <v>7000</v>
          </cell>
          <cell r="AV1865">
            <v>113700</v>
          </cell>
          <cell r="BA1865">
            <v>143555</v>
          </cell>
        </row>
        <row r="1866">
          <cell r="A1866" t="str">
            <v>ETLCUST-04114</v>
          </cell>
          <cell r="B1866" t="str">
            <v>TRADE CENTER - NAOGAON</v>
          </cell>
          <cell r="C1866" t="str">
            <v>Md. Abu Basar</v>
          </cell>
          <cell r="D1866" t="str">
            <v>Rajshahi</v>
          </cell>
          <cell r="E1866" t="str">
            <v>Rajshahi</v>
          </cell>
          <cell r="AM1866">
            <v>20890</v>
          </cell>
          <cell r="AO1866">
            <v>4500</v>
          </cell>
          <cell r="BA1866">
            <v>13800</v>
          </cell>
        </row>
        <row r="1867">
          <cell r="A1867" t="str">
            <v>ETLCUST-01883</v>
          </cell>
          <cell r="B1867" t="str">
            <v>TRADE LINK INTERNATIONAL - PALTAN</v>
          </cell>
          <cell r="C1867" t="str">
            <v>Md. Akram Rashid</v>
          </cell>
          <cell r="D1867" t="str">
            <v>Motijheel</v>
          </cell>
          <cell r="E1867" t="str">
            <v>Motijheel</v>
          </cell>
          <cell r="R1867">
            <v>495000</v>
          </cell>
        </row>
        <row r="1868">
          <cell r="A1868" t="str">
            <v>ETLCUST-05164</v>
          </cell>
          <cell r="B1868" t="str">
            <v xml:space="preserve">TRADING PEOPLE- SHEWRAPARA </v>
          </cell>
          <cell r="C1868" t="str">
            <v>Liton Biswas</v>
          </cell>
          <cell r="D1868" t="str">
            <v>HO-SI</v>
          </cell>
          <cell r="E1868" t="str">
            <v>HO-SI</v>
          </cell>
          <cell r="U1868">
            <v>7400</v>
          </cell>
        </row>
        <row r="1869">
          <cell r="A1869" t="str">
            <v>ETLCUST-03769</v>
          </cell>
          <cell r="B1869" t="str">
            <v>TRANS TECHNOLOGY - STADIUM MARKET</v>
          </cell>
          <cell r="C1869" t="str">
            <v>Hridoy Chandra Das</v>
          </cell>
          <cell r="D1869" t="str">
            <v>Motijheel</v>
          </cell>
          <cell r="E1869" t="str">
            <v>Motijheel</v>
          </cell>
          <cell r="G1869">
            <v>23500</v>
          </cell>
          <cell r="I1869">
            <v>220900</v>
          </cell>
          <cell r="AM1869">
            <v>1565</v>
          </cell>
          <cell r="AP1869">
            <v>202000</v>
          </cell>
          <cell r="AR1869">
            <v>59000</v>
          </cell>
          <cell r="AV1869">
            <v>1055000</v>
          </cell>
          <cell r="BA1869">
            <v>65500</v>
          </cell>
        </row>
        <row r="1870">
          <cell r="A1870" t="str">
            <v>ETLCUST-03012</v>
          </cell>
          <cell r="B1870" t="str">
            <v xml:space="preserve">TREND BANGLA NET - MULTIPLAN </v>
          </cell>
          <cell r="C1870" t="str">
            <v>Md Mokshed Ali</v>
          </cell>
          <cell r="D1870" t="str">
            <v>Multiplan</v>
          </cell>
          <cell r="E1870" t="str">
            <v>Multiplan</v>
          </cell>
          <cell r="AV1870">
            <v>435000</v>
          </cell>
        </row>
        <row r="1871">
          <cell r="A1871" t="str">
            <v>ETLCUST-00577</v>
          </cell>
          <cell r="B1871" t="str">
            <v>TRIMATRIK MULTIMEDIA - UTTARA</v>
          </cell>
          <cell r="C1871" t="str">
            <v>Dulal Sarker</v>
          </cell>
          <cell r="D1871" t="str">
            <v>Uttara</v>
          </cell>
          <cell r="E1871" t="str">
            <v>Uttara</v>
          </cell>
          <cell r="U1871">
            <v>529600</v>
          </cell>
          <cell r="X1871">
            <v>532500</v>
          </cell>
        </row>
        <row r="1872">
          <cell r="A1872" t="str">
            <v>ETLCUST-04604</v>
          </cell>
          <cell r="B1872" t="str">
            <v>TRIPLE IT SOLUTIONS  - E.ROAD</v>
          </cell>
          <cell r="C1872" t="str">
            <v>Md Shamim Miah</v>
          </cell>
          <cell r="D1872" t="str">
            <v>DHB</v>
          </cell>
          <cell r="E1872" t="str">
            <v>DHB</v>
          </cell>
          <cell r="G1872">
            <v>20000</v>
          </cell>
        </row>
        <row r="1873">
          <cell r="A1873" t="str">
            <v>ETLCUST-02523</v>
          </cell>
          <cell r="B1873" t="str">
            <v>TRUST BANK PLC.</v>
          </cell>
          <cell r="C1873" t="str">
            <v>Sabbir Ahmed</v>
          </cell>
          <cell r="D1873" t="str">
            <v>Corporate</v>
          </cell>
          <cell r="E1873" t="str">
            <v>Corporate</v>
          </cell>
          <cell r="S1873">
            <v>5350</v>
          </cell>
          <cell r="V1873">
            <v>17200</v>
          </cell>
          <cell r="Y1873">
            <v>852800</v>
          </cell>
          <cell r="AJ1873">
            <v>4100</v>
          </cell>
        </row>
        <row r="1874">
          <cell r="A1874" t="str">
            <v>ETLCUST-01460</v>
          </cell>
          <cell r="B1874" t="str">
            <v>TRUST COMPUTER - BARISAL</v>
          </cell>
          <cell r="C1874" t="str">
            <v>Shah Imran</v>
          </cell>
          <cell r="D1874" t="str">
            <v>South Bengal</v>
          </cell>
          <cell r="E1874" t="str">
            <v>South Bengal</v>
          </cell>
          <cell r="P1874">
            <v>12800</v>
          </cell>
          <cell r="R1874">
            <v>166680</v>
          </cell>
          <cell r="T1874">
            <v>760</v>
          </cell>
          <cell r="X1874">
            <v>118650</v>
          </cell>
          <cell r="AL1874">
            <v>23590</v>
          </cell>
          <cell r="AM1874">
            <v>4880</v>
          </cell>
          <cell r="BA1874">
            <v>111200</v>
          </cell>
        </row>
        <row r="1875">
          <cell r="A1875" t="str">
            <v>ETLCUST-00626</v>
          </cell>
          <cell r="B1875" t="str">
            <v>TRUST COMPUTER - RANGPUR</v>
          </cell>
          <cell r="C1875" t="str">
            <v>Md Abdullah Al Mamun</v>
          </cell>
          <cell r="D1875" t="str">
            <v>North Bengal</v>
          </cell>
          <cell r="E1875" t="str">
            <v>North Bengal</v>
          </cell>
          <cell r="T1875">
            <v>19800</v>
          </cell>
          <cell r="X1875">
            <v>191300</v>
          </cell>
          <cell r="AL1875">
            <v>35800</v>
          </cell>
          <cell r="AM1875">
            <v>1520</v>
          </cell>
          <cell r="BA1875">
            <v>171575</v>
          </cell>
        </row>
        <row r="1876">
          <cell r="A1876" t="str">
            <v>ETLCUST-00239</v>
          </cell>
          <cell r="B1876" t="str">
            <v>TRUST COMPUTER - SYLHET</v>
          </cell>
          <cell r="C1876" t="str">
            <v>Kunjaraj Singha</v>
          </cell>
          <cell r="D1876" t="str">
            <v>Sylhet</v>
          </cell>
          <cell r="E1876" t="str">
            <v>Sylhet</v>
          </cell>
          <cell r="R1876">
            <v>15000</v>
          </cell>
          <cell r="AT1876">
            <v>22000</v>
          </cell>
        </row>
        <row r="1877">
          <cell r="A1877" t="str">
            <v>ETLCUST-00143</v>
          </cell>
          <cell r="B1877" t="str">
            <v>TRUST COMPUTER - UTTARA</v>
          </cell>
          <cell r="C1877" t="str">
            <v>Dulal Sarker</v>
          </cell>
          <cell r="D1877" t="str">
            <v>Uttara</v>
          </cell>
          <cell r="E1877" t="str">
            <v>Uttara</v>
          </cell>
          <cell r="R1877">
            <v>57000</v>
          </cell>
          <cell r="U1877">
            <v>184800</v>
          </cell>
          <cell r="Y1877">
            <v>230000</v>
          </cell>
          <cell r="AJ1877">
            <v>696000</v>
          </cell>
          <cell r="AM1877">
            <v>850</v>
          </cell>
          <cell r="AT1877">
            <v>332700</v>
          </cell>
          <cell r="BA1877">
            <v>52625</v>
          </cell>
        </row>
        <row r="1878">
          <cell r="A1878" t="str">
            <v>ETLCUST-00308</v>
          </cell>
          <cell r="B1878" t="str">
            <v>TRUST INTERNATIONAL TECHNOLOGY - MULTIPLAN</v>
          </cell>
          <cell r="C1878" t="str">
            <v>Md. Anamul Hoque</v>
          </cell>
          <cell r="D1878" t="str">
            <v>Multiplan</v>
          </cell>
          <cell r="E1878" t="str">
            <v>Multiplan</v>
          </cell>
          <cell r="I1878">
            <v>2250</v>
          </cell>
          <cell r="R1878">
            <v>2290000</v>
          </cell>
          <cell r="AF1878">
            <v>-66000</v>
          </cell>
          <cell r="AT1878">
            <v>322700</v>
          </cell>
        </row>
        <row r="1879">
          <cell r="A1879" t="str">
            <v>ETLCUST-03126</v>
          </cell>
          <cell r="B1879" t="str">
            <v>TRUST IT SOLUTION - MOTIJHEEL</v>
          </cell>
          <cell r="C1879" t="str">
            <v>Md. Akram Rashid</v>
          </cell>
          <cell r="D1879" t="str">
            <v>Motijheel</v>
          </cell>
          <cell r="E1879" t="str">
            <v>Motijheel</v>
          </cell>
          <cell r="X1879">
            <v>182500</v>
          </cell>
        </row>
        <row r="1880">
          <cell r="A1880" t="str">
            <v>ETLCUST-03964</v>
          </cell>
          <cell r="B1880" t="str">
            <v>TRUST TECH-CTG</v>
          </cell>
          <cell r="C1880" t="str">
            <v>Mohammad Mamunur Rashid</v>
          </cell>
          <cell r="D1880" t="str">
            <v>CTG</v>
          </cell>
          <cell r="E1880" t="str">
            <v>CTG</v>
          </cell>
          <cell r="U1880">
            <v>3500</v>
          </cell>
        </row>
        <row r="1881">
          <cell r="A1881" t="str">
            <v>ETLCUST-00339</v>
          </cell>
          <cell r="B1881" t="str">
            <v>TRUST TECHNOLOGIES - BADDA</v>
          </cell>
          <cell r="C1881" t="str">
            <v>Jiku Saha</v>
          </cell>
          <cell r="D1881" t="str">
            <v>Uttara</v>
          </cell>
          <cell r="E1881" t="str">
            <v>Uttara</v>
          </cell>
          <cell r="P1881">
            <v>32500</v>
          </cell>
          <cell r="R1881">
            <v>417500</v>
          </cell>
          <cell r="S1881">
            <v>0</v>
          </cell>
          <cell r="V1881">
            <v>11200</v>
          </cell>
          <cell r="X1881">
            <v>60500</v>
          </cell>
          <cell r="AM1881">
            <v>4450</v>
          </cell>
          <cell r="AR1881">
            <v>17000</v>
          </cell>
          <cell r="AV1881">
            <v>91300</v>
          </cell>
          <cell r="BA1881">
            <v>594740</v>
          </cell>
        </row>
        <row r="1882">
          <cell r="A1882" t="str">
            <v>ETLCUST-01288</v>
          </cell>
          <cell r="B1882" t="str">
            <v>TS COMPUTER - MYMENSINGH</v>
          </cell>
          <cell r="C1882" t="str">
            <v>Rafiqul Islam Sumon</v>
          </cell>
          <cell r="D1882" t="str">
            <v>Mymensingh</v>
          </cell>
          <cell r="E1882" t="str">
            <v>Mymensingh</v>
          </cell>
          <cell r="O1882">
            <v>14300</v>
          </cell>
          <cell r="R1882">
            <v>192020</v>
          </cell>
          <cell r="T1882">
            <v>120600</v>
          </cell>
          <cell r="U1882">
            <v>15400</v>
          </cell>
          <cell r="X1882">
            <v>350250</v>
          </cell>
          <cell r="AM1882">
            <v>425</v>
          </cell>
          <cell r="AS1882">
            <v>514000</v>
          </cell>
          <cell r="BA1882">
            <v>210310</v>
          </cell>
        </row>
        <row r="1883">
          <cell r="A1883" t="str">
            <v>ETLCUST-02526</v>
          </cell>
          <cell r="B1883" t="str">
            <v>TSL TECHNOLOGIES BD</v>
          </cell>
          <cell r="C1883" t="str">
            <v>Ashraful Islam</v>
          </cell>
          <cell r="D1883" t="str">
            <v>Corporate</v>
          </cell>
          <cell r="E1883" t="str">
            <v>Corporate</v>
          </cell>
          <cell r="H1883">
            <v>65000</v>
          </cell>
          <cell r="AV1883">
            <v>83500</v>
          </cell>
        </row>
        <row r="1884">
          <cell r="A1884" t="str">
            <v>ETLCUST-03704</v>
          </cell>
          <cell r="B1884" t="str">
            <v>TUBA TRADE INTERNATIONAL - MOTIJHEEL</v>
          </cell>
          <cell r="C1884" t="str">
            <v>Hridoy Chandra Das</v>
          </cell>
          <cell r="D1884" t="str">
            <v>Motijheel</v>
          </cell>
          <cell r="E1884" t="str">
            <v>Motijheel</v>
          </cell>
          <cell r="O1884">
            <v>51600</v>
          </cell>
          <cell r="R1884">
            <v>1487200</v>
          </cell>
          <cell r="AT1884">
            <v>148300</v>
          </cell>
        </row>
        <row r="1885">
          <cell r="A1885" t="str">
            <v>ETLCUST-04627</v>
          </cell>
          <cell r="B1885" t="str">
            <v>TULI COMPUTER'S - SHERPUR</v>
          </cell>
          <cell r="C1885" t="str">
            <v>Rafiqul Islam Sumon</v>
          </cell>
          <cell r="D1885" t="str">
            <v>Mymensingh</v>
          </cell>
          <cell r="E1885" t="str">
            <v>Mymensingh</v>
          </cell>
          <cell r="L1885">
            <v>17000</v>
          </cell>
          <cell r="P1885">
            <v>6400</v>
          </cell>
          <cell r="S1885">
            <v>0</v>
          </cell>
          <cell r="T1885">
            <v>19700</v>
          </cell>
          <cell r="X1885">
            <v>152450</v>
          </cell>
          <cell r="AK1885">
            <v>17000</v>
          </cell>
          <cell r="AL1885">
            <v>37390</v>
          </cell>
          <cell r="AM1885">
            <v>179880</v>
          </cell>
          <cell r="AO1885">
            <v>23000</v>
          </cell>
          <cell r="BA1885">
            <v>215990</v>
          </cell>
        </row>
        <row r="1886">
          <cell r="A1886" t="str">
            <v>ETLCUST-00269</v>
          </cell>
          <cell r="B1886" t="str">
            <v>TULIP COMPUTERS - SYLHET</v>
          </cell>
          <cell r="C1886" t="str">
            <v>Kunjaraj Singha</v>
          </cell>
          <cell r="D1886" t="str">
            <v>Sylhet</v>
          </cell>
          <cell r="E1886" t="str">
            <v>Sylhet</v>
          </cell>
          <cell r="P1886">
            <v>3200</v>
          </cell>
          <cell r="AM1886">
            <v>7100</v>
          </cell>
          <cell r="BA1886">
            <v>0</v>
          </cell>
        </row>
        <row r="1887">
          <cell r="A1887" t="str">
            <v>ETLCUST-02529</v>
          </cell>
          <cell r="B1887" t="str">
            <v>TUSUKA APPARELS LTD.</v>
          </cell>
          <cell r="C1887" t="str">
            <v>Ashraful Islam</v>
          </cell>
          <cell r="D1887" t="str">
            <v>Corporate</v>
          </cell>
          <cell r="E1887" t="str">
            <v>Corporate</v>
          </cell>
          <cell r="AD1887">
            <v>15800</v>
          </cell>
        </row>
        <row r="1888">
          <cell r="A1888" t="str">
            <v>ETLCUST-02530</v>
          </cell>
          <cell r="B1888" t="str">
            <v>TUSUKA DENIM LTD.</v>
          </cell>
          <cell r="C1888" t="str">
            <v>Ashraful Islam</v>
          </cell>
          <cell r="D1888" t="str">
            <v>Corporate</v>
          </cell>
          <cell r="E1888" t="str">
            <v>Corporate</v>
          </cell>
          <cell r="AD1888">
            <v>79000</v>
          </cell>
        </row>
        <row r="1889">
          <cell r="A1889" t="str">
            <v>ETLCUST-02531</v>
          </cell>
          <cell r="B1889" t="str">
            <v>TUSUKA FASHIONS LTD.</v>
          </cell>
          <cell r="C1889" t="str">
            <v>Ashraful Islam</v>
          </cell>
          <cell r="D1889" t="str">
            <v>Corporate</v>
          </cell>
          <cell r="E1889" t="str">
            <v>Corporate</v>
          </cell>
          <cell r="AD1889">
            <v>566100</v>
          </cell>
          <cell r="AT1889">
            <v>24500</v>
          </cell>
        </row>
        <row r="1890">
          <cell r="A1890" t="str">
            <v>ETLCUST-02532</v>
          </cell>
          <cell r="B1890" t="str">
            <v>TUSUKA JEANS LTD.</v>
          </cell>
          <cell r="C1890" t="str">
            <v>Ashraful Islam</v>
          </cell>
          <cell r="D1890" t="str">
            <v>Corporate</v>
          </cell>
          <cell r="E1890" t="str">
            <v>Corporate</v>
          </cell>
          <cell r="AD1890">
            <v>102700</v>
          </cell>
        </row>
        <row r="1891">
          <cell r="A1891" t="str">
            <v>ETLCUST-02534</v>
          </cell>
          <cell r="B1891" t="str">
            <v>TUSUKA PROCESSING LTD.</v>
          </cell>
          <cell r="C1891" t="str">
            <v>Ashraful Islam</v>
          </cell>
          <cell r="D1891" t="str">
            <v>Corporate</v>
          </cell>
          <cell r="E1891" t="str">
            <v>Corporate</v>
          </cell>
          <cell r="AD1891">
            <v>199400</v>
          </cell>
        </row>
        <row r="1892">
          <cell r="A1892" t="str">
            <v>ETLCUST-02535</v>
          </cell>
          <cell r="B1892" t="str">
            <v>TUSUKA STITCHES LTD.</v>
          </cell>
          <cell r="C1892" t="str">
            <v>Ashraful Islam</v>
          </cell>
          <cell r="D1892" t="str">
            <v>Corporate</v>
          </cell>
          <cell r="E1892" t="str">
            <v>Corporate</v>
          </cell>
          <cell r="AD1892">
            <v>63200</v>
          </cell>
        </row>
        <row r="1893">
          <cell r="A1893" t="str">
            <v>ETLCUST-02536</v>
          </cell>
          <cell r="B1893" t="str">
            <v>TUSUKA TROUSERS LTD.</v>
          </cell>
          <cell r="C1893" t="str">
            <v>Ashraful Islam</v>
          </cell>
          <cell r="D1893" t="str">
            <v>Corporate</v>
          </cell>
          <cell r="E1893" t="str">
            <v>Corporate</v>
          </cell>
          <cell r="AD1893">
            <v>141900</v>
          </cell>
        </row>
        <row r="1894">
          <cell r="A1894" t="str">
            <v>ETLCUST-02537</v>
          </cell>
          <cell r="B1894" t="str">
            <v>TUSUKA WASHING LTD.</v>
          </cell>
          <cell r="C1894" t="str">
            <v>Ashraful Islam</v>
          </cell>
          <cell r="D1894" t="str">
            <v>Corporate</v>
          </cell>
          <cell r="E1894" t="str">
            <v>Corporate</v>
          </cell>
          <cell r="AD1894">
            <v>79000</v>
          </cell>
        </row>
        <row r="1895">
          <cell r="A1895" t="str">
            <v>ETLCUST-05367</v>
          </cell>
          <cell r="B1895" t="str">
            <v>TWINBIC ELECTRONICS &amp; APPLIANCE- MOULVIBAZAR</v>
          </cell>
          <cell r="C1895" t="str">
            <v>Sanwar Husen</v>
          </cell>
          <cell r="D1895" t="str">
            <v>Sylhet</v>
          </cell>
          <cell r="E1895" t="str">
            <v>Sylhet</v>
          </cell>
          <cell r="T1895">
            <v>20950</v>
          </cell>
          <cell r="X1895">
            <v>118050</v>
          </cell>
        </row>
        <row r="1896">
          <cell r="A1896" t="str">
            <v>ETLCUST-01886</v>
          </cell>
          <cell r="B1896" t="str">
            <v>U.H COMPUTERS - MOTIJHEEL</v>
          </cell>
          <cell r="C1896" t="str">
            <v>Hridoy Chandra Das</v>
          </cell>
          <cell r="D1896" t="str">
            <v>Motijheel</v>
          </cell>
          <cell r="E1896" t="str">
            <v>Motijheel</v>
          </cell>
          <cell r="O1896">
            <v>22000</v>
          </cell>
          <cell r="P1896">
            <v>1682400</v>
          </cell>
          <cell r="R1896">
            <v>746500</v>
          </cell>
          <cell r="S1896">
            <v>0</v>
          </cell>
          <cell r="U1896">
            <v>70000</v>
          </cell>
          <cell r="V1896">
            <v>196100</v>
          </cell>
          <cell r="Y1896">
            <v>340400</v>
          </cell>
          <cell r="AD1896">
            <v>152200</v>
          </cell>
          <cell r="AF1896">
            <v>935000</v>
          </cell>
          <cell r="AJ1896">
            <v>5466200</v>
          </cell>
          <cell r="AK1896">
            <v>12000</v>
          </cell>
          <cell r="AL1896">
            <v>6625</v>
          </cell>
          <cell r="AM1896">
            <v>341490</v>
          </cell>
          <cell r="AO1896">
            <v>758025</v>
          </cell>
          <cell r="AR1896">
            <v>102300</v>
          </cell>
          <cell r="AT1896">
            <v>776000</v>
          </cell>
          <cell r="BA1896">
            <v>19962365</v>
          </cell>
        </row>
        <row r="1897">
          <cell r="A1897" t="str">
            <v>ETLCUST-00623</v>
          </cell>
          <cell r="B1897" t="str">
            <v>UC TECHNOLOGIES (BD)  - GAIBANDHA</v>
          </cell>
          <cell r="C1897" t="str">
            <v>Md Abdullah Al Mamun</v>
          </cell>
          <cell r="D1897" t="str">
            <v>North Bengal</v>
          </cell>
          <cell r="E1897" t="str">
            <v>North Bengal</v>
          </cell>
          <cell r="P1897">
            <v>97300</v>
          </cell>
          <cell r="R1897">
            <v>121300</v>
          </cell>
          <cell r="T1897">
            <v>174750</v>
          </cell>
          <cell r="U1897">
            <v>3500</v>
          </cell>
          <cell r="W1897">
            <v>-2600</v>
          </cell>
          <cell r="X1897">
            <v>208625</v>
          </cell>
          <cell r="Y1897">
            <v>200000</v>
          </cell>
          <cell r="AJ1897">
            <v>51850</v>
          </cell>
          <cell r="AL1897">
            <v>6630</v>
          </cell>
          <cell r="AM1897">
            <v>114165</v>
          </cell>
          <cell r="AO1897">
            <v>50800</v>
          </cell>
          <cell r="AQ1897">
            <v>0</v>
          </cell>
          <cell r="AT1897">
            <v>2500</v>
          </cell>
          <cell r="AZ1897">
            <v>98100</v>
          </cell>
          <cell r="BA1897">
            <v>364980</v>
          </cell>
        </row>
        <row r="1898">
          <cell r="A1898" t="str">
            <v>ETLCUST-05345</v>
          </cell>
          <cell r="B1898" t="str">
            <v>UCC INFRASTRUCTURE LTD.</v>
          </cell>
          <cell r="C1898" t="str">
            <v>Mohammad Maruf Hasan</v>
          </cell>
          <cell r="D1898" t="str">
            <v>Corporate</v>
          </cell>
          <cell r="E1898" t="str">
            <v>Corporate</v>
          </cell>
          <cell r="S1898">
            <v>10136.9</v>
          </cell>
          <cell r="X1898">
            <v>64700</v>
          </cell>
          <cell r="AR1898">
            <v>26500</v>
          </cell>
          <cell r="AY1898">
            <v>16321</v>
          </cell>
        </row>
        <row r="1899">
          <cell r="A1899" t="str">
            <v>ETLCUST-00306</v>
          </cell>
          <cell r="B1899" t="str">
            <v>ULTRA TECHNOLOGY - MULTIPLAN</v>
          </cell>
          <cell r="C1899" t="str">
            <v>Mohammad Mostofa</v>
          </cell>
          <cell r="D1899" t="str">
            <v>Multiplan</v>
          </cell>
          <cell r="E1899" t="str">
            <v>Multiplan</v>
          </cell>
          <cell r="P1899">
            <v>200400</v>
          </cell>
          <cell r="X1899">
            <v>55800</v>
          </cell>
        </row>
        <row r="1900">
          <cell r="A1900" t="str">
            <v>ETLCUST-05339</v>
          </cell>
          <cell r="B1900" t="str">
            <v>ULTRAGEN LIMITED - CHATTOGRAM</v>
          </cell>
          <cell r="C1900" t="str">
            <v>Manjurul Huda Parvez</v>
          </cell>
          <cell r="D1900" t="str">
            <v>CTG</v>
          </cell>
          <cell r="E1900" t="str">
            <v>CTG</v>
          </cell>
          <cell r="P1900">
            <v>3200</v>
          </cell>
          <cell r="T1900">
            <v>6000</v>
          </cell>
          <cell r="X1900">
            <v>129450</v>
          </cell>
          <cell r="AJ1900">
            <v>61965</v>
          </cell>
          <cell r="AL1900">
            <v>11800</v>
          </cell>
          <cell r="AM1900">
            <v>32500</v>
          </cell>
          <cell r="BA1900">
            <v>235425</v>
          </cell>
        </row>
        <row r="1901">
          <cell r="A1901" t="str">
            <v>ETLCUST-05246</v>
          </cell>
          <cell r="B1901" t="str">
            <v>UMBRELA - E.ROAD</v>
          </cell>
          <cell r="C1901" t="str">
            <v>Md Mokshed Ali</v>
          </cell>
          <cell r="D1901" t="str">
            <v>Multiplan</v>
          </cell>
          <cell r="E1901" t="str">
            <v>Multiplan</v>
          </cell>
          <cell r="AM1901">
            <v>2990</v>
          </cell>
        </row>
        <row r="1902">
          <cell r="A1902" t="str">
            <v>ETLCUST-03509</v>
          </cell>
          <cell r="B1902" t="str">
            <v>UNICO HOSPITALS PLC.</v>
          </cell>
          <cell r="C1902" t="str">
            <v>Sabbir Ahmed</v>
          </cell>
          <cell r="D1902" t="str">
            <v>Corporate</v>
          </cell>
          <cell r="E1902" t="str">
            <v>Corporate</v>
          </cell>
          <cell r="S1902">
            <v>36427.910000000003</v>
          </cell>
          <cell r="U1902">
            <v>56521.759999999995</v>
          </cell>
          <cell r="AY1902">
            <v>76651.06</v>
          </cell>
        </row>
        <row r="1903">
          <cell r="A1903" t="str">
            <v>ETLCUST-03564</v>
          </cell>
          <cell r="B1903" t="str">
            <v>UNICOM SERVICES - MULTIPLAN</v>
          </cell>
          <cell r="C1903" t="str">
            <v>Md Mokshed Ali</v>
          </cell>
          <cell r="D1903" t="str">
            <v>Multiplan</v>
          </cell>
          <cell r="E1903" t="str">
            <v>Multiplan</v>
          </cell>
          <cell r="U1903">
            <v>24840</v>
          </cell>
          <cell r="AL1903">
            <v>4770</v>
          </cell>
        </row>
        <row r="1904">
          <cell r="A1904" t="str">
            <v>ETLCUST-03970</v>
          </cell>
          <cell r="B1904" t="str">
            <v>Unified Network Solutions Ltd - Laboratory Road</v>
          </cell>
          <cell r="C1904" t="str">
            <v>Sabuj Das</v>
          </cell>
          <cell r="D1904" t="str">
            <v>HO-SI</v>
          </cell>
          <cell r="E1904" t="str">
            <v>HO-SI</v>
          </cell>
          <cell r="H1904">
            <v>43500</v>
          </cell>
          <cell r="U1904">
            <v>197000</v>
          </cell>
          <cell r="AA1904">
            <v>594000</v>
          </cell>
          <cell r="AJ1904">
            <v>493000</v>
          </cell>
          <cell r="AP1904">
            <v>101000</v>
          </cell>
          <cell r="AR1904">
            <v>213600</v>
          </cell>
        </row>
        <row r="1905">
          <cell r="A1905" t="str">
            <v>ETLCUST-04238</v>
          </cell>
          <cell r="B1905" t="str">
            <v>UNIFIRST TECHNOLOGY - GULISTAN</v>
          </cell>
          <cell r="C1905" t="str">
            <v>Shamim Hossain</v>
          </cell>
          <cell r="D1905" t="str">
            <v>Gulistan</v>
          </cell>
          <cell r="E1905" t="str">
            <v>Gulistan</v>
          </cell>
          <cell r="G1905">
            <v>2832000</v>
          </cell>
          <cell r="S1905">
            <v>0</v>
          </cell>
          <cell r="T1905">
            <v>1412950</v>
          </cell>
          <cell r="AL1905">
            <v>310200</v>
          </cell>
          <cell r="AM1905">
            <v>578590</v>
          </cell>
          <cell r="AQ1905">
            <v>0</v>
          </cell>
          <cell r="BA1905">
            <v>22799805</v>
          </cell>
        </row>
        <row r="1906">
          <cell r="A1906" t="str">
            <v>ETLCUST-02776</v>
          </cell>
          <cell r="B1906" t="str">
            <v>UNIMED UNIHEALTH PHARMACEUTICALS LIMITED.</v>
          </cell>
          <cell r="C1906" t="str">
            <v>Abu Zahid Sobuj</v>
          </cell>
          <cell r="D1906" t="str">
            <v>Corporate</v>
          </cell>
          <cell r="E1906" t="str">
            <v>Corporate</v>
          </cell>
          <cell r="R1906">
            <v>17500</v>
          </cell>
          <cell r="AD1906">
            <v>28000</v>
          </cell>
        </row>
        <row r="1907">
          <cell r="A1907" t="str">
            <v>ETLCUST-01851</v>
          </cell>
          <cell r="B1907" t="str">
            <v>UNION TECHNOLOGY - MULTIPLAN</v>
          </cell>
          <cell r="C1907" t="str">
            <v>Pran Krishna Gosh</v>
          </cell>
          <cell r="D1907" t="str">
            <v>Multiplan</v>
          </cell>
          <cell r="E1907" t="str">
            <v>Multiplan</v>
          </cell>
          <cell r="T1907">
            <v>7313400</v>
          </cell>
          <cell r="U1907">
            <v>15000</v>
          </cell>
          <cell r="X1907">
            <v>80537050</v>
          </cell>
          <cell r="AL1907">
            <v>112350</v>
          </cell>
        </row>
        <row r="1908">
          <cell r="A1908" t="str">
            <v>ETLCUST-04144</v>
          </cell>
          <cell r="B1908" t="str">
            <v>UNIQUE COMPUTER - KUSHTIA</v>
          </cell>
          <cell r="C1908" t="str">
            <v>Md Rakibul Islam</v>
          </cell>
          <cell r="D1908" t="str">
            <v>South Bengal</v>
          </cell>
          <cell r="E1908" t="str">
            <v>South Bengal</v>
          </cell>
          <cell r="G1908">
            <v>106000</v>
          </cell>
          <cell r="R1908">
            <v>10400</v>
          </cell>
          <cell r="S1908">
            <v>0</v>
          </cell>
          <cell r="V1908">
            <v>20000</v>
          </cell>
          <cell r="X1908">
            <v>120900</v>
          </cell>
          <cell r="AL1908">
            <v>22525</v>
          </cell>
          <cell r="AM1908">
            <v>29750</v>
          </cell>
          <cell r="BA1908">
            <v>114750</v>
          </cell>
        </row>
        <row r="1909">
          <cell r="A1909" t="str">
            <v>ETLCUST-03350</v>
          </cell>
          <cell r="B1909" t="str">
            <v>UNIQUE COMPUTER - SYLHET</v>
          </cell>
          <cell r="C1909" t="str">
            <v>Kunjaraj Singha</v>
          </cell>
          <cell r="D1909" t="str">
            <v>Sylhet</v>
          </cell>
          <cell r="E1909" t="str">
            <v>Sylhet</v>
          </cell>
          <cell r="AO1909">
            <v>10500</v>
          </cell>
        </row>
        <row r="1910">
          <cell r="A1910" t="str">
            <v>ETLCUST-04336</v>
          </cell>
          <cell r="B1910" t="str">
            <v>UNIQUE COMPUTER AND TECHNOLOGY - KISHOREGANJ</v>
          </cell>
          <cell r="C1910" t="str">
            <v>Md. Imran Miah Khandakar</v>
          </cell>
          <cell r="D1910" t="str">
            <v>Sylhet</v>
          </cell>
          <cell r="E1910" t="str">
            <v>Sylhet</v>
          </cell>
          <cell r="AN1910">
            <v>2924000</v>
          </cell>
        </row>
        <row r="1911">
          <cell r="A1911" t="str">
            <v>ETLCUST-01462</v>
          </cell>
          <cell r="B1911" t="str">
            <v>UNIQUE COMPUTER SYSTEM - BARISAL</v>
          </cell>
          <cell r="C1911" t="str">
            <v>Shah Imran</v>
          </cell>
          <cell r="D1911" t="str">
            <v>South Bengal</v>
          </cell>
          <cell r="E1911" t="str">
            <v>South Bengal</v>
          </cell>
          <cell r="P1911">
            <v>12800</v>
          </cell>
          <cell r="R1911">
            <v>9280</v>
          </cell>
          <cell r="V1911">
            <v>4750</v>
          </cell>
          <cell r="AO1911">
            <v>6200</v>
          </cell>
          <cell r="AT1911">
            <v>4800</v>
          </cell>
        </row>
        <row r="1912">
          <cell r="A1912" t="str">
            <v>ETLCUST-05218</v>
          </cell>
          <cell r="B1912" t="str">
            <v>UNITED CHATTOGRAM POWER LTD.</v>
          </cell>
          <cell r="C1912" t="str">
            <v>Liton Biswas</v>
          </cell>
          <cell r="D1912" t="str">
            <v>HO-SI</v>
          </cell>
          <cell r="E1912" t="str">
            <v>HO-SI</v>
          </cell>
          <cell r="H1912">
            <v>5669484.3599999994</v>
          </cell>
        </row>
        <row r="1913">
          <cell r="A1913" t="str">
            <v>ETLCUST-02548</v>
          </cell>
          <cell r="B1913" t="str">
            <v>UNITED COMMERCIAL BANK PLC</v>
          </cell>
          <cell r="C1913" t="str">
            <v>Abu Zahid Sobuj</v>
          </cell>
          <cell r="D1913" t="str">
            <v>Corporate</v>
          </cell>
          <cell r="E1913" t="str">
            <v>Corporate</v>
          </cell>
          <cell r="U1913">
            <v>1277272.5</v>
          </cell>
        </row>
        <row r="1914">
          <cell r="A1914" t="str">
            <v>ETLCUST-00044</v>
          </cell>
          <cell r="B1914" t="str">
            <v>UNITED COMPUTER BD - ASHULIA</v>
          </cell>
          <cell r="C1914" t="str">
            <v>Biplop Kumar</v>
          </cell>
          <cell r="D1914" t="str">
            <v>DHK-EXT</v>
          </cell>
          <cell r="E1914" t="str">
            <v>DHK-EXT</v>
          </cell>
          <cell r="P1914">
            <v>32100</v>
          </cell>
          <cell r="R1914">
            <v>45400</v>
          </cell>
          <cell r="X1914">
            <v>18100</v>
          </cell>
        </row>
        <row r="1915">
          <cell r="A1915" t="str">
            <v>ETLCUST-05369</v>
          </cell>
          <cell r="B1915" t="str">
            <v>UNITED COMPUTER PALACE - E.ROAD</v>
          </cell>
          <cell r="C1915" t="str">
            <v>Mohammad Mostofa</v>
          </cell>
          <cell r="D1915" t="str">
            <v>Multiplan</v>
          </cell>
          <cell r="E1915" t="str">
            <v>Multiplan</v>
          </cell>
          <cell r="S1915">
            <v>0</v>
          </cell>
          <cell r="BA1915">
            <v>3789875</v>
          </cell>
        </row>
        <row r="1916">
          <cell r="A1916" t="str">
            <v>ETLCUST-03188</v>
          </cell>
          <cell r="B1916" t="str">
            <v>UNITED COMPUTERS - IDB</v>
          </cell>
          <cell r="C1916" t="str">
            <v>Gaji Parvin Nesa</v>
          </cell>
          <cell r="D1916" t="str">
            <v>IDB</v>
          </cell>
          <cell r="E1916" t="str">
            <v>IDB</v>
          </cell>
          <cell r="P1916">
            <v>32000</v>
          </cell>
          <cell r="R1916">
            <v>437000</v>
          </cell>
          <cell r="V1916">
            <v>110000</v>
          </cell>
        </row>
        <row r="1917">
          <cell r="A1917" t="str">
            <v>ETLCUST-02552</v>
          </cell>
          <cell r="B1917" t="str">
            <v>UNITED ENTERPRISES &amp; CO. LTD.</v>
          </cell>
          <cell r="C1917" t="str">
            <v>Md Saim Ali Rezvy</v>
          </cell>
          <cell r="D1917" t="str">
            <v>Corporate</v>
          </cell>
          <cell r="E1917" t="str">
            <v>Corporate</v>
          </cell>
          <cell r="U1917">
            <v>29636.36</v>
          </cell>
        </row>
        <row r="1918">
          <cell r="A1918" t="str">
            <v>ETLCUST-02549</v>
          </cell>
          <cell r="B1918" t="str">
            <v>UNITED FINANCE PLC.</v>
          </cell>
          <cell r="C1918" t="str">
            <v>Ashraful Islam</v>
          </cell>
          <cell r="D1918" t="str">
            <v>Corporate</v>
          </cell>
          <cell r="E1918" t="str">
            <v>Corporate</v>
          </cell>
          <cell r="S1918">
            <v>1545.45</v>
          </cell>
          <cell r="X1918">
            <v>40181.81</v>
          </cell>
          <cell r="AY1918">
            <v>1636.36</v>
          </cell>
        </row>
        <row r="1919">
          <cell r="A1919" t="str">
            <v>ETLCUST-04150</v>
          </cell>
          <cell r="B1919" t="str">
            <v>UNITED INTERNATIONAL UNIVERSITY</v>
          </cell>
          <cell r="C1919" t="str">
            <v>Rafsan Jani</v>
          </cell>
          <cell r="D1919" t="str">
            <v>Corporate</v>
          </cell>
          <cell r="E1919" t="str">
            <v>Corporate</v>
          </cell>
          <cell r="F1919">
            <v>21054.55</v>
          </cell>
          <cell r="R1919">
            <v>215795.45</v>
          </cell>
          <cell r="S1919">
            <v>8545.4499999999989</v>
          </cell>
          <cell r="AT1919">
            <v>59149.990000000005</v>
          </cell>
          <cell r="AY1919">
            <v>29090.91</v>
          </cell>
        </row>
        <row r="1920">
          <cell r="A1920" t="str">
            <v>ETLCUST-05309</v>
          </cell>
          <cell r="B1920" t="str">
            <v>UNITED MEDICAL COLLEGE HOSPITAL LTD</v>
          </cell>
          <cell r="C1920" t="str">
            <v>Md Saim Ali Rezvy</v>
          </cell>
          <cell r="D1920" t="str">
            <v>Corporate</v>
          </cell>
          <cell r="E1920" t="str">
            <v>Corporate</v>
          </cell>
          <cell r="F1920">
            <v>1006890.91</v>
          </cell>
          <cell r="S1920">
            <v>411927.27999999997</v>
          </cell>
          <cell r="AS1920">
            <v>464999.99</v>
          </cell>
          <cell r="AY1920">
            <v>13636.36</v>
          </cell>
        </row>
        <row r="1921">
          <cell r="A1921" t="str">
            <v>ETLCUST-05333</v>
          </cell>
          <cell r="B1921" t="str">
            <v>UNITED REAL ESTATE &amp; DEVELOPMENTS LTD. - GULSHAN</v>
          </cell>
          <cell r="C1921" t="str">
            <v>Liton Biswas</v>
          </cell>
          <cell r="D1921" t="str">
            <v>HO-SI</v>
          </cell>
          <cell r="E1921" t="str">
            <v>HO-SI</v>
          </cell>
          <cell r="M1921">
            <v>13475</v>
          </cell>
          <cell r="S1921">
            <v>72321</v>
          </cell>
          <cell r="U1921">
            <v>123684</v>
          </cell>
          <cell r="AP1921">
            <v>28842</v>
          </cell>
          <cell r="AV1921">
            <v>84734</v>
          </cell>
          <cell r="AY1921">
            <v>42100</v>
          </cell>
        </row>
        <row r="1922">
          <cell r="A1922" t="str">
            <v>ETLCUST-05325</v>
          </cell>
          <cell r="B1922" t="str">
            <v>UNITY SOLUTIONS BD - KAKRAIL</v>
          </cell>
          <cell r="C1922" t="str">
            <v>Md Tanjilur Rakib</v>
          </cell>
          <cell r="D1922" t="str">
            <v>HO-SI</v>
          </cell>
          <cell r="E1922" t="str">
            <v>HO-SI</v>
          </cell>
          <cell r="H1922">
            <v>37000</v>
          </cell>
          <cell r="AV1922">
            <v>26320</v>
          </cell>
        </row>
        <row r="1923">
          <cell r="A1923" t="str">
            <v>ETLCUST-03631</v>
          </cell>
          <cell r="B1923" t="str">
            <v>UNIVERSITY OF ASIA PACIFIC</v>
          </cell>
          <cell r="C1923" t="str">
            <v>Sabbir Ahmed</v>
          </cell>
          <cell r="D1923" t="str">
            <v>Corporate</v>
          </cell>
          <cell r="E1923" t="str">
            <v>Corporate</v>
          </cell>
          <cell r="P1923">
            <v>113760</v>
          </cell>
          <cell r="X1923">
            <v>95454.55</v>
          </cell>
        </row>
        <row r="1924">
          <cell r="A1924" t="str">
            <v>ETLCUST-05073</v>
          </cell>
          <cell r="B1924" t="str">
            <v>UNIVERSITY OF RAJSHAHI</v>
          </cell>
          <cell r="C1924" t="str">
            <v>Al Imran Hasan</v>
          </cell>
          <cell r="D1924" t="str">
            <v>Tender</v>
          </cell>
          <cell r="E1924" t="str">
            <v>Tender</v>
          </cell>
          <cell r="AR1924">
            <v>70000</v>
          </cell>
        </row>
        <row r="1925">
          <cell r="A1925" t="str">
            <v>ETLCUST-04067</v>
          </cell>
          <cell r="B1925" t="str">
            <v>UNIVERSITY OF SCIENCE &amp; TECHNOLOGY CHITTANGONG (USTC)</v>
          </cell>
          <cell r="C1925" t="str">
            <v>Sayed Golam Murtuza</v>
          </cell>
          <cell r="D1925" t="str">
            <v>Corporate</v>
          </cell>
          <cell r="E1925" t="str">
            <v>Corporate</v>
          </cell>
          <cell r="V1925">
            <v>9500</v>
          </cell>
          <cell r="Y1925">
            <v>288500</v>
          </cell>
        </row>
        <row r="1926">
          <cell r="A1926" t="str">
            <v>ETLCUST-04252</v>
          </cell>
          <cell r="B1926" t="str">
            <v>UPDATE COMPUTER - DINAJPUR</v>
          </cell>
          <cell r="C1926" t="str">
            <v>Akramul Haque</v>
          </cell>
          <cell r="D1926" t="str">
            <v>North Bengal</v>
          </cell>
          <cell r="E1926" t="str">
            <v>North Bengal</v>
          </cell>
          <cell r="P1926">
            <v>51200</v>
          </cell>
          <cell r="R1926">
            <v>53500</v>
          </cell>
          <cell r="S1926">
            <v>0</v>
          </cell>
          <cell r="AL1926">
            <v>21995</v>
          </cell>
          <cell r="AM1926">
            <v>182980</v>
          </cell>
          <cell r="AQ1926">
            <v>0</v>
          </cell>
          <cell r="BA1926">
            <v>108125</v>
          </cell>
        </row>
        <row r="1927">
          <cell r="A1927" t="str">
            <v>ETLCUST-04124</v>
          </cell>
          <cell r="B1927" t="str">
            <v>URMI GARMENTS LTD.</v>
          </cell>
          <cell r="C1927" t="str">
            <v>Sabbir Ahmed</v>
          </cell>
          <cell r="D1927" t="str">
            <v>Corporate</v>
          </cell>
          <cell r="E1927" t="str">
            <v>Corporate</v>
          </cell>
          <cell r="F1927">
            <v>995500</v>
          </cell>
          <cell r="H1927">
            <v>678000</v>
          </cell>
          <cell r="R1927">
            <v>139050</v>
          </cell>
          <cell r="S1927">
            <v>31800</v>
          </cell>
          <cell r="AR1927">
            <v>44500</v>
          </cell>
          <cell r="AT1927">
            <v>34000</v>
          </cell>
          <cell r="BA1927">
            <v>124750</v>
          </cell>
        </row>
        <row r="1928">
          <cell r="A1928" t="str">
            <v>ETLCUST-05088</v>
          </cell>
          <cell r="B1928" t="str">
            <v>USAIMIN LIBRARY &amp; IT SOLUTION - COXBAZAR</v>
          </cell>
          <cell r="C1928" t="str">
            <v>Md. Mamunur Rashid</v>
          </cell>
          <cell r="D1928" t="str">
            <v>CTG</v>
          </cell>
          <cell r="E1928" t="str">
            <v>CTG</v>
          </cell>
          <cell r="BA1928">
            <v>305835</v>
          </cell>
        </row>
        <row r="1929">
          <cell r="A1929" t="str">
            <v>ETLCUST-03965</v>
          </cell>
          <cell r="B1929" t="str">
            <v xml:space="preserve">User IT-  Narayanganj </v>
          </cell>
          <cell r="C1929" t="str">
            <v>Arafat Hossain</v>
          </cell>
          <cell r="D1929" t="str">
            <v>South Bengal</v>
          </cell>
          <cell r="E1929" t="str">
            <v>South Bengal</v>
          </cell>
          <cell r="V1929">
            <v>10450</v>
          </cell>
          <cell r="X1929">
            <v>368500</v>
          </cell>
          <cell r="AO1929">
            <v>95925</v>
          </cell>
        </row>
        <row r="1930">
          <cell r="A1930" t="str">
            <v>ETLCUST-04599</v>
          </cell>
          <cell r="B1930" t="str">
            <v>USHA COMPUTER - CTG</v>
          </cell>
          <cell r="C1930" t="str">
            <v>Md. Mamunur Rashid</v>
          </cell>
          <cell r="D1930" t="str">
            <v>CTG</v>
          </cell>
          <cell r="E1930" t="str">
            <v>CTG</v>
          </cell>
          <cell r="R1930">
            <v>309480</v>
          </cell>
          <cell r="T1930">
            <v>21200</v>
          </cell>
          <cell r="X1930">
            <v>50600</v>
          </cell>
          <cell r="AL1930">
            <v>35775</v>
          </cell>
          <cell r="AM1930">
            <v>106810</v>
          </cell>
          <cell r="BA1930">
            <v>512675</v>
          </cell>
        </row>
        <row r="1931">
          <cell r="A1931" t="str">
            <v>ETLCUST-00427</v>
          </cell>
          <cell r="B1931" t="str">
            <v>USHA COMPUTER AND TELECOM - TANGAIL</v>
          </cell>
          <cell r="C1931" t="str">
            <v>Niloy Ghosh</v>
          </cell>
          <cell r="D1931" t="str">
            <v>DHK-EXT</v>
          </cell>
          <cell r="E1931" t="str">
            <v>DHK-EXT</v>
          </cell>
          <cell r="G1931">
            <v>112000</v>
          </cell>
          <cell r="S1931">
            <v>0</v>
          </cell>
          <cell r="T1931">
            <v>146000</v>
          </cell>
          <cell r="V1931">
            <v>7500</v>
          </cell>
          <cell r="X1931">
            <v>445500</v>
          </cell>
          <cell r="AL1931">
            <v>26525</v>
          </cell>
          <cell r="AM1931">
            <v>97440</v>
          </cell>
          <cell r="BA1931">
            <v>581345</v>
          </cell>
        </row>
        <row r="1932">
          <cell r="A1932" t="str">
            <v>ETLCUST-03898</v>
          </cell>
          <cell r="B1932" t="str">
            <v>UTPAL COMPUTER WORLD - FARIDPUR</v>
          </cell>
          <cell r="C1932" t="str">
            <v>Hanif shek</v>
          </cell>
          <cell r="D1932" t="str">
            <v>South Bengal</v>
          </cell>
          <cell r="E1932" t="str">
            <v>South Bengal</v>
          </cell>
          <cell r="X1932">
            <v>122975</v>
          </cell>
          <cell r="AM1932">
            <v>45745</v>
          </cell>
          <cell r="BA1932">
            <v>33150</v>
          </cell>
        </row>
        <row r="1933">
          <cell r="A1933" t="str">
            <v>ETLCUST-00858</v>
          </cell>
          <cell r="B1933" t="str">
            <v>UTTARA COMPUTER - MULTIPLAN</v>
          </cell>
          <cell r="C1933" t="str">
            <v>Mohammad Mostofa</v>
          </cell>
          <cell r="D1933" t="str">
            <v>Multiplan</v>
          </cell>
          <cell r="E1933" t="str">
            <v>Multiplan</v>
          </cell>
          <cell r="U1933">
            <v>27350</v>
          </cell>
          <cell r="AL1933">
            <v>2950</v>
          </cell>
          <cell r="AO1933">
            <v>227275</v>
          </cell>
        </row>
        <row r="1934">
          <cell r="A1934" t="str">
            <v>ETLCUST-04296</v>
          </cell>
          <cell r="B1934" t="str">
            <v>UTTARA PC SOLUTIONS - UTTARA</v>
          </cell>
          <cell r="C1934" t="str">
            <v>Dulal Sarker</v>
          </cell>
          <cell r="D1934" t="str">
            <v>Uttara</v>
          </cell>
          <cell r="E1934" t="str">
            <v>Uttara</v>
          </cell>
          <cell r="P1934">
            <v>64000</v>
          </cell>
          <cell r="AF1934">
            <v>158000</v>
          </cell>
        </row>
        <row r="1935">
          <cell r="A1935" t="str">
            <v>ETLCUST-00149</v>
          </cell>
          <cell r="B1935" t="str">
            <v>UTTARA PRINT WORLD - UTTARA</v>
          </cell>
          <cell r="C1935" t="str">
            <v>Dulal Sarker</v>
          </cell>
          <cell r="D1935" t="str">
            <v>Uttara</v>
          </cell>
          <cell r="E1935" t="str">
            <v>Uttara</v>
          </cell>
          <cell r="R1935">
            <v>958250</v>
          </cell>
          <cell r="S1935">
            <v>0</v>
          </cell>
          <cell r="AM1935">
            <v>1945</v>
          </cell>
          <cell r="AT1935">
            <v>295200</v>
          </cell>
          <cell r="BA1935">
            <v>637545</v>
          </cell>
        </row>
        <row r="1936">
          <cell r="A1936" t="str">
            <v>ETLCUST-04210</v>
          </cell>
          <cell r="B1936" t="str">
            <v>UTTARA UNIVERSITY</v>
          </cell>
          <cell r="C1936" t="str">
            <v>Md Saim Ali Rezvy</v>
          </cell>
          <cell r="D1936" t="str">
            <v>Corporate</v>
          </cell>
          <cell r="E1936" t="str">
            <v>Corporate</v>
          </cell>
          <cell r="R1936">
            <v>516000</v>
          </cell>
          <cell r="T1936">
            <v>6200</v>
          </cell>
          <cell r="U1936">
            <v>120200</v>
          </cell>
        </row>
        <row r="1937">
          <cell r="A1937" t="str">
            <v>ETLCUST-03229</v>
          </cell>
          <cell r="B1937" t="str">
            <v>UV COMPUTER - MULTIPLAN</v>
          </cell>
          <cell r="C1937" t="str">
            <v>Md Mokshed Ali</v>
          </cell>
          <cell r="D1937" t="str">
            <v>Multiplan</v>
          </cell>
          <cell r="E1937" t="str">
            <v>Multiplan</v>
          </cell>
          <cell r="AO1937">
            <v>1200</v>
          </cell>
        </row>
        <row r="1938">
          <cell r="A1938" t="str">
            <v>ETLCUST-05403</v>
          </cell>
          <cell r="B1938" t="str">
            <v>VALOBAZAR - CTG</v>
          </cell>
          <cell r="C1938" t="str">
            <v>Md. Mamunur Rashid</v>
          </cell>
          <cell r="D1938" t="str">
            <v>CTG</v>
          </cell>
          <cell r="E1938" t="str">
            <v>CTG</v>
          </cell>
          <cell r="AL1938">
            <v>663410</v>
          </cell>
          <cell r="BA1938">
            <v>0</v>
          </cell>
        </row>
        <row r="1939">
          <cell r="A1939" t="str">
            <v>ETLCUST-04511</v>
          </cell>
          <cell r="B1939" t="str">
            <v>VARENDRA UNIVERSITY</v>
          </cell>
          <cell r="C1939" t="str">
            <v>Al Imran Hasan</v>
          </cell>
          <cell r="D1939" t="str">
            <v>Tender</v>
          </cell>
          <cell r="E1939" t="str">
            <v>Tender</v>
          </cell>
          <cell r="U1939">
            <v>711000</v>
          </cell>
        </row>
        <row r="1940">
          <cell r="A1940" t="str">
            <v>ETLCUST-00856</v>
          </cell>
          <cell r="B1940" t="str">
            <v>VARIANT TECHNOLOGY - E.ROAD</v>
          </cell>
          <cell r="C1940" t="str">
            <v>Mohammad Mostofa</v>
          </cell>
          <cell r="D1940" t="str">
            <v>Multiplan</v>
          </cell>
          <cell r="E1940" t="str">
            <v>Multiplan</v>
          </cell>
          <cell r="P1940">
            <v>12800</v>
          </cell>
        </row>
        <row r="1941">
          <cell r="A1941" t="str">
            <v>ETLCUST-00701</v>
          </cell>
          <cell r="B1941" t="str">
            <v>VENUS TRADE INTERNATIONAL - KHULNA</v>
          </cell>
          <cell r="C1941" t="str">
            <v>Saidur Rahman Khokan</v>
          </cell>
          <cell r="D1941" t="str">
            <v>Khulna</v>
          </cell>
          <cell r="E1941" t="str">
            <v>Khulna</v>
          </cell>
          <cell r="G1941">
            <v>594700</v>
          </cell>
          <cell r="Q1941">
            <v>890</v>
          </cell>
          <cell r="U1941">
            <v>30600</v>
          </cell>
          <cell r="X1941">
            <v>169100</v>
          </cell>
          <cell r="AK1941">
            <v>50000</v>
          </cell>
          <cell r="AM1941">
            <v>448130</v>
          </cell>
          <cell r="AQ1941">
            <v>0</v>
          </cell>
          <cell r="AR1941">
            <v>32200</v>
          </cell>
          <cell r="BA1941">
            <v>9257070</v>
          </cell>
        </row>
        <row r="1942">
          <cell r="A1942" t="str">
            <v>ETLCUST-01666</v>
          </cell>
          <cell r="B1942" t="str">
            <v>VERBAL - MOTIJHEEL</v>
          </cell>
          <cell r="C1942" t="str">
            <v>Hridoy Chandra Das</v>
          </cell>
          <cell r="D1942" t="str">
            <v>Motijheel</v>
          </cell>
          <cell r="E1942" t="str">
            <v>Motijheel</v>
          </cell>
          <cell r="P1942">
            <v>346500</v>
          </cell>
          <cell r="R1942">
            <v>187500</v>
          </cell>
          <cell r="U1942">
            <v>452500</v>
          </cell>
          <cell r="X1942">
            <v>700000</v>
          </cell>
          <cell r="Y1942">
            <v>255000</v>
          </cell>
          <cell r="AS1942">
            <v>305000</v>
          </cell>
          <cell r="AV1942">
            <v>225000</v>
          </cell>
          <cell r="BA1942">
            <v>8000</v>
          </cell>
        </row>
        <row r="1943">
          <cell r="A1943" t="str">
            <v>ETLCUST-04663</v>
          </cell>
          <cell r="B1943" t="str">
            <v>VERSATILE  SYSTEMS SOLUTIONS - MIRPUR</v>
          </cell>
          <cell r="C1943" t="str">
            <v>Amit Sarker</v>
          </cell>
          <cell r="D1943" t="str">
            <v>IDB</v>
          </cell>
          <cell r="E1943" t="str">
            <v>IDB</v>
          </cell>
          <cell r="AM1943">
            <v>1750</v>
          </cell>
        </row>
        <row r="1944">
          <cell r="A1944" t="str">
            <v>ETLCUST-03221</v>
          </cell>
          <cell r="B1944" t="str">
            <v>VERSATILE TECHNOLOGY - SUVASTU</v>
          </cell>
          <cell r="C1944" t="str">
            <v>Md Shamim Miah</v>
          </cell>
          <cell r="D1944" t="str">
            <v>DHB</v>
          </cell>
          <cell r="E1944" t="str">
            <v>DHB</v>
          </cell>
          <cell r="AZ1944">
            <v>2250</v>
          </cell>
        </row>
        <row r="1945">
          <cell r="A1945" t="str">
            <v>ETLCUST-01676</v>
          </cell>
          <cell r="B1945" t="str">
            <v>VIGILANCE INNOVATION TECHNOLOGIES LTD - ZIGATOLA</v>
          </cell>
          <cell r="C1945" t="str">
            <v>Sabuj Das</v>
          </cell>
          <cell r="D1945" t="str">
            <v>HO-SI</v>
          </cell>
          <cell r="E1945" t="str">
            <v>HO-SI</v>
          </cell>
          <cell r="X1945">
            <v>1455900</v>
          </cell>
          <cell r="BA1945">
            <v>27600</v>
          </cell>
        </row>
        <row r="1946">
          <cell r="A1946" t="str">
            <v>ETLCUST-04019</v>
          </cell>
          <cell r="B1946" t="str">
            <v>VIRTUE - SYLHET</v>
          </cell>
          <cell r="C1946" t="str">
            <v>Sanwar Husen</v>
          </cell>
          <cell r="D1946" t="str">
            <v>Sylhet</v>
          </cell>
          <cell r="E1946" t="str">
            <v>Sylhet</v>
          </cell>
          <cell r="R1946">
            <v>2142200</v>
          </cell>
          <cell r="U1946">
            <v>72000</v>
          </cell>
          <cell r="AJ1946">
            <v>51450</v>
          </cell>
          <cell r="AK1946">
            <v>44000</v>
          </cell>
          <cell r="AL1946">
            <v>209150</v>
          </cell>
          <cell r="AM1946">
            <v>96130</v>
          </cell>
          <cell r="AT1946">
            <v>10800</v>
          </cell>
          <cell r="BA1946">
            <v>3000</v>
          </cell>
        </row>
        <row r="1947">
          <cell r="A1947" t="str">
            <v>ETLCUST-03828</v>
          </cell>
          <cell r="B1947" t="str">
            <v xml:space="preserve">VISION COMPUTER - SYLHET </v>
          </cell>
          <cell r="C1947" t="str">
            <v>Sanwar Husen</v>
          </cell>
          <cell r="D1947" t="str">
            <v>Sylhet</v>
          </cell>
          <cell r="E1947" t="str">
            <v>Sylhet</v>
          </cell>
          <cell r="R1947">
            <v>22500</v>
          </cell>
          <cell r="V1947">
            <v>14700</v>
          </cell>
        </row>
        <row r="1948">
          <cell r="A1948" t="str">
            <v>ETLCUST-05030</v>
          </cell>
          <cell r="B1948" t="str">
            <v>VISION COMPUTERS - CTG</v>
          </cell>
          <cell r="C1948" t="str">
            <v>Shahidul Alam Chowdhury</v>
          </cell>
          <cell r="D1948" t="str">
            <v>CTG</v>
          </cell>
          <cell r="E1948" t="str">
            <v>CTG</v>
          </cell>
          <cell r="S1948">
            <v>0</v>
          </cell>
          <cell r="X1948">
            <v>21900</v>
          </cell>
          <cell r="AL1948">
            <v>3980</v>
          </cell>
          <cell r="AM1948">
            <v>4680</v>
          </cell>
          <cell r="AR1948">
            <v>6890</v>
          </cell>
          <cell r="BA1948">
            <v>786350</v>
          </cell>
        </row>
        <row r="1949">
          <cell r="A1949" t="str">
            <v>ETLCUST-01337</v>
          </cell>
          <cell r="B1949" t="str">
            <v>VISION TECH BD - COMILLA</v>
          </cell>
          <cell r="C1949" t="str">
            <v>Nazmul Amin Sajib</v>
          </cell>
          <cell r="D1949" t="str">
            <v>CTG</v>
          </cell>
          <cell r="E1949" t="str">
            <v>CTG</v>
          </cell>
          <cell r="T1949">
            <v>152000</v>
          </cell>
          <cell r="X1949">
            <v>6642536</v>
          </cell>
          <cell r="AL1949">
            <v>120520</v>
          </cell>
        </row>
        <row r="1950">
          <cell r="A1950" t="str">
            <v>ETLCUST-04638</v>
          </cell>
          <cell r="B1950" t="str">
            <v>VISION TECHNOLOGIES LIMITED</v>
          </cell>
          <cell r="C1950" t="str">
            <v>Md Saim Ali Rezvy</v>
          </cell>
          <cell r="D1950" t="str">
            <v>Corporate</v>
          </cell>
          <cell r="E1950" t="str">
            <v>Corporate</v>
          </cell>
          <cell r="G1950">
            <v>2850000</v>
          </cell>
          <cell r="U1950">
            <v>179280</v>
          </cell>
          <cell r="AA1950">
            <v>61066</v>
          </cell>
          <cell r="BA1950">
            <v>61042</v>
          </cell>
        </row>
        <row r="1951">
          <cell r="A1951" t="str">
            <v>ETLCUST-01037</v>
          </cell>
          <cell r="B1951" t="str">
            <v>VISION TECHNOLOGY - CTG</v>
          </cell>
          <cell r="C1951" t="str">
            <v>Manjurul Huda Parvez</v>
          </cell>
          <cell r="D1951" t="str">
            <v>CTG</v>
          </cell>
          <cell r="E1951" t="str">
            <v>CTG</v>
          </cell>
          <cell r="H1951">
            <v>24000</v>
          </cell>
          <cell r="P1951">
            <v>9600</v>
          </cell>
          <cell r="R1951">
            <v>130000</v>
          </cell>
          <cell r="U1951">
            <v>170000</v>
          </cell>
          <cell r="X1951">
            <v>162900</v>
          </cell>
          <cell r="AM1951">
            <v>425</v>
          </cell>
          <cell r="AR1951">
            <v>23500</v>
          </cell>
          <cell r="AV1951">
            <v>231000</v>
          </cell>
          <cell r="BA1951">
            <v>27915</v>
          </cell>
        </row>
        <row r="1952">
          <cell r="A1952" t="str">
            <v>ETLCUST-01411</v>
          </cell>
          <cell r="B1952" t="str">
            <v>VISION TECHNOLOGY - GAZIPUR</v>
          </cell>
          <cell r="C1952" t="str">
            <v>Md. Rahad</v>
          </cell>
          <cell r="D1952" t="str">
            <v>Uttara</v>
          </cell>
          <cell r="E1952" t="str">
            <v>Uttara</v>
          </cell>
          <cell r="X1952">
            <v>30000</v>
          </cell>
          <cell r="AO1952">
            <v>51550</v>
          </cell>
          <cell r="AQ1952">
            <v>0</v>
          </cell>
        </row>
        <row r="1953">
          <cell r="A1953" t="str">
            <v>ETLCUST-03748</v>
          </cell>
          <cell r="B1953" t="str">
            <v>VISTARA INTERNATIONAL - CTG</v>
          </cell>
          <cell r="C1953" t="str">
            <v>Manjurul Huda Parvez</v>
          </cell>
          <cell r="D1953" t="str">
            <v>CTG</v>
          </cell>
          <cell r="E1953" t="str">
            <v>CTG</v>
          </cell>
          <cell r="U1953">
            <v>42000</v>
          </cell>
        </row>
        <row r="1954">
          <cell r="A1954" t="str">
            <v>ETLCUST-00354</v>
          </cell>
          <cell r="B1954" t="str">
            <v>VITAL COMPUTERS - MOHAKHALI</v>
          </cell>
          <cell r="C1954" t="str">
            <v>Jiku Saha</v>
          </cell>
          <cell r="D1954" t="str">
            <v>Uttara</v>
          </cell>
          <cell r="E1954" t="str">
            <v>Uttara</v>
          </cell>
          <cell r="S1954">
            <v>0</v>
          </cell>
          <cell r="U1954">
            <v>40100</v>
          </cell>
          <cell r="AO1954">
            <v>20750</v>
          </cell>
          <cell r="AR1954">
            <v>71700</v>
          </cell>
          <cell r="AV1954">
            <v>30000</v>
          </cell>
          <cell r="BA1954">
            <v>794850</v>
          </cell>
        </row>
        <row r="1955">
          <cell r="A1955" t="str">
            <v>ETLCUST-01502</v>
          </cell>
          <cell r="B1955" t="str">
            <v>VYING BRAIN - CTG</v>
          </cell>
          <cell r="C1955" t="str">
            <v>Md. Mamunur Rashid</v>
          </cell>
          <cell r="D1955" t="str">
            <v>CTG</v>
          </cell>
          <cell r="E1955" t="str">
            <v>CTG</v>
          </cell>
          <cell r="U1955">
            <v>18000</v>
          </cell>
          <cell r="AA1955">
            <v>33000</v>
          </cell>
        </row>
        <row r="1956">
          <cell r="A1956" t="str">
            <v>ETLCUST-04580</v>
          </cell>
          <cell r="B1956" t="str">
            <v>WAFI TECH - RANGPUR</v>
          </cell>
          <cell r="C1956" t="str">
            <v>Md. Arif Arman</v>
          </cell>
          <cell r="D1956" t="str">
            <v>North Bengal</v>
          </cell>
          <cell r="E1956" t="str">
            <v>North Bengal</v>
          </cell>
        </row>
        <row r="1957">
          <cell r="A1957" t="str">
            <v>ETLCUST-02569</v>
          </cell>
          <cell r="B1957" t="str">
            <v>WALTON HI-TECH INDUSTRIES PLC.</v>
          </cell>
          <cell r="C1957" t="str">
            <v>Ashraful Islam</v>
          </cell>
          <cell r="D1957" t="str">
            <v>Corporate</v>
          </cell>
          <cell r="E1957" t="str">
            <v>Corporate</v>
          </cell>
          <cell r="R1957">
            <v>22090.799999999999</v>
          </cell>
        </row>
        <row r="1958">
          <cell r="A1958" t="str">
            <v>ETLCUST-03184</v>
          </cell>
          <cell r="B1958" t="str">
            <v>WAVELINK TECHNOLOGY - MULTIPLAN</v>
          </cell>
          <cell r="C1958" t="str">
            <v>Pran Krishna Gosh</v>
          </cell>
          <cell r="D1958" t="str">
            <v>Multiplan</v>
          </cell>
          <cell r="E1958" t="str">
            <v>Multiplan</v>
          </cell>
          <cell r="T1958">
            <v>858000</v>
          </cell>
          <cell r="U1958">
            <v>31300</v>
          </cell>
          <cell r="X1958">
            <v>204000</v>
          </cell>
          <cell r="AF1958">
            <v>17000</v>
          </cell>
          <cell r="AK1958">
            <v>16000</v>
          </cell>
          <cell r="AL1958">
            <v>112350</v>
          </cell>
        </row>
        <row r="1959">
          <cell r="A1959" t="str">
            <v>ETLCUST-02895</v>
          </cell>
          <cell r="B1959" t="str">
            <v>WEAR MAG LTD.</v>
          </cell>
          <cell r="C1959" t="str">
            <v>Hasibul Hasan Symoon</v>
          </cell>
          <cell r="D1959" t="str">
            <v>Corporate</v>
          </cell>
          <cell r="E1959" t="str">
            <v>Corporate</v>
          </cell>
          <cell r="AD1959">
            <v>10500</v>
          </cell>
        </row>
        <row r="1960">
          <cell r="A1960" t="str">
            <v>ETLCUST-04009</v>
          </cell>
          <cell r="B1960" t="str">
            <v>WELL TECH - E. ROAD</v>
          </cell>
          <cell r="C1960" t="str">
            <v>Mohotasim Rana</v>
          </cell>
          <cell r="D1960" t="str">
            <v>DHB</v>
          </cell>
          <cell r="E1960" t="str">
            <v>DHB</v>
          </cell>
          <cell r="H1960">
            <v>72000</v>
          </cell>
          <cell r="P1960">
            <v>6400</v>
          </cell>
          <cell r="R1960">
            <v>1809500</v>
          </cell>
          <cell r="S1960">
            <v>0</v>
          </cell>
          <cell r="U1960">
            <v>3700</v>
          </cell>
          <cell r="V1960">
            <v>19000</v>
          </cell>
          <cell r="AF1960">
            <v>121000</v>
          </cell>
          <cell r="AT1960">
            <v>207100</v>
          </cell>
        </row>
        <row r="1961">
          <cell r="A1961" t="str">
            <v>ETLCUST-01364</v>
          </cell>
          <cell r="B1961" t="str">
            <v>WESTERN TECHNOLOGY - MADARIPUR</v>
          </cell>
          <cell r="C1961" t="str">
            <v>Hanif shek</v>
          </cell>
          <cell r="D1961" t="str">
            <v>South Bengal</v>
          </cell>
          <cell r="E1961" t="str">
            <v>South Bengal</v>
          </cell>
          <cell r="G1961">
            <v>100000</v>
          </cell>
          <cell r="O1961">
            <v>5500</v>
          </cell>
          <cell r="R1961">
            <v>160000</v>
          </cell>
        </row>
        <row r="1962">
          <cell r="A1962" t="str">
            <v>ETLCUST-05340</v>
          </cell>
          <cell r="B1962" t="str">
            <v>WHITESHELL LIMITED</v>
          </cell>
          <cell r="C1962" t="str">
            <v>Sabbir Ahmed</v>
          </cell>
          <cell r="D1962" t="str">
            <v>Corporate</v>
          </cell>
          <cell r="E1962" t="str">
            <v>Corporate</v>
          </cell>
          <cell r="AJ1962">
            <v>1767789.09</v>
          </cell>
        </row>
        <row r="1963">
          <cell r="A1963" t="str">
            <v>ETLCUST-01366</v>
          </cell>
          <cell r="B1963" t="str">
            <v>WIN COMPUTERS - FARIDPUR</v>
          </cell>
          <cell r="C1963" t="str">
            <v>Hanif shek</v>
          </cell>
          <cell r="D1963" t="str">
            <v>South Bengal</v>
          </cell>
          <cell r="E1963" t="str">
            <v>South Bengal</v>
          </cell>
          <cell r="R1963">
            <v>217000</v>
          </cell>
          <cell r="X1963">
            <v>28800</v>
          </cell>
          <cell r="AL1963">
            <v>7155</v>
          </cell>
          <cell r="AM1963">
            <v>5695</v>
          </cell>
          <cell r="BA1963">
            <v>119380</v>
          </cell>
        </row>
        <row r="1964">
          <cell r="A1964" t="str">
            <v>ETLCUST-04696</v>
          </cell>
          <cell r="B1964" t="str">
            <v>WIN TRADE - SYLHET</v>
          </cell>
          <cell r="C1964" t="str">
            <v>Sanwar Husen</v>
          </cell>
          <cell r="D1964" t="str">
            <v>Sylhet</v>
          </cell>
          <cell r="E1964" t="str">
            <v>Sylhet</v>
          </cell>
          <cell r="P1964">
            <v>12800</v>
          </cell>
          <cell r="X1964">
            <v>12000</v>
          </cell>
        </row>
        <row r="1965">
          <cell r="A1965" t="str">
            <v>ETLCUST-02571</v>
          </cell>
          <cell r="B1965" t="str">
            <v>WINDY GROUP</v>
          </cell>
          <cell r="C1965" t="str">
            <v>Ashraful Islam</v>
          </cell>
          <cell r="D1965" t="str">
            <v>Corporate</v>
          </cell>
          <cell r="E1965" t="str">
            <v>Corporate</v>
          </cell>
          <cell r="M1965">
            <v>100500</v>
          </cell>
          <cell r="S1965">
            <v>251990</v>
          </cell>
          <cell r="U1965">
            <v>259400</v>
          </cell>
          <cell r="X1965">
            <v>757500</v>
          </cell>
          <cell r="AJ1965">
            <v>1200</v>
          </cell>
          <cell r="AR1965">
            <v>280000</v>
          </cell>
          <cell r="AS1965">
            <v>800000</v>
          </cell>
          <cell r="AV1965">
            <v>301300</v>
          </cell>
        </row>
        <row r="1966">
          <cell r="A1966" t="str">
            <v>ETLCUST-00131</v>
          </cell>
          <cell r="B1966" t="str">
            <v>WINTELL COMPUTER - UTTARA</v>
          </cell>
          <cell r="C1966" t="str">
            <v>Dulal Sarker</v>
          </cell>
          <cell r="D1966" t="str">
            <v>Uttara</v>
          </cell>
          <cell r="E1966" t="str">
            <v>Uttara</v>
          </cell>
          <cell r="P1966">
            <v>25800</v>
          </cell>
          <cell r="R1966">
            <v>171500</v>
          </cell>
          <cell r="V1966">
            <v>-2000</v>
          </cell>
          <cell r="AF1966">
            <v>66000</v>
          </cell>
          <cell r="AK1966">
            <v>34000</v>
          </cell>
          <cell r="AL1966">
            <v>13920</v>
          </cell>
          <cell r="AM1966">
            <v>7450</v>
          </cell>
          <cell r="AO1966">
            <v>25475</v>
          </cell>
          <cell r="AT1966">
            <v>2500</v>
          </cell>
          <cell r="AZ1966">
            <v>13350</v>
          </cell>
          <cell r="BA1966">
            <v>164750</v>
          </cell>
        </row>
        <row r="1967">
          <cell r="A1967" t="str">
            <v>ETLCUST-04891</v>
          </cell>
          <cell r="B1967" t="str">
            <v>WINTOP SOLUTION - BARISHAL</v>
          </cell>
          <cell r="C1967" t="str">
            <v>Md. Aminul Islam</v>
          </cell>
          <cell r="D1967" t="str">
            <v>South Bengal</v>
          </cell>
          <cell r="E1967" t="str">
            <v>South Bengal</v>
          </cell>
          <cell r="X1967">
            <v>23975</v>
          </cell>
        </row>
        <row r="1968">
          <cell r="A1968" t="str">
            <v>ETLCUST-05105</v>
          </cell>
          <cell r="B1968" t="str">
            <v>WORLD UNIVERSITY OF BANGLADESH</v>
          </cell>
          <cell r="C1968" t="str">
            <v>Md. Raihan Ali</v>
          </cell>
          <cell r="D1968" t="str">
            <v>Corporate</v>
          </cell>
          <cell r="E1968" t="str">
            <v>Corporate</v>
          </cell>
          <cell r="U1968">
            <v>4900</v>
          </cell>
          <cell r="AA1968">
            <v>284210.03999999998</v>
          </cell>
        </row>
        <row r="1969">
          <cell r="A1969" t="str">
            <v>ETLCUST-04894</v>
          </cell>
          <cell r="B1969" t="str">
            <v>WORLD YE APPARELS (BD) LTD.</v>
          </cell>
          <cell r="C1969" t="str">
            <v>Sayed Golam Murtuza</v>
          </cell>
          <cell r="D1969" t="str">
            <v>Corporate</v>
          </cell>
          <cell r="E1969" t="str">
            <v>Corporate</v>
          </cell>
          <cell r="AF1969">
            <v>31350</v>
          </cell>
        </row>
        <row r="1970">
          <cell r="A1970" t="str">
            <v>ETLCUST-00847</v>
          </cell>
          <cell r="B1970" t="str">
            <v>X TREEM COMPUTER - MULTIPLAN</v>
          </cell>
          <cell r="C1970" t="str">
            <v>Md. Anamul Hoque</v>
          </cell>
          <cell r="D1970" t="str">
            <v>Multiplan</v>
          </cell>
          <cell r="E1970" t="str">
            <v>Multiplan</v>
          </cell>
          <cell r="H1970">
            <v>32000</v>
          </cell>
          <cell r="R1970">
            <v>195000</v>
          </cell>
          <cell r="U1970">
            <v>91490</v>
          </cell>
          <cell r="AA1970">
            <v>9500</v>
          </cell>
        </row>
        <row r="1971">
          <cell r="A1971" t="str">
            <v>ETLCUST-05285</v>
          </cell>
          <cell r="B1971" t="str">
            <v>XAVIER CELL PHONE - UTTARA</v>
          </cell>
          <cell r="C1971" t="str">
            <v>Dulal Sarker</v>
          </cell>
          <cell r="D1971" t="str">
            <v>Uttara</v>
          </cell>
          <cell r="E1971" t="str">
            <v>Uttara</v>
          </cell>
          <cell r="AM1971">
            <v>1140</v>
          </cell>
          <cell r="BA1971">
            <v>47975</v>
          </cell>
        </row>
        <row r="1972">
          <cell r="A1972" t="str">
            <v>ETLCUST-05187</v>
          </cell>
          <cell r="B1972" t="str">
            <v xml:space="preserve">XEON TECHNOLOGY - SHEWRAPARA </v>
          </cell>
          <cell r="C1972" t="str">
            <v>Gaji Parvin Nesa</v>
          </cell>
          <cell r="D1972" t="str">
            <v>IDB</v>
          </cell>
          <cell r="E1972" t="str">
            <v>IDB</v>
          </cell>
          <cell r="U1972">
            <v>-16600</v>
          </cell>
          <cell r="BA1972">
            <v>28750</v>
          </cell>
        </row>
        <row r="1973">
          <cell r="A1973" t="str">
            <v>ETLCUST-00274</v>
          </cell>
          <cell r="B1973" t="str">
            <v>XEONLINK - SYLHET</v>
          </cell>
          <cell r="C1973" t="str">
            <v>Sanwar Husen</v>
          </cell>
          <cell r="D1973" t="str">
            <v>Sylhet</v>
          </cell>
          <cell r="E1973" t="str">
            <v>Sylhet</v>
          </cell>
          <cell r="P1973">
            <v>85300</v>
          </cell>
          <cell r="R1973">
            <v>87120</v>
          </cell>
          <cell r="S1973">
            <v>0</v>
          </cell>
          <cell r="U1973">
            <v>25500</v>
          </cell>
          <cell r="AJ1973">
            <v>101800</v>
          </cell>
          <cell r="AK1973">
            <v>96000</v>
          </cell>
          <cell r="AL1973">
            <v>678910</v>
          </cell>
          <cell r="AM1973">
            <v>187000</v>
          </cell>
          <cell r="AN1973">
            <v>905000</v>
          </cell>
          <cell r="AO1973">
            <v>208550</v>
          </cell>
          <cell r="AR1973">
            <v>118200</v>
          </cell>
          <cell r="AV1973">
            <v>16200</v>
          </cell>
          <cell r="AZ1973">
            <v>12560</v>
          </cell>
          <cell r="BA1973">
            <v>20227790</v>
          </cell>
        </row>
        <row r="1974">
          <cell r="A1974" t="str">
            <v>ETLCUST-05409</v>
          </cell>
          <cell r="B1974" t="str">
            <v>XPERT IT - NAOGAON</v>
          </cell>
          <cell r="C1974" t="str">
            <v>Md. Abu Basar</v>
          </cell>
          <cell r="D1974" t="str">
            <v>Rajshahi</v>
          </cell>
          <cell r="E1974" t="str">
            <v>Rajshahi</v>
          </cell>
          <cell r="AK1974">
            <v>29200</v>
          </cell>
        </row>
        <row r="1975">
          <cell r="A1975" t="str">
            <v>ETLCUST-02677</v>
          </cell>
          <cell r="B1975" t="str">
            <v>YKK BANGLADESH PTE LTD.</v>
          </cell>
          <cell r="C1975" t="str">
            <v>Abu Zahid Sobuj</v>
          </cell>
          <cell r="D1975" t="str">
            <v>Corporate</v>
          </cell>
          <cell r="E1975" t="str">
            <v>Corporate</v>
          </cell>
          <cell r="AH1975">
            <v>371800</v>
          </cell>
          <cell r="AV1975">
            <v>3250</v>
          </cell>
        </row>
        <row r="1976">
          <cell r="A1976" t="str">
            <v>ETLCUST-02734</v>
          </cell>
          <cell r="B1976" t="str">
            <v>YOKOHAMA LABELS AND PRINTING (BD) CO. LTD.</v>
          </cell>
          <cell r="C1976" t="str">
            <v>Md Saim Ali Rezvy</v>
          </cell>
          <cell r="D1976" t="str">
            <v>Corporate</v>
          </cell>
          <cell r="E1976" t="str">
            <v>Corporate</v>
          </cell>
          <cell r="AD1976">
            <v>35600</v>
          </cell>
        </row>
        <row r="1977">
          <cell r="A1977" t="str">
            <v>ETLCUST-01046</v>
          </cell>
          <cell r="B1977" t="str">
            <v>YOUSUF AND BROTHERS - CTG</v>
          </cell>
          <cell r="C1977" t="str">
            <v>Manjurul Huda Parvez</v>
          </cell>
          <cell r="D1977" t="str">
            <v>CTG</v>
          </cell>
          <cell r="E1977" t="str">
            <v>CTG</v>
          </cell>
          <cell r="G1977">
            <v>70000</v>
          </cell>
          <cell r="S1977">
            <v>0</v>
          </cell>
          <cell r="T1977">
            <v>1232150</v>
          </cell>
          <cell r="X1977">
            <v>2412350</v>
          </cell>
          <cell r="AL1977">
            <v>11000</v>
          </cell>
          <cell r="AM1977">
            <v>308860</v>
          </cell>
          <cell r="AQ1977">
            <v>0</v>
          </cell>
          <cell r="AR1977">
            <v>33600</v>
          </cell>
          <cell r="AV1977">
            <v>77400</v>
          </cell>
          <cell r="BA1977">
            <v>5398325</v>
          </cell>
        </row>
        <row r="1978">
          <cell r="A1978" t="str">
            <v>ETLCUST-02576</v>
          </cell>
          <cell r="B1978" t="str">
            <v>YOYOSO BD LTD.</v>
          </cell>
          <cell r="C1978" t="str">
            <v>Md. Raihan Ali</v>
          </cell>
          <cell r="D1978" t="str">
            <v>Corporate</v>
          </cell>
          <cell r="E1978" t="str">
            <v>Corporate</v>
          </cell>
          <cell r="M1978">
            <v>9263.16</v>
          </cell>
          <cell r="S1978">
            <v>21200.100000000002</v>
          </cell>
          <cell r="X1978">
            <v>137657.99</v>
          </cell>
          <cell r="AP1978">
            <v>14210.53</v>
          </cell>
          <cell r="AY1978">
            <v>22973.8</v>
          </cell>
          <cell r="BA1978">
            <v>17631.580000000002</v>
          </cell>
        </row>
        <row r="1979">
          <cell r="A1979" t="str">
            <v>ETLCUST-03620</v>
          </cell>
          <cell r="B1979" t="str">
            <v>ZAHID ELECTRONICS -  MOHONPUR, RAJSHAHI</v>
          </cell>
          <cell r="C1979" t="str">
            <v>Md Moniruzzaman Masum</v>
          </cell>
          <cell r="D1979" t="str">
            <v>Rajshahi</v>
          </cell>
          <cell r="E1979" t="str">
            <v>Rajshahi</v>
          </cell>
          <cell r="G1979">
            <v>112000</v>
          </cell>
          <cell r="Q1979">
            <v>1350</v>
          </cell>
          <cell r="S1979">
            <v>0</v>
          </cell>
          <cell r="AL1979">
            <v>18570</v>
          </cell>
          <cell r="AM1979">
            <v>331255</v>
          </cell>
          <cell r="AQ1979">
            <v>0</v>
          </cell>
          <cell r="AT1979">
            <v>2050</v>
          </cell>
          <cell r="BA1979">
            <v>1910115</v>
          </cell>
        </row>
        <row r="1980">
          <cell r="A1980" t="str">
            <v>ETLCUST-04538</v>
          </cell>
          <cell r="B1980" t="str">
            <v xml:space="preserve">ZAJJ IT - JAMALPUR </v>
          </cell>
          <cell r="C1980" t="str">
            <v>Md. Sujon Mia</v>
          </cell>
          <cell r="D1980" t="str">
            <v>Mymensingh</v>
          </cell>
          <cell r="E1980" t="str">
            <v>Mymensingh</v>
          </cell>
          <cell r="U1980">
            <v>56250</v>
          </cell>
        </row>
        <row r="1981">
          <cell r="A1981" t="str">
            <v>ETLCUST-04347</v>
          </cell>
          <cell r="B1981" t="str">
            <v>ZAYAN TECH - SAVAR</v>
          </cell>
          <cell r="C1981" t="str">
            <v>Biplop Kumar</v>
          </cell>
          <cell r="D1981" t="str">
            <v>DHK-EXT</v>
          </cell>
          <cell r="E1981" t="str">
            <v>DHK-EXT</v>
          </cell>
          <cell r="L1981">
            <v>35000</v>
          </cell>
          <cell r="P1981">
            <v>38400</v>
          </cell>
          <cell r="R1981">
            <v>41000</v>
          </cell>
        </row>
        <row r="1982">
          <cell r="A1982" t="str">
            <v>ETLCUST-02810</v>
          </cell>
          <cell r="B1982" t="str">
            <v>ZERO ONE COMPUTER - E.ROAD</v>
          </cell>
          <cell r="C1982" t="str">
            <v>Md. Rony Ahmed</v>
          </cell>
          <cell r="D1982" t="str">
            <v>DHB</v>
          </cell>
          <cell r="E1982" t="str">
            <v>DHB</v>
          </cell>
          <cell r="X1982">
            <v>8768400</v>
          </cell>
        </row>
        <row r="1983">
          <cell r="A1983" t="str">
            <v>ETLCUST-03492</v>
          </cell>
          <cell r="B1983" t="str">
            <v xml:space="preserve">ZETTA BYTE GADGETS- SUVASTU ARCADE </v>
          </cell>
          <cell r="C1983" t="str">
            <v>Mohotasim Rana</v>
          </cell>
          <cell r="D1983" t="str">
            <v>DHB</v>
          </cell>
          <cell r="E1983" t="str">
            <v>DHB</v>
          </cell>
          <cell r="U1983">
            <v>11230</v>
          </cell>
          <cell r="AV1983">
            <v>75000</v>
          </cell>
        </row>
        <row r="1984">
          <cell r="A1984" t="str">
            <v>ETLCUST-03232</v>
          </cell>
          <cell r="B1984" t="str">
            <v>ZETTA BYTE TECHNOLOGIES - MULTIPLAN</v>
          </cell>
          <cell r="C1984" t="str">
            <v>Md Mokshed Ali</v>
          </cell>
          <cell r="D1984" t="str">
            <v>Multiplan</v>
          </cell>
          <cell r="E1984" t="str">
            <v>Multiplan</v>
          </cell>
          <cell r="H1984">
            <v>245000</v>
          </cell>
          <cell r="U1984">
            <v>30500</v>
          </cell>
          <cell r="X1984">
            <v>6200</v>
          </cell>
          <cell r="Y1984">
            <v>1260000</v>
          </cell>
          <cell r="AA1984">
            <v>339000</v>
          </cell>
          <cell r="AV1984">
            <v>419250</v>
          </cell>
          <cell r="BA1984">
            <v>35400</v>
          </cell>
        </row>
        <row r="1985">
          <cell r="A1985" t="str">
            <v>ETLCUST-05217</v>
          </cell>
          <cell r="B1985" t="str">
            <v>ZICOM EQUIPMENT (BANGLADESH) PTE LTD.</v>
          </cell>
          <cell r="C1985" t="str">
            <v>Shakil Ahmed</v>
          </cell>
          <cell r="D1985" t="str">
            <v>Corporate</v>
          </cell>
          <cell r="E1985" t="str">
            <v>Corporate</v>
          </cell>
          <cell r="X1985">
            <v>33000</v>
          </cell>
        </row>
        <row r="1986">
          <cell r="A1986" t="str">
            <v>ETLCUST-03018</v>
          </cell>
          <cell r="B1986" t="str">
            <v>ZICORE TECHNOLOGIES - DHANMONDI</v>
          </cell>
          <cell r="C1986" t="str">
            <v>Md Tanjilur Rakib</v>
          </cell>
          <cell r="D1986" t="str">
            <v>HO-SI</v>
          </cell>
          <cell r="E1986" t="str">
            <v>HO-SI</v>
          </cell>
          <cell r="X1986">
            <v>485800</v>
          </cell>
          <cell r="BA1986">
            <v>17500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14"/>
  <sheetViews>
    <sheetView showGridLines="0" tabSelected="1" workbookViewId="0">
      <pane xSplit="6" ySplit="1" topLeftCell="DA2" activePane="bottomRight" state="frozen"/>
      <selection pane="topRight" activeCell="G1" sqref="G1"/>
      <selection pane="bottomLeft" activeCell="A6" sqref="A6"/>
      <selection pane="bottomRight" activeCell="C9" sqref="C9"/>
    </sheetView>
  </sheetViews>
  <sheetFormatPr defaultColWidth="8.81640625" defaultRowHeight="10.5" x14ac:dyDescent="0.35"/>
  <cols>
    <col min="1" max="1" width="10.90625" style="1" bestFit="1" customWidth="1"/>
    <col min="2" max="2" width="21.54296875" style="1" bestFit="1" customWidth="1"/>
    <col min="3" max="3" width="19.81640625" style="1" bestFit="1" customWidth="1"/>
    <col min="4" max="4" width="25.7265625" style="1" customWidth="1"/>
    <col min="5" max="5" width="16" style="1" customWidth="1"/>
    <col min="6" max="6" width="9.7265625" style="1" customWidth="1"/>
    <col min="7" max="7" width="12.08984375" style="1" bestFit="1" customWidth="1"/>
    <col min="8" max="8" width="8.81640625" style="1" bestFit="1"/>
    <col min="9" max="9" width="8.26953125" style="1" bestFit="1" customWidth="1"/>
    <col min="10" max="11" width="8.81640625" style="1" bestFit="1"/>
    <col min="12" max="12" width="8.26953125" style="1" bestFit="1" customWidth="1"/>
    <col min="13" max="14" width="8.81640625" style="1" bestFit="1"/>
    <col min="15" max="15" width="8.26953125" style="1" bestFit="1" customWidth="1"/>
    <col min="16" max="16" width="15.7265625" style="1" bestFit="1" customWidth="1"/>
    <col min="17" max="17" width="8.08984375" style="1" bestFit="1" customWidth="1"/>
    <col min="18" max="18" width="8.26953125" style="1" bestFit="1" customWidth="1"/>
    <col min="19" max="19" width="11.81640625" style="1" bestFit="1" customWidth="1"/>
    <col min="20" max="20" width="8.81640625" style="1" bestFit="1"/>
    <col min="21" max="21" width="8.26953125" style="1" bestFit="1" customWidth="1"/>
    <col min="22" max="22" width="10.6328125" style="1" bestFit="1" customWidth="1"/>
    <col min="23" max="23" width="8.08984375" style="1" bestFit="1" customWidth="1"/>
    <col min="24" max="24" width="8.26953125" style="1" bestFit="1" customWidth="1"/>
    <col min="25" max="25" width="14.7265625" style="1" bestFit="1" customWidth="1"/>
    <col min="26" max="26" width="8.08984375" style="1" bestFit="1" customWidth="1"/>
    <col min="27" max="27" width="8.26953125" style="1" bestFit="1" customWidth="1"/>
    <col min="28" max="28" width="10.36328125" style="1" bestFit="1" customWidth="1"/>
    <col min="29" max="29" width="9" style="1" bestFit="1" customWidth="1"/>
    <col min="30" max="30" width="8.26953125" style="1" bestFit="1" customWidth="1"/>
    <col min="31" max="31" width="13.54296875" style="1" bestFit="1" customWidth="1"/>
    <col min="32" max="32" width="9" style="1" bestFit="1" customWidth="1"/>
    <col min="33" max="33" width="10.54296875" style="1" bestFit="1" customWidth="1"/>
    <col min="34" max="34" width="11.1796875" style="1" bestFit="1" customWidth="1"/>
    <col min="35" max="35" width="9" style="1" bestFit="1" customWidth="1"/>
    <col min="36" max="36" width="10.54296875" style="1" bestFit="1" customWidth="1"/>
    <col min="37" max="37" width="11" style="1" bestFit="1" customWidth="1"/>
    <col min="38" max="38" width="9" style="1" bestFit="1" customWidth="1"/>
    <col min="39" max="39" width="10.54296875" style="1" bestFit="1" customWidth="1"/>
    <col min="40" max="40" width="11.7265625" style="1" bestFit="1" customWidth="1"/>
    <col min="41" max="41" width="9" style="1" bestFit="1" customWidth="1"/>
    <col min="42" max="42" width="10.54296875" style="1" bestFit="1" customWidth="1"/>
    <col min="43" max="43" width="12.81640625" style="1" bestFit="1" customWidth="1"/>
    <col min="44" max="44" width="9" style="1" bestFit="1" customWidth="1"/>
    <col min="45" max="45" width="10.54296875" style="1" bestFit="1" customWidth="1"/>
    <col min="46" max="46" width="18" style="1" bestFit="1" customWidth="1"/>
    <col min="47" max="47" width="9" style="1" bestFit="1" customWidth="1"/>
    <col min="48" max="48" width="10.54296875" style="1" bestFit="1" customWidth="1"/>
    <col min="49" max="49" width="16.81640625" style="1" bestFit="1" customWidth="1"/>
    <col min="50" max="50" width="9" style="1" bestFit="1" customWidth="1"/>
    <col min="51" max="51" width="10.54296875" style="1" bestFit="1" customWidth="1"/>
    <col min="52" max="52" width="12.7265625" style="1" bestFit="1" customWidth="1"/>
    <col min="53" max="53" width="9" style="1" bestFit="1" customWidth="1"/>
    <col min="54" max="54" width="10.54296875" style="1" bestFit="1" customWidth="1"/>
    <col min="55" max="55" width="14.81640625" style="1" bestFit="1" customWidth="1"/>
    <col min="56" max="56" width="9" style="1" bestFit="1" customWidth="1"/>
    <col min="57" max="57" width="10.54296875" style="1" bestFit="1" customWidth="1"/>
    <col min="58" max="58" width="12.08984375" style="1" bestFit="1" customWidth="1"/>
    <col min="59" max="59" width="9.90625" style="1" bestFit="1" customWidth="1"/>
    <col min="60" max="60" width="10.54296875" style="1" bestFit="1" customWidth="1"/>
    <col min="61" max="61" width="12.1796875" style="1" bestFit="1" customWidth="1"/>
    <col min="62" max="62" width="9" style="1" bestFit="1" customWidth="1"/>
    <col min="63" max="63" width="10.54296875" style="1" bestFit="1" customWidth="1"/>
    <col min="64" max="64" width="14.36328125" style="1" bestFit="1" customWidth="1"/>
    <col min="65" max="65" width="9" style="1" bestFit="1" customWidth="1"/>
    <col min="66" max="66" width="10.54296875" style="1" bestFit="1" customWidth="1"/>
    <col min="67" max="67" width="18" style="1" bestFit="1" customWidth="1"/>
    <col min="68" max="68" width="9" style="1" bestFit="1" customWidth="1"/>
    <col min="69" max="69" width="10.54296875" style="1" bestFit="1" customWidth="1"/>
    <col min="70" max="70" width="10.1796875" style="1" bestFit="1" customWidth="1"/>
    <col min="71" max="71" width="9" style="1" bestFit="1" customWidth="1"/>
    <col min="72" max="72" width="10.54296875" style="1" bestFit="1" customWidth="1"/>
    <col min="73" max="73" width="19.26953125" style="1" bestFit="1" customWidth="1"/>
    <col min="74" max="74" width="9" style="1" bestFit="1" customWidth="1"/>
    <col min="75" max="75" width="10.54296875" style="1" bestFit="1" customWidth="1"/>
    <col min="76" max="76" width="11.54296875" style="1" bestFit="1" customWidth="1"/>
    <col min="77" max="77" width="9" style="1" bestFit="1" customWidth="1"/>
    <col min="78" max="78" width="10.54296875" style="1" bestFit="1" customWidth="1"/>
    <col min="79" max="79" width="10.453125" style="1" bestFit="1" customWidth="1"/>
    <col min="80" max="80" width="10.453125" style="1" customWidth="1"/>
    <col min="81" max="81" width="10.54296875" style="1" bestFit="1" customWidth="1"/>
    <col min="82" max="82" width="13.54296875" style="1" bestFit="1" customWidth="1"/>
    <col min="83" max="83" width="9" style="1" bestFit="1" customWidth="1"/>
    <col min="84" max="84" width="10.54296875" style="1" bestFit="1" customWidth="1"/>
    <col min="85" max="85" width="16.453125" style="1" bestFit="1" customWidth="1"/>
    <col min="86" max="86" width="9" style="1" bestFit="1" customWidth="1"/>
    <col min="87" max="87" width="10.54296875" style="1" bestFit="1" customWidth="1"/>
    <col min="88" max="88" width="7.6328125" style="1" bestFit="1" customWidth="1"/>
    <col min="89" max="89" width="9" style="1" bestFit="1" customWidth="1"/>
    <col min="90" max="90" width="10.54296875" style="1" bestFit="1" customWidth="1"/>
    <col min="91" max="91" width="9.6328125" style="1" bestFit="1" customWidth="1"/>
    <col min="92" max="92" width="9" style="1" bestFit="1" customWidth="1"/>
    <col min="93" max="93" width="10.54296875" style="1" bestFit="1" customWidth="1"/>
    <col min="94" max="95" width="12.81640625" style="1" customWidth="1"/>
    <col min="96" max="96" width="10.54296875" style="1" bestFit="1" customWidth="1"/>
    <col min="97" max="97" width="17.1796875" style="1" bestFit="1" customWidth="1"/>
    <col min="98" max="98" width="9" style="1" bestFit="1" customWidth="1"/>
    <col min="99" max="99" width="10.54296875" style="1" bestFit="1" customWidth="1"/>
    <col min="100" max="100" width="14" style="1" bestFit="1" customWidth="1"/>
    <col min="101" max="101" width="9" style="1" bestFit="1" customWidth="1"/>
    <col min="102" max="102" width="10.54296875" style="1" bestFit="1" customWidth="1"/>
    <col min="103" max="103" width="12.81640625" style="1" bestFit="1" customWidth="1"/>
    <col min="104" max="104" width="9" style="1" bestFit="1" customWidth="1"/>
    <col min="105" max="105" width="8.26953125" style="1" bestFit="1" customWidth="1"/>
    <col min="106" max="106" width="19" style="1" bestFit="1" customWidth="1"/>
    <col min="107" max="107" width="25.26953125" style="1" bestFit="1" customWidth="1"/>
    <col min="108" max="108" width="8.26953125" style="1" bestFit="1" customWidth="1"/>
    <col min="109" max="109" width="3" style="1" customWidth="1"/>
    <col min="110" max="16384" width="8.81640625" style="1"/>
  </cols>
  <sheetData>
    <row r="1" spans="1:109" s="7" customFormat="1" ht="23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7</v>
      </c>
      <c r="L1" s="4" t="s">
        <v>8</v>
      </c>
      <c r="M1" s="4" t="s">
        <v>10</v>
      </c>
      <c r="N1" s="4" t="s">
        <v>7</v>
      </c>
      <c r="O1" s="4" t="s">
        <v>8</v>
      </c>
      <c r="P1" s="4" t="s">
        <v>11</v>
      </c>
      <c r="Q1" s="4" t="s">
        <v>7</v>
      </c>
      <c r="R1" s="4" t="s">
        <v>8</v>
      </c>
      <c r="S1" s="4" t="s">
        <v>12</v>
      </c>
      <c r="T1" s="4" t="s">
        <v>7</v>
      </c>
      <c r="U1" s="4" t="s">
        <v>8</v>
      </c>
      <c r="V1" s="4" t="s">
        <v>13</v>
      </c>
      <c r="W1" s="4" t="s">
        <v>7</v>
      </c>
      <c r="X1" s="4" t="s">
        <v>8</v>
      </c>
      <c r="Y1" s="4" t="s">
        <v>14</v>
      </c>
      <c r="Z1" s="4" t="s">
        <v>7</v>
      </c>
      <c r="AA1" s="4" t="s">
        <v>8</v>
      </c>
      <c r="AB1" s="4" t="s">
        <v>15</v>
      </c>
      <c r="AC1" s="4" t="s">
        <v>7</v>
      </c>
      <c r="AD1" s="4" t="s">
        <v>8</v>
      </c>
      <c r="AE1" s="4" t="s">
        <v>16</v>
      </c>
      <c r="AF1" s="4" t="s">
        <v>7</v>
      </c>
      <c r="AG1" s="4" t="s">
        <v>8</v>
      </c>
      <c r="AH1" s="4" t="s">
        <v>17</v>
      </c>
      <c r="AI1" s="4" t="s">
        <v>7</v>
      </c>
      <c r="AJ1" s="4" t="s">
        <v>8</v>
      </c>
      <c r="AK1" s="4" t="s">
        <v>18</v>
      </c>
      <c r="AL1" s="4" t="s">
        <v>7</v>
      </c>
      <c r="AM1" s="4" t="s">
        <v>8</v>
      </c>
      <c r="AN1" s="4" t="s">
        <v>19</v>
      </c>
      <c r="AO1" s="4" t="s">
        <v>7</v>
      </c>
      <c r="AP1" s="4" t="s">
        <v>8</v>
      </c>
      <c r="AQ1" s="4" t="s">
        <v>20</v>
      </c>
      <c r="AR1" s="4" t="s">
        <v>7</v>
      </c>
      <c r="AS1" s="4" t="s">
        <v>8</v>
      </c>
      <c r="AT1" s="4" t="s">
        <v>21</v>
      </c>
      <c r="AU1" s="4" t="s">
        <v>7</v>
      </c>
      <c r="AV1" s="4" t="s">
        <v>8</v>
      </c>
      <c r="AW1" s="4" t="s">
        <v>22</v>
      </c>
      <c r="AX1" s="4" t="s">
        <v>7</v>
      </c>
      <c r="AY1" s="4" t="s">
        <v>8</v>
      </c>
      <c r="AZ1" s="4" t="s">
        <v>23</v>
      </c>
      <c r="BA1" s="4" t="s">
        <v>7</v>
      </c>
      <c r="BB1" s="4" t="s">
        <v>8</v>
      </c>
      <c r="BC1" s="4" t="s">
        <v>24</v>
      </c>
      <c r="BD1" s="4" t="s">
        <v>7</v>
      </c>
      <c r="BE1" s="4" t="s">
        <v>8</v>
      </c>
      <c r="BF1" s="4" t="s">
        <v>25</v>
      </c>
      <c r="BG1" s="4" t="s">
        <v>7</v>
      </c>
      <c r="BH1" s="4" t="s">
        <v>8</v>
      </c>
      <c r="BI1" s="4" t="s">
        <v>26</v>
      </c>
      <c r="BJ1" s="4" t="s">
        <v>7</v>
      </c>
      <c r="BK1" s="4" t="s">
        <v>8</v>
      </c>
      <c r="BL1" s="4" t="s">
        <v>27</v>
      </c>
      <c r="BM1" s="4" t="s">
        <v>7</v>
      </c>
      <c r="BN1" s="4" t="s">
        <v>8</v>
      </c>
      <c r="BO1" s="4" t="s">
        <v>28</v>
      </c>
      <c r="BP1" s="4" t="s">
        <v>7</v>
      </c>
      <c r="BQ1" s="4" t="s">
        <v>8</v>
      </c>
      <c r="BR1" s="4" t="s">
        <v>29</v>
      </c>
      <c r="BS1" s="4" t="s">
        <v>7</v>
      </c>
      <c r="BT1" s="4" t="s">
        <v>8</v>
      </c>
      <c r="BU1" s="4" t="s">
        <v>30</v>
      </c>
      <c r="BV1" s="4" t="s">
        <v>7</v>
      </c>
      <c r="BW1" s="4" t="s">
        <v>8</v>
      </c>
      <c r="BX1" s="3" t="s">
        <v>31</v>
      </c>
      <c r="BY1" s="4" t="s">
        <v>7</v>
      </c>
      <c r="BZ1" s="4" t="s">
        <v>8</v>
      </c>
      <c r="CA1" s="4" t="s">
        <v>32</v>
      </c>
      <c r="CB1" s="4" t="s">
        <v>7</v>
      </c>
      <c r="CC1" s="4" t="s">
        <v>8</v>
      </c>
      <c r="CD1" s="4" t="s">
        <v>33</v>
      </c>
      <c r="CE1" s="4" t="s">
        <v>7</v>
      </c>
      <c r="CF1" s="4" t="s">
        <v>8</v>
      </c>
      <c r="CG1" s="4" t="s">
        <v>34</v>
      </c>
      <c r="CH1" s="4" t="s">
        <v>7</v>
      </c>
      <c r="CI1" s="4" t="s">
        <v>8</v>
      </c>
      <c r="CJ1" s="4" t="s">
        <v>35</v>
      </c>
      <c r="CK1" s="4" t="s">
        <v>7</v>
      </c>
      <c r="CL1" s="4" t="s">
        <v>8</v>
      </c>
      <c r="CM1" s="3" t="s">
        <v>36</v>
      </c>
      <c r="CN1" s="4" t="s">
        <v>7</v>
      </c>
      <c r="CO1" s="4" t="s">
        <v>8</v>
      </c>
      <c r="CP1" s="3" t="s">
        <v>37</v>
      </c>
      <c r="CQ1" s="4" t="s">
        <v>7</v>
      </c>
      <c r="CR1" s="4" t="s">
        <v>8</v>
      </c>
      <c r="CS1" s="3" t="s">
        <v>38</v>
      </c>
      <c r="CT1" s="4" t="s">
        <v>7</v>
      </c>
      <c r="CU1" s="4" t="s">
        <v>8</v>
      </c>
      <c r="CV1" s="3" t="s">
        <v>39</v>
      </c>
      <c r="CW1" s="4" t="s">
        <v>7</v>
      </c>
      <c r="CX1" s="4" t="s">
        <v>8</v>
      </c>
      <c r="CY1" s="3" t="s">
        <v>40</v>
      </c>
      <c r="CZ1" s="4" t="s">
        <v>7</v>
      </c>
      <c r="DA1" s="4" t="s">
        <v>8</v>
      </c>
      <c r="DB1" s="3" t="s">
        <v>1292</v>
      </c>
      <c r="DC1" s="3" t="s">
        <v>1293</v>
      </c>
      <c r="DD1" s="5" t="s">
        <v>1294</v>
      </c>
      <c r="DE1" s="6"/>
    </row>
    <row r="2" spans="1:109" x14ac:dyDescent="0.35">
      <c r="A2" s="8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10"/>
      <c r="H2" s="10"/>
      <c r="I2" s="11">
        <v>0</v>
      </c>
      <c r="J2" s="10"/>
      <c r="K2" s="10"/>
      <c r="L2" s="11">
        <v>0</v>
      </c>
      <c r="M2" s="10">
        <v>3360000</v>
      </c>
      <c r="N2" s="10">
        <v>1487200</v>
      </c>
      <c r="O2" s="11">
        <f t="shared" ref="O2:O4" si="0">N2/M2</f>
        <v>0.44261904761904763</v>
      </c>
      <c r="P2" s="10"/>
      <c r="Q2" s="10"/>
      <c r="R2" s="11">
        <v>0</v>
      </c>
      <c r="S2" s="10"/>
      <c r="T2" s="10"/>
      <c r="U2" s="11">
        <v>0</v>
      </c>
      <c r="V2" s="10"/>
      <c r="W2" s="10"/>
      <c r="X2" s="11">
        <v>0</v>
      </c>
      <c r="Y2" s="10"/>
      <c r="Z2" s="10"/>
      <c r="AA2" s="11"/>
      <c r="AB2" s="10"/>
      <c r="AC2" s="10"/>
      <c r="AD2" s="11">
        <v>0</v>
      </c>
      <c r="AE2" s="10"/>
      <c r="AF2" s="10"/>
      <c r="AG2" s="11">
        <v>0</v>
      </c>
      <c r="AH2" s="10"/>
      <c r="AI2" s="10"/>
      <c r="AJ2" s="11">
        <v>0</v>
      </c>
      <c r="AK2" s="10"/>
      <c r="AL2" s="10"/>
      <c r="AM2" s="11">
        <v>0</v>
      </c>
      <c r="AN2" s="10"/>
      <c r="AO2" s="10"/>
      <c r="AP2" s="11">
        <v>0</v>
      </c>
      <c r="AQ2" s="10"/>
      <c r="AR2" s="10"/>
      <c r="AS2" s="11">
        <v>0</v>
      </c>
      <c r="AT2" s="10"/>
      <c r="AU2" s="10"/>
      <c r="AV2" s="11">
        <v>0</v>
      </c>
      <c r="AW2" s="10"/>
      <c r="AX2" s="10"/>
      <c r="AY2" s="11">
        <v>0</v>
      </c>
      <c r="AZ2" s="10"/>
      <c r="BA2" s="10"/>
      <c r="BB2" s="11">
        <v>0</v>
      </c>
      <c r="BC2" s="10"/>
      <c r="BD2" s="10"/>
      <c r="BE2" s="11">
        <v>0</v>
      </c>
      <c r="BF2" s="10"/>
      <c r="BG2" s="10"/>
      <c r="BH2" s="11">
        <v>0</v>
      </c>
      <c r="BI2" s="10"/>
      <c r="BJ2" s="10"/>
      <c r="BK2" s="11">
        <v>0</v>
      </c>
      <c r="BL2" s="10"/>
      <c r="BM2" s="10"/>
      <c r="BN2" s="11">
        <v>0</v>
      </c>
      <c r="BO2" s="10"/>
      <c r="BP2" s="10"/>
      <c r="BQ2" s="11">
        <v>0</v>
      </c>
      <c r="BR2" s="10">
        <v>300000</v>
      </c>
      <c r="BS2" s="10">
        <v>148300</v>
      </c>
      <c r="BT2" s="11">
        <f t="shared" ref="BT2" si="1">BS2/BR2</f>
        <v>0.49433333333333335</v>
      </c>
      <c r="BU2" s="10">
        <v>100000</v>
      </c>
      <c r="BV2" s="10">
        <v>51600</v>
      </c>
      <c r="BW2" s="11">
        <f t="shared" ref="BW2" si="2">BV2/BU2</f>
        <v>0.51600000000000001</v>
      </c>
      <c r="BX2" s="10"/>
      <c r="BY2" s="10"/>
      <c r="BZ2" s="11">
        <v>0</v>
      </c>
      <c r="CA2" s="10"/>
      <c r="CB2" s="10"/>
      <c r="CC2" s="11">
        <v>0</v>
      </c>
      <c r="CD2" s="10"/>
      <c r="CE2" s="10"/>
      <c r="CF2" s="11">
        <v>0</v>
      </c>
      <c r="CG2" s="10"/>
      <c r="CH2" s="10"/>
      <c r="CI2" s="11">
        <v>0</v>
      </c>
      <c r="CJ2" s="10"/>
      <c r="CK2" s="10"/>
      <c r="CL2" s="11">
        <v>0</v>
      </c>
      <c r="CM2" s="10"/>
      <c r="CN2" s="10"/>
      <c r="CO2" s="11">
        <v>0</v>
      </c>
      <c r="CP2" s="10"/>
      <c r="CQ2" s="10"/>
      <c r="CR2" s="11">
        <v>0</v>
      </c>
      <c r="CS2" s="10"/>
      <c r="CT2" s="10"/>
      <c r="CU2" s="11">
        <v>0</v>
      </c>
      <c r="CV2" s="10"/>
      <c r="CW2" s="10"/>
      <c r="CX2" s="11">
        <v>0</v>
      </c>
      <c r="CY2" s="10"/>
      <c r="CZ2" s="10"/>
      <c r="DA2" s="11">
        <v>0</v>
      </c>
      <c r="DB2" s="10">
        <v>3760000</v>
      </c>
      <c r="DC2" s="10">
        <f t="shared" ref="DC2:DC7" si="3">SUM(H2,K2,N2,Q2,T2,W2,Z2,AC2,AF2,AI2,AL2,AO2,AR2,AU2,AX2,BA2,BD2,BG2,BJ2,BM2,BP2,BS2,BV2,BY2,CB2,CE2,CH2,CK2,CN2,CQ2,CT2,CW2,CZ2)</f>
        <v>1687100</v>
      </c>
      <c r="DD2" s="13">
        <f t="shared" ref="DD2:DD7" si="4">DC2/DB2</f>
        <v>0.44869680851063831</v>
      </c>
      <c r="DE2" s="14"/>
    </row>
    <row r="3" spans="1:109" x14ac:dyDescent="0.35">
      <c r="A3" s="8" t="s">
        <v>47</v>
      </c>
      <c r="B3" s="9" t="s">
        <v>48</v>
      </c>
      <c r="C3" s="9" t="s">
        <v>43</v>
      </c>
      <c r="D3" s="9" t="s">
        <v>49</v>
      </c>
      <c r="E3" s="9" t="s">
        <v>45</v>
      </c>
      <c r="F3" s="9" t="s">
        <v>46</v>
      </c>
      <c r="G3" s="10">
        <v>18000000</v>
      </c>
      <c r="H3" s="10">
        <v>9592200</v>
      </c>
      <c r="I3" s="11">
        <f t="shared" ref="I3:I7" si="5">H3/G3</f>
        <v>0.53290000000000004</v>
      </c>
      <c r="J3" s="10">
        <v>4000000</v>
      </c>
      <c r="K3" s="10">
        <v>2235700</v>
      </c>
      <c r="L3" s="11">
        <f t="shared" ref="L3:L7" si="6">K3/J3</f>
        <v>0.55892500000000001</v>
      </c>
      <c r="M3" s="10"/>
      <c r="N3" s="10"/>
      <c r="O3" s="11">
        <v>0</v>
      </c>
      <c r="P3" s="10"/>
      <c r="Q3" s="10"/>
      <c r="R3" s="11">
        <v>0</v>
      </c>
      <c r="S3" s="10"/>
      <c r="T3" s="10"/>
      <c r="U3" s="11">
        <v>0</v>
      </c>
      <c r="V3" s="10"/>
      <c r="W3" s="10"/>
      <c r="X3" s="11">
        <v>0</v>
      </c>
      <c r="Y3" s="10"/>
      <c r="Z3" s="10"/>
      <c r="AA3" s="11"/>
      <c r="AB3" s="10"/>
      <c r="AC3" s="10"/>
      <c r="AD3" s="11">
        <v>0</v>
      </c>
      <c r="AE3" s="10"/>
      <c r="AF3" s="10"/>
      <c r="AG3" s="11">
        <v>0</v>
      </c>
      <c r="AH3" s="10"/>
      <c r="AI3" s="10"/>
      <c r="AJ3" s="11">
        <v>0</v>
      </c>
      <c r="AK3" s="10"/>
      <c r="AL3" s="10"/>
      <c r="AM3" s="11">
        <v>0</v>
      </c>
      <c r="AN3" s="10"/>
      <c r="AO3" s="10"/>
      <c r="AP3" s="11">
        <v>0</v>
      </c>
      <c r="AQ3" s="10"/>
      <c r="AR3" s="10"/>
      <c r="AS3" s="11">
        <v>0</v>
      </c>
      <c r="AT3" s="10">
        <v>1000000</v>
      </c>
      <c r="AU3" s="10"/>
      <c r="AV3" s="11">
        <f t="shared" ref="AV3" si="7">AU3/AT3</f>
        <v>0</v>
      </c>
      <c r="AW3" s="10">
        <v>2000000</v>
      </c>
      <c r="AX3" s="10">
        <v>834960</v>
      </c>
      <c r="AY3" s="11">
        <f t="shared" ref="AY3:AY7" si="8">AX3/AW3</f>
        <v>0.41748000000000002</v>
      </c>
      <c r="AZ3" s="10"/>
      <c r="BA3" s="10"/>
      <c r="BB3" s="11">
        <v>0</v>
      </c>
      <c r="BC3" s="10"/>
      <c r="BD3" s="10"/>
      <c r="BE3" s="11">
        <v>0</v>
      </c>
      <c r="BF3" s="10"/>
      <c r="BG3" s="10">
        <f>VLOOKUP(A:A,'[1]2026 Customer Brand Sales'!$A:$BA,53,0)</f>
        <v>295540</v>
      </c>
      <c r="BH3" s="11">
        <v>0</v>
      </c>
      <c r="BI3" s="10"/>
      <c r="BJ3" s="10"/>
      <c r="BK3" s="11">
        <v>0</v>
      </c>
      <c r="BL3" s="10"/>
      <c r="BM3" s="10"/>
      <c r="BN3" s="11">
        <v>0</v>
      </c>
      <c r="BO3" s="10"/>
      <c r="BP3" s="10"/>
      <c r="BQ3" s="11">
        <v>0</v>
      </c>
      <c r="BR3" s="10"/>
      <c r="BS3" s="10"/>
      <c r="BT3" s="11">
        <v>0</v>
      </c>
      <c r="BU3" s="10"/>
      <c r="BV3" s="10"/>
      <c r="BW3" s="11">
        <v>0</v>
      </c>
      <c r="BX3" s="10"/>
      <c r="BY3" s="10"/>
      <c r="BZ3" s="11">
        <v>0</v>
      </c>
      <c r="CA3" s="10"/>
      <c r="CB3" s="10"/>
      <c r="CC3" s="11">
        <v>0</v>
      </c>
      <c r="CD3" s="10"/>
      <c r="CE3" s="10"/>
      <c r="CF3" s="11">
        <v>0</v>
      </c>
      <c r="CG3" s="10"/>
      <c r="CH3" s="10"/>
      <c r="CI3" s="11">
        <v>0</v>
      </c>
      <c r="CJ3" s="10"/>
      <c r="CK3" s="10"/>
      <c r="CL3" s="11">
        <v>0</v>
      </c>
      <c r="CM3" s="10"/>
      <c r="CN3" s="10"/>
      <c r="CO3" s="11">
        <v>0</v>
      </c>
      <c r="CP3" s="10"/>
      <c r="CQ3" s="10"/>
      <c r="CR3" s="11">
        <v>0</v>
      </c>
      <c r="CS3" s="10"/>
      <c r="CT3" s="10"/>
      <c r="CU3" s="11">
        <v>0</v>
      </c>
      <c r="CV3" s="10"/>
      <c r="CW3" s="10"/>
      <c r="CX3" s="11">
        <v>0</v>
      </c>
      <c r="CY3" s="10"/>
      <c r="CZ3" s="10"/>
      <c r="DA3" s="11">
        <v>0</v>
      </c>
      <c r="DB3" s="10">
        <v>25000000</v>
      </c>
      <c r="DC3" s="10">
        <f t="shared" si="3"/>
        <v>12958400</v>
      </c>
      <c r="DD3" s="13">
        <f t="shared" si="4"/>
        <v>0.51833600000000002</v>
      </c>
      <c r="DE3" s="14"/>
    </row>
    <row r="4" spans="1:109" x14ac:dyDescent="0.35">
      <c r="A4" s="8" t="s">
        <v>50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  <c r="G4" s="10"/>
      <c r="H4" s="10">
        <v>104300</v>
      </c>
      <c r="I4" s="11">
        <v>0</v>
      </c>
      <c r="J4" s="10"/>
      <c r="K4" s="10"/>
      <c r="L4" s="12">
        <v>0</v>
      </c>
      <c r="M4" s="10">
        <v>112000</v>
      </c>
      <c r="N4" s="10">
        <v>53500</v>
      </c>
      <c r="O4" s="11">
        <f t="shared" si="0"/>
        <v>0.47767857142857145</v>
      </c>
      <c r="P4" s="10"/>
      <c r="Q4" s="10"/>
      <c r="R4" s="11">
        <v>0</v>
      </c>
      <c r="S4" s="10">
        <v>100000</v>
      </c>
      <c r="T4" s="10"/>
      <c r="U4" s="11">
        <f t="shared" ref="U4" si="9">T4/S4</f>
        <v>0</v>
      </c>
      <c r="V4" s="10"/>
      <c r="W4" s="10"/>
      <c r="X4" s="11">
        <v>0</v>
      </c>
      <c r="Y4" s="10">
        <v>400000</v>
      </c>
      <c r="Z4" s="10">
        <v>115500</v>
      </c>
      <c r="AA4" s="11">
        <f t="shared" ref="AA4:AA6" si="10">Z4/Y4</f>
        <v>0.28875000000000001</v>
      </c>
      <c r="AB4" s="10">
        <v>25000</v>
      </c>
      <c r="AC4" s="10"/>
      <c r="AD4" s="11">
        <v>0</v>
      </c>
      <c r="AE4" s="10"/>
      <c r="AF4" s="10"/>
      <c r="AG4" s="11">
        <v>0</v>
      </c>
      <c r="AH4" s="10">
        <v>20000</v>
      </c>
      <c r="AI4" s="10"/>
      <c r="AJ4" s="11">
        <f t="shared" ref="AJ4" si="11">AI4/AH4</f>
        <v>0</v>
      </c>
      <c r="AK4" s="10">
        <v>200000</v>
      </c>
      <c r="AL4" s="10"/>
      <c r="AM4" s="11">
        <f t="shared" ref="AM4:AM6" si="12">AL4/AK4</f>
        <v>0</v>
      </c>
      <c r="AN4" s="10"/>
      <c r="AO4" s="10"/>
      <c r="AP4" s="11">
        <v>0</v>
      </c>
      <c r="AQ4" s="10">
        <v>199872</v>
      </c>
      <c r="AR4" s="10"/>
      <c r="AS4" s="11">
        <f t="shared" ref="AS4" si="13">AR4/AQ4</f>
        <v>0</v>
      </c>
      <c r="AT4" s="10"/>
      <c r="AU4" s="10"/>
      <c r="AV4" s="11">
        <v>0</v>
      </c>
      <c r="AW4" s="10"/>
      <c r="AX4" s="10"/>
      <c r="AY4" s="11">
        <v>0</v>
      </c>
      <c r="AZ4" s="10"/>
      <c r="BA4" s="10"/>
      <c r="BB4" s="11">
        <v>0</v>
      </c>
      <c r="BC4" s="10"/>
      <c r="BD4" s="10"/>
      <c r="BE4" s="11">
        <v>0</v>
      </c>
      <c r="BF4" s="10">
        <v>2900000</v>
      </c>
      <c r="BG4" s="10">
        <f>VLOOKUP(A:A,'[1]2026 Customer Brand Sales'!$A:$BA,53,0)</f>
        <v>523400</v>
      </c>
      <c r="BH4" s="11">
        <f t="shared" ref="BH4:BH6" si="14">BG4/BF4</f>
        <v>0.18048275862068966</v>
      </c>
      <c r="BI4" s="10"/>
      <c r="BJ4" s="10">
        <v>166500</v>
      </c>
      <c r="BK4" s="11">
        <v>0</v>
      </c>
      <c r="BL4" s="10"/>
      <c r="BM4" s="10"/>
      <c r="BN4" s="11">
        <v>0</v>
      </c>
      <c r="BO4" s="10"/>
      <c r="BP4" s="10">
        <v>19900</v>
      </c>
      <c r="BQ4" s="11">
        <v>0</v>
      </c>
      <c r="BR4" s="10"/>
      <c r="BS4" s="10"/>
      <c r="BT4" s="11">
        <v>0</v>
      </c>
      <c r="BU4" s="10"/>
      <c r="BV4" s="10"/>
      <c r="BW4" s="11">
        <v>0</v>
      </c>
      <c r="BX4" s="10"/>
      <c r="BY4" s="10"/>
      <c r="BZ4" s="11">
        <v>0</v>
      </c>
      <c r="CA4" s="10"/>
      <c r="CB4" s="10"/>
      <c r="CC4" s="11">
        <v>0</v>
      </c>
      <c r="CD4" s="10"/>
      <c r="CE4" s="10"/>
      <c r="CF4" s="11">
        <v>0</v>
      </c>
      <c r="CG4" s="10">
        <v>400000</v>
      </c>
      <c r="CH4" s="10">
        <v>121100</v>
      </c>
      <c r="CI4" s="11">
        <f t="shared" ref="CI4" si="15">CH4/CG4</f>
        <v>0.30275000000000002</v>
      </c>
      <c r="CJ4" s="10"/>
      <c r="CK4" s="10"/>
      <c r="CL4" s="11">
        <v>0</v>
      </c>
      <c r="CM4" s="10">
        <v>50000</v>
      </c>
      <c r="CN4" s="10"/>
      <c r="CO4" s="11">
        <v>0</v>
      </c>
      <c r="CP4" s="10">
        <v>50000</v>
      </c>
      <c r="CQ4" s="10"/>
      <c r="CR4" s="11">
        <f t="shared" ref="CR4" si="16">CQ4/CP4</f>
        <v>0</v>
      </c>
      <c r="CS4" s="10">
        <v>300000</v>
      </c>
      <c r="CT4" s="10">
        <v>75900</v>
      </c>
      <c r="CU4" s="11">
        <f t="shared" ref="CU4" si="17">CT4/CS4</f>
        <v>0.253</v>
      </c>
      <c r="CV4" s="10">
        <v>300000</v>
      </c>
      <c r="CW4" s="10">
        <v>51000</v>
      </c>
      <c r="CX4" s="11">
        <f t="shared" ref="CX4" si="18">CW4/CV4</f>
        <v>0.17</v>
      </c>
      <c r="CY4" s="10"/>
      <c r="CZ4" s="10">
        <v>119000</v>
      </c>
      <c r="DA4" s="11">
        <v>0</v>
      </c>
      <c r="DB4" s="10">
        <v>5056872</v>
      </c>
      <c r="DC4" s="10">
        <f t="shared" si="3"/>
        <v>1350100</v>
      </c>
      <c r="DD4" s="13">
        <f t="shared" si="4"/>
        <v>0.26698322599425101</v>
      </c>
      <c r="DE4" s="14"/>
    </row>
    <row r="5" spans="1:109" x14ac:dyDescent="0.35">
      <c r="A5" s="8" t="s">
        <v>56</v>
      </c>
      <c r="B5" s="9" t="s">
        <v>51</v>
      </c>
      <c r="C5" s="9" t="s">
        <v>52</v>
      </c>
      <c r="D5" s="9" t="s">
        <v>57</v>
      </c>
      <c r="E5" s="9" t="s">
        <v>54</v>
      </c>
      <c r="F5" s="9" t="s">
        <v>55</v>
      </c>
      <c r="G5" s="10"/>
      <c r="H5" s="10"/>
      <c r="I5" s="11">
        <v>0</v>
      </c>
      <c r="J5" s="10"/>
      <c r="K5" s="10"/>
      <c r="L5" s="12">
        <v>0</v>
      </c>
      <c r="M5" s="10"/>
      <c r="N5" s="10"/>
      <c r="O5" s="11">
        <v>0</v>
      </c>
      <c r="P5" s="10"/>
      <c r="Q5" s="10"/>
      <c r="R5" s="11">
        <v>0</v>
      </c>
      <c r="S5" s="10"/>
      <c r="T5" s="10"/>
      <c r="U5" s="11">
        <v>0</v>
      </c>
      <c r="V5" s="10"/>
      <c r="W5" s="10"/>
      <c r="X5" s="11">
        <v>0</v>
      </c>
      <c r="Y5" s="10"/>
      <c r="Z5" s="10"/>
      <c r="AA5" s="11"/>
      <c r="AB5" s="10"/>
      <c r="AC5" s="10"/>
      <c r="AD5" s="11">
        <v>0</v>
      </c>
      <c r="AE5" s="10"/>
      <c r="AF5" s="10"/>
      <c r="AG5" s="11">
        <v>0</v>
      </c>
      <c r="AH5" s="10"/>
      <c r="AI5" s="10"/>
      <c r="AJ5" s="11">
        <v>0</v>
      </c>
      <c r="AK5" s="10"/>
      <c r="AL5" s="10"/>
      <c r="AM5" s="11">
        <v>0</v>
      </c>
      <c r="AN5" s="10"/>
      <c r="AO5" s="10"/>
      <c r="AP5" s="11">
        <v>0</v>
      </c>
      <c r="AQ5" s="10"/>
      <c r="AR5" s="10"/>
      <c r="AS5" s="11">
        <v>0</v>
      </c>
      <c r="AT5" s="10"/>
      <c r="AU5" s="10"/>
      <c r="AV5" s="11">
        <v>0</v>
      </c>
      <c r="AW5" s="10"/>
      <c r="AX5" s="10"/>
      <c r="AY5" s="11">
        <v>0</v>
      </c>
      <c r="AZ5" s="10"/>
      <c r="BA5" s="10"/>
      <c r="BB5" s="11">
        <v>0</v>
      </c>
      <c r="BC5" s="10"/>
      <c r="BD5" s="10"/>
      <c r="BE5" s="11">
        <v>0</v>
      </c>
      <c r="BF5" s="10"/>
      <c r="BG5" s="10"/>
      <c r="BH5" s="11">
        <v>0</v>
      </c>
      <c r="BI5" s="10"/>
      <c r="BJ5" s="10"/>
      <c r="BK5" s="11">
        <v>0</v>
      </c>
      <c r="BL5" s="10"/>
      <c r="BM5" s="10"/>
      <c r="BN5" s="11">
        <v>0</v>
      </c>
      <c r="BO5" s="10"/>
      <c r="BP5" s="10"/>
      <c r="BQ5" s="11">
        <v>0</v>
      </c>
      <c r="BR5" s="10"/>
      <c r="BS5" s="10"/>
      <c r="BT5" s="11">
        <v>0</v>
      </c>
      <c r="BU5" s="10"/>
      <c r="BV5" s="10"/>
      <c r="BW5" s="11">
        <v>0</v>
      </c>
      <c r="BX5" s="10"/>
      <c r="BY5" s="10"/>
      <c r="BZ5" s="11">
        <v>0</v>
      </c>
      <c r="CA5" s="10"/>
      <c r="CB5" s="10"/>
      <c r="CC5" s="11">
        <v>0</v>
      </c>
      <c r="CD5" s="10"/>
      <c r="CE5" s="10"/>
      <c r="CF5" s="11">
        <v>0</v>
      </c>
      <c r="CG5" s="10"/>
      <c r="CH5" s="10">
        <v>105380</v>
      </c>
      <c r="CI5" s="11">
        <v>0</v>
      </c>
      <c r="CJ5" s="10"/>
      <c r="CK5" s="10"/>
      <c r="CL5" s="11">
        <v>0</v>
      </c>
      <c r="CM5" s="10"/>
      <c r="CN5" s="10">
        <v>16600</v>
      </c>
      <c r="CO5" s="11">
        <v>0</v>
      </c>
      <c r="CP5" s="10"/>
      <c r="CQ5" s="10"/>
      <c r="CR5" s="11">
        <v>0</v>
      </c>
      <c r="CS5" s="10"/>
      <c r="CT5" s="10">
        <v>133600</v>
      </c>
      <c r="CU5" s="11">
        <v>0</v>
      </c>
      <c r="CV5" s="10"/>
      <c r="CW5" s="10"/>
      <c r="CX5" s="11">
        <v>0</v>
      </c>
      <c r="CY5" s="10"/>
      <c r="CZ5" s="10"/>
      <c r="DA5" s="11">
        <v>0</v>
      </c>
      <c r="DB5" s="10"/>
      <c r="DC5" s="10">
        <f t="shared" si="3"/>
        <v>255580</v>
      </c>
      <c r="DD5" s="13">
        <v>0</v>
      </c>
      <c r="DE5" s="14"/>
    </row>
    <row r="6" spans="1:109" x14ac:dyDescent="0.35">
      <c r="A6" s="8" t="s">
        <v>58</v>
      </c>
      <c r="B6" s="9" t="s">
        <v>59</v>
      </c>
      <c r="C6" s="9" t="s">
        <v>43</v>
      </c>
      <c r="D6" s="9" t="s">
        <v>60</v>
      </c>
      <c r="E6" s="9" t="s">
        <v>61</v>
      </c>
      <c r="F6" s="9" t="s">
        <v>62</v>
      </c>
      <c r="G6" s="10"/>
      <c r="H6" s="10"/>
      <c r="I6" s="11">
        <v>0</v>
      </c>
      <c r="J6" s="10"/>
      <c r="K6" s="10"/>
      <c r="L6" s="12">
        <v>0</v>
      </c>
      <c r="M6" s="10"/>
      <c r="N6" s="10"/>
      <c r="O6" s="11">
        <v>0</v>
      </c>
      <c r="P6" s="10"/>
      <c r="Q6" s="10"/>
      <c r="R6" s="11">
        <v>0</v>
      </c>
      <c r="S6" s="10"/>
      <c r="T6" s="10"/>
      <c r="U6" s="11">
        <v>0</v>
      </c>
      <c r="V6" s="10"/>
      <c r="W6" s="10"/>
      <c r="X6" s="11">
        <v>0</v>
      </c>
      <c r="Y6" s="10">
        <v>50000</v>
      </c>
      <c r="Z6" s="10">
        <v>16000</v>
      </c>
      <c r="AA6" s="11">
        <f t="shared" si="10"/>
        <v>0.32</v>
      </c>
      <c r="AB6" s="10"/>
      <c r="AC6" s="10"/>
      <c r="AD6" s="11">
        <v>0</v>
      </c>
      <c r="AE6" s="10">
        <v>150000</v>
      </c>
      <c r="AF6" s="10">
        <v>25250</v>
      </c>
      <c r="AG6" s="11">
        <f t="shared" ref="AG6" si="19">AF6/AE6</f>
        <v>0.16833333333333333</v>
      </c>
      <c r="AH6" s="10"/>
      <c r="AI6" s="10"/>
      <c r="AJ6" s="11">
        <v>0</v>
      </c>
      <c r="AK6" s="10">
        <v>200000</v>
      </c>
      <c r="AL6" s="10"/>
      <c r="AM6" s="11">
        <f t="shared" si="12"/>
        <v>0</v>
      </c>
      <c r="AN6" s="10"/>
      <c r="AO6" s="10"/>
      <c r="AP6" s="11">
        <v>0</v>
      </c>
      <c r="AQ6" s="10"/>
      <c r="AR6" s="10"/>
      <c r="AS6" s="11">
        <v>0</v>
      </c>
      <c r="AT6" s="10"/>
      <c r="AU6" s="10"/>
      <c r="AV6" s="11">
        <v>0</v>
      </c>
      <c r="AW6" s="10"/>
      <c r="AX6" s="10"/>
      <c r="AY6" s="11">
        <v>0</v>
      </c>
      <c r="AZ6" s="10"/>
      <c r="BA6" s="10"/>
      <c r="BB6" s="11">
        <v>0</v>
      </c>
      <c r="BC6" s="10"/>
      <c r="BD6" s="10"/>
      <c r="BE6" s="11">
        <v>0</v>
      </c>
      <c r="BF6" s="10">
        <v>8000000</v>
      </c>
      <c r="BG6" s="10">
        <f>VLOOKUP(A:A,'[1]2026 Customer Brand Sales'!$A:$BA,53,0)</f>
        <v>5320935</v>
      </c>
      <c r="BH6" s="11">
        <f t="shared" si="14"/>
        <v>0.66511687500000005</v>
      </c>
      <c r="BI6" s="10"/>
      <c r="BJ6" s="10"/>
      <c r="BK6" s="11">
        <v>0</v>
      </c>
      <c r="BL6" s="10">
        <v>1000000</v>
      </c>
      <c r="BM6" s="10">
        <v>471805</v>
      </c>
      <c r="BN6" s="11">
        <f t="shared" ref="BN6" si="20">BM6/BL6</f>
        <v>0.47180499999999997</v>
      </c>
      <c r="BO6" s="10"/>
      <c r="BP6" s="10">
        <v>133075</v>
      </c>
      <c r="BQ6" s="11">
        <v>0</v>
      </c>
      <c r="BR6" s="10"/>
      <c r="BS6" s="10"/>
      <c r="BT6" s="11">
        <v>0</v>
      </c>
      <c r="BU6" s="10"/>
      <c r="BV6" s="10"/>
      <c r="BW6" s="11">
        <v>0</v>
      </c>
      <c r="BX6" s="10"/>
      <c r="BY6" s="10"/>
      <c r="BZ6" s="11">
        <v>0</v>
      </c>
      <c r="CA6" s="10"/>
      <c r="CB6" s="10"/>
      <c r="CC6" s="11">
        <v>0</v>
      </c>
      <c r="CD6" s="10"/>
      <c r="CE6" s="10"/>
      <c r="CF6" s="11">
        <v>0</v>
      </c>
      <c r="CG6" s="10"/>
      <c r="CH6" s="10"/>
      <c r="CI6" s="11">
        <v>0</v>
      </c>
      <c r="CJ6" s="10"/>
      <c r="CK6" s="10"/>
      <c r="CL6" s="11">
        <v>0</v>
      </c>
      <c r="CM6" s="10"/>
      <c r="CN6" s="10"/>
      <c r="CO6" s="11">
        <v>0</v>
      </c>
      <c r="CP6" s="10"/>
      <c r="CQ6" s="10"/>
      <c r="CR6" s="11">
        <v>0</v>
      </c>
      <c r="CS6" s="10"/>
      <c r="CT6" s="10"/>
      <c r="CU6" s="11">
        <v>0</v>
      </c>
      <c r="CV6" s="10"/>
      <c r="CW6" s="10"/>
      <c r="CX6" s="11">
        <v>0</v>
      </c>
      <c r="CY6" s="10"/>
      <c r="CZ6" s="10"/>
      <c r="DA6" s="11">
        <v>0</v>
      </c>
      <c r="DB6" s="10">
        <v>9400000</v>
      </c>
      <c r="DC6" s="10">
        <f t="shared" si="3"/>
        <v>5967065</v>
      </c>
      <c r="DD6" s="13">
        <f t="shared" si="4"/>
        <v>0.63479414893617025</v>
      </c>
      <c r="DE6" s="14"/>
    </row>
    <row r="7" spans="1:109" x14ac:dyDescent="0.35">
      <c r="A7" s="8" t="s">
        <v>63</v>
      </c>
      <c r="B7" s="9" t="s">
        <v>51</v>
      </c>
      <c r="C7" s="9" t="s">
        <v>52</v>
      </c>
      <c r="D7" s="9" t="s">
        <v>64</v>
      </c>
      <c r="E7" s="9" t="s">
        <v>54</v>
      </c>
      <c r="F7" s="9" t="s">
        <v>55</v>
      </c>
      <c r="G7" s="10">
        <v>3000000</v>
      </c>
      <c r="H7" s="10">
        <v>3425650</v>
      </c>
      <c r="I7" s="11">
        <f t="shared" si="5"/>
        <v>1.1418833333333334</v>
      </c>
      <c r="J7" s="10">
        <v>800000</v>
      </c>
      <c r="K7" s="10">
        <v>851600</v>
      </c>
      <c r="L7" s="11">
        <f t="shared" si="6"/>
        <v>1.0645</v>
      </c>
      <c r="M7" s="10"/>
      <c r="N7" s="10"/>
      <c r="O7" s="11">
        <v>0</v>
      </c>
      <c r="P7" s="10"/>
      <c r="Q7" s="10"/>
      <c r="R7" s="11">
        <v>0</v>
      </c>
      <c r="S7" s="10"/>
      <c r="T7" s="10"/>
      <c r="U7" s="11">
        <v>0</v>
      </c>
      <c r="V7" s="10"/>
      <c r="W7" s="10"/>
      <c r="X7" s="11">
        <v>0</v>
      </c>
      <c r="Y7" s="10"/>
      <c r="Z7" s="10"/>
      <c r="AA7" s="11"/>
      <c r="AB7" s="10"/>
      <c r="AC7" s="10"/>
      <c r="AD7" s="11">
        <v>0</v>
      </c>
      <c r="AE7" s="10"/>
      <c r="AF7" s="10"/>
      <c r="AG7" s="11">
        <v>0</v>
      </c>
      <c r="AH7" s="10"/>
      <c r="AI7" s="10"/>
      <c r="AJ7" s="11">
        <v>0</v>
      </c>
      <c r="AK7" s="10"/>
      <c r="AL7" s="10"/>
      <c r="AM7" s="11">
        <v>0</v>
      </c>
      <c r="AN7" s="10"/>
      <c r="AO7" s="10"/>
      <c r="AP7" s="11">
        <v>0</v>
      </c>
      <c r="AQ7" s="10"/>
      <c r="AR7" s="10"/>
      <c r="AS7" s="11">
        <v>0</v>
      </c>
      <c r="AT7" s="10"/>
      <c r="AU7" s="10"/>
      <c r="AV7" s="11">
        <v>0</v>
      </c>
      <c r="AW7" s="10">
        <v>500000</v>
      </c>
      <c r="AX7" s="10"/>
      <c r="AY7" s="11">
        <f t="shared" si="8"/>
        <v>0</v>
      </c>
      <c r="AZ7" s="10"/>
      <c r="BA7" s="10"/>
      <c r="BB7" s="11">
        <v>0</v>
      </c>
      <c r="BC7" s="10">
        <v>59830</v>
      </c>
      <c r="BD7" s="10">
        <v>49000</v>
      </c>
      <c r="BE7" s="11">
        <f t="shared" ref="BE7" si="21">BD7/BC7</f>
        <v>0.81898713020223968</v>
      </c>
      <c r="BF7" s="10"/>
      <c r="BG7" s="10">
        <f>VLOOKUP(A:A,'[1]2026 Customer Brand Sales'!$A:$BA,53,0)</f>
        <v>7500</v>
      </c>
      <c r="BH7" s="11">
        <v>0</v>
      </c>
      <c r="BI7" s="10"/>
      <c r="BJ7" s="10"/>
      <c r="BK7" s="11">
        <v>0</v>
      </c>
      <c r="BL7" s="10"/>
      <c r="BM7" s="10"/>
      <c r="BN7" s="11">
        <v>0</v>
      </c>
      <c r="BO7" s="10"/>
      <c r="BP7" s="10"/>
      <c r="BQ7" s="11">
        <v>0</v>
      </c>
      <c r="BR7" s="10"/>
      <c r="BS7" s="10"/>
      <c r="BT7" s="11">
        <v>0</v>
      </c>
      <c r="BU7" s="10"/>
      <c r="BV7" s="10"/>
      <c r="BW7" s="11">
        <v>0</v>
      </c>
      <c r="BX7" s="10"/>
      <c r="BY7" s="10"/>
      <c r="BZ7" s="11">
        <v>0</v>
      </c>
      <c r="CA7" s="10"/>
      <c r="CB7" s="10"/>
      <c r="CC7" s="11">
        <v>0</v>
      </c>
      <c r="CD7" s="10"/>
      <c r="CE7" s="10"/>
      <c r="CF7" s="11">
        <v>0</v>
      </c>
      <c r="CG7" s="10"/>
      <c r="CH7" s="10"/>
      <c r="CI7" s="11">
        <v>0</v>
      </c>
      <c r="CJ7" s="10"/>
      <c r="CK7" s="10"/>
      <c r="CL7" s="11">
        <v>0</v>
      </c>
      <c r="CM7" s="10"/>
      <c r="CN7" s="10"/>
      <c r="CO7" s="11">
        <v>0</v>
      </c>
      <c r="CP7" s="10"/>
      <c r="CQ7" s="10"/>
      <c r="CR7" s="11">
        <v>0</v>
      </c>
      <c r="CS7" s="10"/>
      <c r="CT7" s="10"/>
      <c r="CU7" s="11">
        <v>0</v>
      </c>
      <c r="CV7" s="10"/>
      <c r="CW7" s="10"/>
      <c r="CX7" s="11">
        <v>0</v>
      </c>
      <c r="CY7" s="10"/>
      <c r="CZ7" s="10"/>
      <c r="DA7" s="11">
        <v>0</v>
      </c>
      <c r="DB7" s="10">
        <v>4359830</v>
      </c>
      <c r="DC7" s="10">
        <f t="shared" si="3"/>
        <v>4333750</v>
      </c>
      <c r="DD7" s="13">
        <f t="shared" si="4"/>
        <v>0.99401811538523288</v>
      </c>
      <c r="DE7" s="14"/>
    </row>
    <row r="8" spans="1:109" x14ac:dyDescent="0.35">
      <c r="A8" s="8" t="s">
        <v>65</v>
      </c>
      <c r="B8" s="9" t="s">
        <v>51</v>
      </c>
      <c r="C8" s="9" t="s">
        <v>52</v>
      </c>
      <c r="D8" s="9" t="s">
        <v>66</v>
      </c>
      <c r="E8" s="9" t="s">
        <v>54</v>
      </c>
      <c r="F8" s="9" t="s">
        <v>55</v>
      </c>
      <c r="G8" s="10"/>
      <c r="H8" s="10"/>
      <c r="I8" s="11">
        <v>0</v>
      </c>
      <c r="J8" s="10"/>
      <c r="K8" s="10"/>
      <c r="L8" s="12">
        <v>0</v>
      </c>
      <c r="M8" s="10">
        <v>336000</v>
      </c>
      <c r="N8" s="10">
        <v>953000</v>
      </c>
      <c r="O8" s="11">
        <f t="shared" ref="O8:O20" si="22">N8/M8</f>
        <v>2.8363095238095237</v>
      </c>
      <c r="P8" s="10"/>
      <c r="Q8" s="10"/>
      <c r="R8" s="11">
        <v>0</v>
      </c>
      <c r="S8" s="10">
        <v>1100000</v>
      </c>
      <c r="T8" s="10">
        <v>46400</v>
      </c>
      <c r="U8" s="11">
        <f t="shared" ref="U8:U16" si="23">T8/S8</f>
        <v>4.2181818181818181E-2</v>
      </c>
      <c r="V8" s="10">
        <v>150000</v>
      </c>
      <c r="W8" s="10"/>
      <c r="X8" s="11">
        <v>0</v>
      </c>
      <c r="Y8" s="10"/>
      <c r="Z8" s="10"/>
      <c r="AA8" s="11"/>
      <c r="AB8" s="10"/>
      <c r="AC8" s="10"/>
      <c r="AD8" s="11">
        <v>0</v>
      </c>
      <c r="AE8" s="10"/>
      <c r="AF8" s="10"/>
      <c r="AG8" s="11">
        <v>0</v>
      </c>
      <c r="AH8" s="10"/>
      <c r="AI8" s="10"/>
      <c r="AJ8" s="11">
        <v>0</v>
      </c>
      <c r="AK8" s="10">
        <v>200000</v>
      </c>
      <c r="AL8" s="10"/>
      <c r="AM8" s="11">
        <f t="shared" ref="AM8:AM13" si="24">AL8/AK8</f>
        <v>0</v>
      </c>
      <c r="AN8" s="10"/>
      <c r="AO8" s="10"/>
      <c r="AP8" s="11">
        <v>0</v>
      </c>
      <c r="AQ8" s="10">
        <v>456320</v>
      </c>
      <c r="AR8" s="10">
        <v>47000</v>
      </c>
      <c r="AS8" s="11">
        <f t="shared" ref="AS8:AS16" si="25">AR8/AQ8</f>
        <v>0.10299789621318373</v>
      </c>
      <c r="AT8" s="10"/>
      <c r="AU8" s="10">
        <v>38850</v>
      </c>
      <c r="AV8" s="11">
        <v>0</v>
      </c>
      <c r="AW8" s="10"/>
      <c r="AX8" s="10"/>
      <c r="AY8" s="11">
        <v>0</v>
      </c>
      <c r="AZ8" s="10"/>
      <c r="BA8" s="10"/>
      <c r="BB8" s="11">
        <v>0</v>
      </c>
      <c r="BC8" s="10"/>
      <c r="BD8" s="10"/>
      <c r="BE8" s="11">
        <v>0</v>
      </c>
      <c r="BF8" s="10">
        <v>9800000</v>
      </c>
      <c r="BG8" s="10">
        <f>VLOOKUP(A:A,'[1]2026 Customer Brand Sales'!$A:$BA,53,0)</f>
        <v>2758165</v>
      </c>
      <c r="BH8" s="11">
        <f t="shared" ref="BH8:BH20" si="26">BG8/BF8</f>
        <v>0.2814454081632653</v>
      </c>
      <c r="BI8" s="10">
        <v>200000</v>
      </c>
      <c r="BJ8" s="10">
        <v>56250</v>
      </c>
      <c r="BK8" s="11">
        <f t="shared" ref="BK8:BK17" si="27">BJ8/BI8</f>
        <v>0.28125</v>
      </c>
      <c r="BL8" s="10">
        <v>400000</v>
      </c>
      <c r="BM8" s="10"/>
      <c r="BN8" s="11">
        <f t="shared" ref="BN8:BN17" si="28">BM8/BL8</f>
        <v>0</v>
      </c>
      <c r="BO8" s="10">
        <v>900000</v>
      </c>
      <c r="BP8" s="10">
        <v>98760</v>
      </c>
      <c r="BQ8" s="11">
        <f t="shared" ref="BQ8:BQ19" si="29">BP8/BO8</f>
        <v>0.10973333333333334</v>
      </c>
      <c r="BR8" s="10">
        <v>1200000</v>
      </c>
      <c r="BS8" s="10">
        <v>431600</v>
      </c>
      <c r="BT8" s="11">
        <f t="shared" ref="BT8:BT16" si="30">BS8/BR8</f>
        <v>0.35966666666666669</v>
      </c>
      <c r="BU8" s="10">
        <v>500000</v>
      </c>
      <c r="BV8" s="10">
        <v>14550</v>
      </c>
      <c r="BW8" s="11">
        <f t="shared" ref="BW8:BW16" si="31">BV8/BU8</f>
        <v>2.9100000000000001E-2</v>
      </c>
      <c r="BX8" s="10"/>
      <c r="BY8" s="10"/>
      <c r="BZ8" s="11">
        <v>0</v>
      </c>
      <c r="CA8" s="10"/>
      <c r="CB8" s="10"/>
      <c r="CC8" s="11">
        <v>0</v>
      </c>
      <c r="CD8" s="10"/>
      <c r="CE8" s="10"/>
      <c r="CF8" s="11">
        <v>0</v>
      </c>
      <c r="CG8" s="10">
        <v>1000000</v>
      </c>
      <c r="CH8" s="10"/>
      <c r="CI8" s="11">
        <f t="shared" ref="CI8:CI18" si="32">CH8/CG8</f>
        <v>0</v>
      </c>
      <c r="CJ8" s="10"/>
      <c r="CK8" s="10"/>
      <c r="CL8" s="11">
        <v>0</v>
      </c>
      <c r="CM8" s="10"/>
      <c r="CN8" s="10"/>
      <c r="CO8" s="11">
        <v>0</v>
      </c>
      <c r="CP8" s="10"/>
      <c r="CQ8" s="10"/>
      <c r="CR8" s="11">
        <v>0</v>
      </c>
      <c r="CS8" s="10"/>
      <c r="CT8" s="10"/>
      <c r="CU8" s="11">
        <v>0</v>
      </c>
      <c r="CV8" s="10"/>
      <c r="CW8" s="10"/>
      <c r="CX8" s="11">
        <v>0</v>
      </c>
      <c r="CY8" s="10"/>
      <c r="CZ8" s="10"/>
      <c r="DA8" s="11">
        <v>0</v>
      </c>
      <c r="DB8" s="10">
        <v>16242320</v>
      </c>
      <c r="DC8" s="10">
        <f t="shared" ref="DC8:DC20" si="33">SUM(H8,K8,N8,Q8,T8,W8,Z8,AC8,AF8,AI8,AL8,AO8,AR8,AU8,AX8,BA8,BD8,BG8,BJ8,BM8,BP8,BS8,BV8,BY8,CB8,CE8,CH8,CK8,CN8,CQ8,CT8,CW8,CZ8)</f>
        <v>4444575</v>
      </c>
      <c r="DD8" s="13">
        <f t="shared" ref="DD8:DD20" si="34">DC8/DB8</f>
        <v>0.27364163493885107</v>
      </c>
      <c r="DE8" s="14"/>
    </row>
    <row r="9" spans="1:109" x14ac:dyDescent="0.35">
      <c r="A9" s="8" t="s">
        <v>67</v>
      </c>
      <c r="B9" s="9" t="s">
        <v>51</v>
      </c>
      <c r="C9" s="9" t="s">
        <v>52</v>
      </c>
      <c r="D9" s="9" t="s">
        <v>68</v>
      </c>
      <c r="E9" s="9" t="s">
        <v>54</v>
      </c>
      <c r="F9" s="9" t="s">
        <v>55</v>
      </c>
      <c r="G9" s="10"/>
      <c r="H9" s="10">
        <v>60000</v>
      </c>
      <c r="I9" s="11">
        <v>0</v>
      </c>
      <c r="J9" s="10">
        <v>200000</v>
      </c>
      <c r="K9" s="10"/>
      <c r="L9" s="11">
        <f t="shared" ref="L9:L20" si="35">K9/J9</f>
        <v>0</v>
      </c>
      <c r="M9" s="10"/>
      <c r="N9" s="10"/>
      <c r="O9" s="11">
        <v>0</v>
      </c>
      <c r="P9" s="10"/>
      <c r="Q9" s="10"/>
      <c r="R9" s="11">
        <v>0</v>
      </c>
      <c r="S9" s="10">
        <v>1100000</v>
      </c>
      <c r="T9" s="10"/>
      <c r="U9" s="11">
        <f t="shared" si="23"/>
        <v>0</v>
      </c>
      <c r="V9" s="10"/>
      <c r="W9" s="10">
        <v>6700</v>
      </c>
      <c r="X9" s="11">
        <v>0</v>
      </c>
      <c r="Y9" s="10">
        <v>400000</v>
      </c>
      <c r="Z9" s="10">
        <v>12900</v>
      </c>
      <c r="AA9" s="11">
        <f t="shared" ref="AA9:AA16" si="36">Z9/Y9</f>
        <v>3.2250000000000001E-2</v>
      </c>
      <c r="AB9" s="10"/>
      <c r="AC9" s="10"/>
      <c r="AD9" s="11">
        <v>0</v>
      </c>
      <c r="AE9" s="10"/>
      <c r="AF9" s="10"/>
      <c r="AG9" s="11">
        <v>0</v>
      </c>
      <c r="AH9" s="10"/>
      <c r="AI9" s="10"/>
      <c r="AJ9" s="11">
        <v>0</v>
      </c>
      <c r="AK9" s="10"/>
      <c r="AL9" s="10"/>
      <c r="AM9" s="11">
        <v>0</v>
      </c>
      <c r="AN9" s="10"/>
      <c r="AO9" s="10"/>
      <c r="AP9" s="11">
        <v>0</v>
      </c>
      <c r="AQ9" s="10">
        <v>1962568</v>
      </c>
      <c r="AR9" s="10"/>
      <c r="AS9" s="11">
        <f t="shared" si="25"/>
        <v>0</v>
      </c>
      <c r="AT9" s="10">
        <v>1000000</v>
      </c>
      <c r="AU9" s="10">
        <v>814300</v>
      </c>
      <c r="AV9" s="11">
        <f t="shared" ref="AV9:AV19" si="37">AU9/AT9</f>
        <v>0.81430000000000002</v>
      </c>
      <c r="AW9" s="10"/>
      <c r="AX9" s="10"/>
      <c r="AY9" s="11">
        <v>0</v>
      </c>
      <c r="AZ9" s="10"/>
      <c r="BA9" s="10"/>
      <c r="BB9" s="11">
        <v>0</v>
      </c>
      <c r="BC9" s="10">
        <v>252830</v>
      </c>
      <c r="BD9" s="10">
        <v>257500</v>
      </c>
      <c r="BE9" s="11">
        <f t="shared" ref="BE9:BE10" si="38">BD9/BC9</f>
        <v>1.0184709093066486</v>
      </c>
      <c r="BF9" s="10">
        <v>11500000</v>
      </c>
      <c r="BG9" s="10">
        <f>VLOOKUP(A:A,'[1]2026 Customer Brand Sales'!$A:$BA,53,0)</f>
        <v>7274285</v>
      </c>
      <c r="BH9" s="11">
        <f t="shared" si="26"/>
        <v>0.6325465217391304</v>
      </c>
      <c r="BI9" s="10">
        <v>1000000</v>
      </c>
      <c r="BJ9" s="10">
        <v>283100</v>
      </c>
      <c r="BK9" s="11">
        <f t="shared" si="27"/>
        <v>0.28310000000000002</v>
      </c>
      <c r="BL9" s="10">
        <v>1200000</v>
      </c>
      <c r="BM9" s="10">
        <v>262800</v>
      </c>
      <c r="BN9" s="11">
        <f t="shared" si="28"/>
        <v>0.219</v>
      </c>
      <c r="BO9" s="10"/>
      <c r="BP9" s="10">
        <v>24525</v>
      </c>
      <c r="BQ9" s="11">
        <v>0</v>
      </c>
      <c r="BR9" s="10">
        <v>300000</v>
      </c>
      <c r="BS9" s="10">
        <v>301900</v>
      </c>
      <c r="BT9" s="11">
        <f t="shared" si="30"/>
        <v>1.0063333333333333</v>
      </c>
      <c r="BU9" s="10">
        <v>100000</v>
      </c>
      <c r="BV9" s="10">
        <v>14300</v>
      </c>
      <c r="BW9" s="11">
        <f t="shared" si="31"/>
        <v>0.14299999999999999</v>
      </c>
      <c r="BX9" s="10"/>
      <c r="BY9" s="10"/>
      <c r="BZ9" s="11">
        <v>0</v>
      </c>
      <c r="CA9" s="10"/>
      <c r="CB9" s="10"/>
      <c r="CC9" s="11">
        <v>0</v>
      </c>
      <c r="CD9" s="10"/>
      <c r="CE9" s="10"/>
      <c r="CF9" s="11">
        <v>0</v>
      </c>
      <c r="CG9" s="10">
        <v>30000</v>
      </c>
      <c r="CH9" s="10">
        <v>65700</v>
      </c>
      <c r="CI9" s="11">
        <f t="shared" si="32"/>
        <v>2.19</v>
      </c>
      <c r="CJ9" s="10"/>
      <c r="CK9" s="10"/>
      <c r="CL9" s="11">
        <v>0</v>
      </c>
      <c r="CM9" s="10"/>
      <c r="CN9" s="10"/>
      <c r="CO9" s="11">
        <v>0</v>
      </c>
      <c r="CP9" s="10"/>
      <c r="CQ9" s="10"/>
      <c r="CR9" s="11">
        <v>0</v>
      </c>
      <c r="CS9" s="10"/>
      <c r="CT9" s="10">
        <v>105000</v>
      </c>
      <c r="CU9" s="11">
        <v>0</v>
      </c>
      <c r="CV9" s="10"/>
      <c r="CW9" s="10"/>
      <c r="CX9" s="11">
        <v>0</v>
      </c>
      <c r="CY9" s="10"/>
      <c r="CZ9" s="10"/>
      <c r="DA9" s="11">
        <v>0</v>
      </c>
      <c r="DB9" s="10">
        <v>19045398</v>
      </c>
      <c r="DC9" s="10">
        <f t="shared" si="33"/>
        <v>9483010</v>
      </c>
      <c r="DD9" s="13">
        <f t="shared" si="34"/>
        <v>0.49791608450503372</v>
      </c>
      <c r="DE9" s="14"/>
    </row>
    <row r="10" spans="1:109" x14ac:dyDescent="0.35">
      <c r="A10" s="8" t="s">
        <v>69</v>
      </c>
      <c r="B10" s="9" t="s">
        <v>51</v>
      </c>
      <c r="C10" s="9" t="s">
        <v>52</v>
      </c>
      <c r="D10" s="9" t="s">
        <v>70</v>
      </c>
      <c r="E10" s="9" t="s">
        <v>54</v>
      </c>
      <c r="F10" s="9" t="s">
        <v>55</v>
      </c>
      <c r="G10" s="10"/>
      <c r="H10" s="10"/>
      <c r="I10" s="11">
        <v>0</v>
      </c>
      <c r="J10" s="10"/>
      <c r="K10" s="10"/>
      <c r="L10" s="12">
        <v>0</v>
      </c>
      <c r="M10" s="10">
        <v>56000</v>
      </c>
      <c r="N10" s="10">
        <v>79500</v>
      </c>
      <c r="O10" s="11">
        <f t="shared" si="22"/>
        <v>1.4196428571428572</v>
      </c>
      <c r="P10" s="10"/>
      <c r="Q10" s="10"/>
      <c r="R10" s="11">
        <v>0</v>
      </c>
      <c r="S10" s="10">
        <v>200000</v>
      </c>
      <c r="T10" s="10">
        <v>31600</v>
      </c>
      <c r="U10" s="11">
        <f t="shared" si="23"/>
        <v>0.158</v>
      </c>
      <c r="V10" s="10">
        <v>250000</v>
      </c>
      <c r="W10" s="10">
        <v>11400</v>
      </c>
      <c r="X10" s="11">
        <v>4.5600000000000002E-2</v>
      </c>
      <c r="Y10" s="10">
        <v>50000</v>
      </c>
      <c r="Z10" s="10"/>
      <c r="AA10" s="11">
        <f t="shared" si="36"/>
        <v>0</v>
      </c>
      <c r="AB10" s="10">
        <v>25000</v>
      </c>
      <c r="AC10" s="10"/>
      <c r="AD10" s="11">
        <v>0</v>
      </c>
      <c r="AE10" s="10">
        <v>200000</v>
      </c>
      <c r="AF10" s="10">
        <v>56675</v>
      </c>
      <c r="AG10" s="11">
        <f t="shared" ref="AG10:AG16" si="39">AF10/AE10</f>
        <v>0.28337499999999999</v>
      </c>
      <c r="AH10" s="10"/>
      <c r="AI10" s="10"/>
      <c r="AJ10" s="11">
        <v>0</v>
      </c>
      <c r="AK10" s="10"/>
      <c r="AL10" s="10"/>
      <c r="AM10" s="11">
        <v>0</v>
      </c>
      <c r="AN10" s="10"/>
      <c r="AO10" s="10"/>
      <c r="AP10" s="11">
        <v>0</v>
      </c>
      <c r="AQ10" s="10"/>
      <c r="AR10" s="10"/>
      <c r="AS10" s="11">
        <v>0</v>
      </c>
      <c r="AT10" s="10"/>
      <c r="AU10" s="10"/>
      <c r="AV10" s="11">
        <v>0</v>
      </c>
      <c r="AW10" s="10"/>
      <c r="AX10" s="10"/>
      <c r="AY10" s="11">
        <v>0</v>
      </c>
      <c r="AZ10" s="10"/>
      <c r="BA10" s="10"/>
      <c r="BB10" s="11">
        <v>0</v>
      </c>
      <c r="BC10" s="10">
        <v>11966</v>
      </c>
      <c r="BD10" s="10"/>
      <c r="BE10" s="11">
        <f t="shared" si="38"/>
        <v>0</v>
      </c>
      <c r="BF10" s="10">
        <v>3500000</v>
      </c>
      <c r="BG10" s="10">
        <f>VLOOKUP(A:A,'[1]2026 Customer Brand Sales'!$A:$BA,53,0)</f>
        <v>1580885</v>
      </c>
      <c r="BH10" s="11">
        <f t="shared" si="26"/>
        <v>0.45168142857142857</v>
      </c>
      <c r="BI10" s="10"/>
      <c r="BJ10" s="10"/>
      <c r="BK10" s="11">
        <v>0</v>
      </c>
      <c r="BL10" s="10">
        <v>200000</v>
      </c>
      <c r="BM10" s="10">
        <v>46555</v>
      </c>
      <c r="BN10" s="11">
        <f t="shared" si="28"/>
        <v>0.23277500000000001</v>
      </c>
      <c r="BO10" s="10"/>
      <c r="BP10" s="10"/>
      <c r="BQ10" s="11">
        <v>0</v>
      </c>
      <c r="BR10" s="10">
        <v>50000</v>
      </c>
      <c r="BS10" s="10"/>
      <c r="BT10" s="11">
        <f t="shared" si="30"/>
        <v>0</v>
      </c>
      <c r="BU10" s="10">
        <v>10000</v>
      </c>
      <c r="BV10" s="10"/>
      <c r="BW10" s="11">
        <f t="shared" si="31"/>
        <v>0</v>
      </c>
      <c r="BX10" s="10"/>
      <c r="BY10" s="10"/>
      <c r="BZ10" s="11">
        <v>0</v>
      </c>
      <c r="CA10" s="10"/>
      <c r="CB10" s="10"/>
      <c r="CC10" s="11">
        <v>0</v>
      </c>
      <c r="CD10" s="10"/>
      <c r="CE10" s="10"/>
      <c r="CF10" s="11">
        <v>0</v>
      </c>
      <c r="CG10" s="10">
        <v>200000</v>
      </c>
      <c r="CH10" s="10">
        <v>23720</v>
      </c>
      <c r="CI10" s="11">
        <f t="shared" si="32"/>
        <v>0.1186</v>
      </c>
      <c r="CJ10" s="10"/>
      <c r="CK10" s="10"/>
      <c r="CL10" s="11">
        <v>0</v>
      </c>
      <c r="CM10" s="10"/>
      <c r="CN10" s="10"/>
      <c r="CO10" s="11">
        <v>0</v>
      </c>
      <c r="CP10" s="10"/>
      <c r="CQ10" s="10"/>
      <c r="CR10" s="11">
        <v>0</v>
      </c>
      <c r="CS10" s="10"/>
      <c r="CT10" s="10"/>
      <c r="CU10" s="11">
        <v>0</v>
      </c>
      <c r="CV10" s="10"/>
      <c r="CW10" s="10"/>
      <c r="CX10" s="11">
        <v>0</v>
      </c>
      <c r="CY10" s="10"/>
      <c r="CZ10" s="10"/>
      <c r="DA10" s="11">
        <v>0</v>
      </c>
      <c r="DB10" s="10">
        <v>4752966</v>
      </c>
      <c r="DC10" s="10">
        <f t="shared" si="33"/>
        <v>1830335</v>
      </c>
      <c r="DD10" s="13">
        <f t="shared" si="34"/>
        <v>0.38509322389430095</v>
      </c>
      <c r="DE10" s="14"/>
    </row>
    <row r="11" spans="1:109" x14ac:dyDescent="0.35">
      <c r="A11" s="8" t="s">
        <v>71</v>
      </c>
      <c r="B11" s="9" t="s">
        <v>51</v>
      </c>
      <c r="C11" s="9" t="s">
        <v>52</v>
      </c>
      <c r="D11" s="9" t="s">
        <v>72</v>
      </c>
      <c r="E11" s="9" t="s">
        <v>54</v>
      </c>
      <c r="F11" s="9" t="s">
        <v>55</v>
      </c>
      <c r="G11" s="10"/>
      <c r="H11" s="10"/>
      <c r="I11" s="11">
        <v>0</v>
      </c>
      <c r="J11" s="10"/>
      <c r="K11" s="10"/>
      <c r="L11" s="12">
        <v>0</v>
      </c>
      <c r="M11" s="10">
        <v>28000</v>
      </c>
      <c r="N11" s="10"/>
      <c r="O11" s="11">
        <f t="shared" si="22"/>
        <v>0</v>
      </c>
      <c r="P11" s="10"/>
      <c r="Q11" s="10"/>
      <c r="R11" s="11">
        <v>0</v>
      </c>
      <c r="S11" s="10"/>
      <c r="T11" s="10"/>
      <c r="U11" s="11">
        <v>0</v>
      </c>
      <c r="V11" s="10"/>
      <c r="W11" s="10"/>
      <c r="X11" s="11">
        <v>0</v>
      </c>
      <c r="Y11" s="10"/>
      <c r="Z11" s="10">
        <v>64000</v>
      </c>
      <c r="AA11" s="11"/>
      <c r="AB11" s="10"/>
      <c r="AC11" s="10"/>
      <c r="AD11" s="11">
        <v>0</v>
      </c>
      <c r="AE11" s="10">
        <v>100000</v>
      </c>
      <c r="AF11" s="10">
        <v>26850</v>
      </c>
      <c r="AG11" s="11">
        <f t="shared" si="39"/>
        <v>0.26850000000000002</v>
      </c>
      <c r="AH11" s="10"/>
      <c r="AI11" s="10"/>
      <c r="AJ11" s="11">
        <v>0</v>
      </c>
      <c r="AK11" s="10"/>
      <c r="AL11" s="10"/>
      <c r="AM11" s="11">
        <v>0</v>
      </c>
      <c r="AN11" s="10"/>
      <c r="AO11" s="10"/>
      <c r="AP11" s="11">
        <v>0</v>
      </c>
      <c r="AQ11" s="10"/>
      <c r="AR11" s="10"/>
      <c r="AS11" s="11">
        <v>0</v>
      </c>
      <c r="AT11" s="10"/>
      <c r="AU11" s="10"/>
      <c r="AV11" s="11">
        <v>0</v>
      </c>
      <c r="AW11" s="10"/>
      <c r="AX11" s="10"/>
      <c r="AY11" s="11">
        <v>0</v>
      </c>
      <c r="AZ11" s="10"/>
      <c r="BA11" s="10"/>
      <c r="BB11" s="11">
        <v>0</v>
      </c>
      <c r="BC11" s="10"/>
      <c r="BD11" s="10"/>
      <c r="BE11" s="11">
        <v>0</v>
      </c>
      <c r="BF11" s="10">
        <v>500000</v>
      </c>
      <c r="BG11" s="10">
        <f>VLOOKUP(A:A,'[1]2026 Customer Brand Sales'!$A:$BA,53,0)</f>
        <v>6200</v>
      </c>
      <c r="BH11" s="11">
        <f t="shared" si="26"/>
        <v>1.24E-2</v>
      </c>
      <c r="BI11" s="10"/>
      <c r="BJ11" s="10"/>
      <c r="BK11" s="11">
        <v>0</v>
      </c>
      <c r="BL11" s="10"/>
      <c r="BM11" s="10"/>
      <c r="BN11" s="11">
        <v>0</v>
      </c>
      <c r="BO11" s="10"/>
      <c r="BP11" s="10"/>
      <c r="BQ11" s="11">
        <v>0</v>
      </c>
      <c r="BR11" s="10"/>
      <c r="BS11" s="10"/>
      <c r="BT11" s="11">
        <v>0</v>
      </c>
      <c r="BU11" s="10"/>
      <c r="BV11" s="10">
        <v>14300</v>
      </c>
      <c r="BW11" s="11">
        <v>0</v>
      </c>
      <c r="BX11" s="10"/>
      <c r="BY11" s="10"/>
      <c r="BZ11" s="11">
        <v>0</v>
      </c>
      <c r="CA11" s="10"/>
      <c r="CB11" s="10"/>
      <c r="CC11" s="11">
        <v>0</v>
      </c>
      <c r="CD11" s="10"/>
      <c r="CE11" s="10"/>
      <c r="CF11" s="11">
        <v>0</v>
      </c>
      <c r="CG11" s="10">
        <v>15000</v>
      </c>
      <c r="CH11" s="10">
        <v>10850</v>
      </c>
      <c r="CI11" s="11">
        <f t="shared" si="32"/>
        <v>0.72333333333333338</v>
      </c>
      <c r="CJ11" s="10"/>
      <c r="CK11" s="10"/>
      <c r="CL11" s="11">
        <v>0</v>
      </c>
      <c r="CM11" s="10"/>
      <c r="CN11" s="10"/>
      <c r="CO11" s="11">
        <v>0</v>
      </c>
      <c r="CP11" s="10"/>
      <c r="CQ11" s="10"/>
      <c r="CR11" s="11">
        <v>0</v>
      </c>
      <c r="CS11" s="10">
        <v>500000</v>
      </c>
      <c r="CT11" s="10"/>
      <c r="CU11" s="11">
        <f t="shared" ref="CU11:CU16" si="40">CT11/CS11</f>
        <v>0</v>
      </c>
      <c r="CV11" s="10"/>
      <c r="CW11" s="10"/>
      <c r="CX11" s="11">
        <v>0</v>
      </c>
      <c r="CY11" s="10"/>
      <c r="CZ11" s="10"/>
      <c r="DA11" s="11">
        <v>0</v>
      </c>
      <c r="DB11" s="10">
        <v>1143000</v>
      </c>
      <c r="DC11" s="10">
        <f t="shared" si="33"/>
        <v>122200</v>
      </c>
      <c r="DD11" s="13">
        <f t="shared" si="34"/>
        <v>0.10691163604549431</v>
      </c>
      <c r="DE11" s="14"/>
    </row>
    <row r="12" spans="1:109" x14ac:dyDescent="0.35">
      <c r="A12" s="8" t="s">
        <v>73</v>
      </c>
      <c r="B12" s="9" t="s">
        <v>74</v>
      </c>
      <c r="C12" s="9" t="s">
        <v>52</v>
      </c>
      <c r="D12" s="9" t="s">
        <v>75</v>
      </c>
      <c r="E12" s="9" t="s">
        <v>54</v>
      </c>
      <c r="F12" s="9" t="s">
        <v>55</v>
      </c>
      <c r="G12" s="10"/>
      <c r="H12" s="10">
        <v>111175</v>
      </c>
      <c r="I12" s="11">
        <v>0</v>
      </c>
      <c r="J12" s="10"/>
      <c r="K12" s="10">
        <v>71000</v>
      </c>
      <c r="L12" s="12">
        <v>0</v>
      </c>
      <c r="M12" s="10">
        <v>112000</v>
      </c>
      <c r="N12" s="10"/>
      <c r="O12" s="11">
        <f t="shared" si="22"/>
        <v>0</v>
      </c>
      <c r="P12" s="10">
        <v>200000</v>
      </c>
      <c r="Q12" s="10"/>
      <c r="R12" s="11">
        <f t="shared" ref="R12" si="41">Q12/P12</f>
        <v>0</v>
      </c>
      <c r="S12" s="10">
        <v>15000000</v>
      </c>
      <c r="T12" s="10">
        <v>3439990</v>
      </c>
      <c r="U12" s="11">
        <f t="shared" si="23"/>
        <v>0.22933266666666666</v>
      </c>
      <c r="V12" s="10"/>
      <c r="W12" s="10"/>
      <c r="X12" s="11">
        <v>0</v>
      </c>
      <c r="Y12" s="10">
        <v>100000</v>
      </c>
      <c r="Z12" s="10">
        <v>64000</v>
      </c>
      <c r="AA12" s="11">
        <f t="shared" si="36"/>
        <v>0.64</v>
      </c>
      <c r="AB12" s="10">
        <v>20000</v>
      </c>
      <c r="AC12" s="10"/>
      <c r="AD12" s="11">
        <v>0</v>
      </c>
      <c r="AE12" s="10"/>
      <c r="AF12" s="10"/>
      <c r="AG12" s="11">
        <v>0</v>
      </c>
      <c r="AH12" s="10"/>
      <c r="AI12" s="10"/>
      <c r="AJ12" s="11">
        <v>0</v>
      </c>
      <c r="AK12" s="10"/>
      <c r="AL12" s="10">
        <v>112000</v>
      </c>
      <c r="AM12" s="11">
        <v>0</v>
      </c>
      <c r="AN12" s="10"/>
      <c r="AO12" s="10"/>
      <c r="AP12" s="11">
        <v>0</v>
      </c>
      <c r="AQ12" s="10"/>
      <c r="AR12" s="10"/>
      <c r="AS12" s="11">
        <v>0</v>
      </c>
      <c r="AT12" s="10">
        <v>2000000</v>
      </c>
      <c r="AU12" s="10">
        <v>2351370</v>
      </c>
      <c r="AV12" s="11">
        <f t="shared" si="37"/>
        <v>1.1756850000000001</v>
      </c>
      <c r="AW12" s="10">
        <v>500000</v>
      </c>
      <c r="AX12" s="10">
        <v>152250</v>
      </c>
      <c r="AY12" s="11">
        <f t="shared" ref="AY12:AY19" si="42">AX12/AW12</f>
        <v>0.30449999999999999</v>
      </c>
      <c r="AZ12" s="10"/>
      <c r="BA12" s="10"/>
      <c r="BB12" s="11">
        <v>0</v>
      </c>
      <c r="BC12" s="10"/>
      <c r="BD12" s="10"/>
      <c r="BE12" s="11">
        <v>0</v>
      </c>
      <c r="BF12" s="10">
        <v>74000000</v>
      </c>
      <c r="BG12" s="10">
        <f>VLOOKUP(A:A,'[1]2026 Customer Brand Sales'!$A:$BA,53,0)</f>
        <v>36369415</v>
      </c>
      <c r="BH12" s="11">
        <f t="shared" si="26"/>
        <v>0.49147858108108106</v>
      </c>
      <c r="BI12" s="10">
        <v>1000000</v>
      </c>
      <c r="BJ12" s="10">
        <v>312050</v>
      </c>
      <c r="BK12" s="11">
        <f t="shared" si="27"/>
        <v>0.31204999999999999</v>
      </c>
      <c r="BL12" s="10">
        <v>3400000</v>
      </c>
      <c r="BM12" s="10">
        <v>1313160</v>
      </c>
      <c r="BN12" s="11">
        <f t="shared" si="28"/>
        <v>0.38622352941176469</v>
      </c>
      <c r="BO12" s="10">
        <v>750000</v>
      </c>
      <c r="BP12" s="10">
        <v>7950</v>
      </c>
      <c r="BQ12" s="11">
        <f t="shared" si="29"/>
        <v>1.06E-2</v>
      </c>
      <c r="BR12" s="10">
        <v>250000</v>
      </c>
      <c r="BS12" s="10"/>
      <c r="BT12" s="11">
        <f t="shared" si="30"/>
        <v>0</v>
      </c>
      <c r="BU12" s="10">
        <v>200000</v>
      </c>
      <c r="BV12" s="10"/>
      <c r="BW12" s="11">
        <f t="shared" si="31"/>
        <v>0</v>
      </c>
      <c r="BX12" s="10"/>
      <c r="BY12" s="10"/>
      <c r="BZ12" s="11">
        <v>0</v>
      </c>
      <c r="CA12" s="10"/>
      <c r="CB12" s="10"/>
      <c r="CC12" s="11">
        <v>0</v>
      </c>
      <c r="CD12" s="10"/>
      <c r="CE12" s="10"/>
      <c r="CF12" s="11">
        <v>0</v>
      </c>
      <c r="CG12" s="10">
        <v>100000</v>
      </c>
      <c r="CH12" s="10">
        <v>14800</v>
      </c>
      <c r="CI12" s="11">
        <f t="shared" si="32"/>
        <v>0.14799999999999999</v>
      </c>
      <c r="CJ12" s="10"/>
      <c r="CK12" s="10"/>
      <c r="CL12" s="11">
        <v>0</v>
      </c>
      <c r="CM12" s="10"/>
      <c r="CN12" s="10"/>
      <c r="CO12" s="11">
        <v>0</v>
      </c>
      <c r="CP12" s="10"/>
      <c r="CQ12" s="10"/>
      <c r="CR12" s="11">
        <v>0</v>
      </c>
      <c r="CS12" s="10"/>
      <c r="CT12" s="10"/>
      <c r="CU12" s="11">
        <v>0</v>
      </c>
      <c r="CV12" s="10"/>
      <c r="CW12" s="10"/>
      <c r="CX12" s="11">
        <v>0</v>
      </c>
      <c r="CY12" s="10">
        <v>200000</v>
      </c>
      <c r="CZ12" s="10"/>
      <c r="DA12" s="11">
        <f t="shared" ref="DA12" si="43">CZ12/CY12</f>
        <v>0</v>
      </c>
      <c r="DB12" s="10">
        <v>97832000</v>
      </c>
      <c r="DC12" s="10">
        <f t="shared" si="33"/>
        <v>44319160</v>
      </c>
      <c r="DD12" s="13">
        <f t="shared" si="34"/>
        <v>0.45301292010794014</v>
      </c>
      <c r="DE12" s="14"/>
    </row>
    <row r="13" spans="1:109" x14ac:dyDescent="0.35">
      <c r="A13" s="8" t="s">
        <v>76</v>
      </c>
      <c r="B13" s="9" t="s">
        <v>77</v>
      </c>
      <c r="C13" s="9" t="s">
        <v>43</v>
      </c>
      <c r="D13" s="9" t="s">
        <v>78</v>
      </c>
      <c r="E13" s="9" t="s">
        <v>61</v>
      </c>
      <c r="F13" s="9" t="s">
        <v>62</v>
      </c>
      <c r="G13" s="10"/>
      <c r="H13" s="10">
        <v>336550</v>
      </c>
      <c r="I13" s="11">
        <v>0</v>
      </c>
      <c r="J13" s="10">
        <v>100000</v>
      </c>
      <c r="K13" s="10">
        <v>51250</v>
      </c>
      <c r="L13" s="11">
        <f t="shared" si="35"/>
        <v>0.51249999999999996</v>
      </c>
      <c r="M13" s="10"/>
      <c r="N13" s="10">
        <v>10400</v>
      </c>
      <c r="O13" s="11">
        <v>0</v>
      </c>
      <c r="P13" s="10"/>
      <c r="Q13" s="10"/>
      <c r="R13" s="11">
        <v>0</v>
      </c>
      <c r="S13" s="10">
        <v>100000</v>
      </c>
      <c r="T13" s="10">
        <v>84675</v>
      </c>
      <c r="U13" s="11">
        <f t="shared" si="23"/>
        <v>0.84675</v>
      </c>
      <c r="V13" s="10"/>
      <c r="W13" s="10"/>
      <c r="X13" s="11">
        <v>0</v>
      </c>
      <c r="Y13" s="10">
        <v>50000</v>
      </c>
      <c r="Z13" s="10">
        <v>44800</v>
      </c>
      <c r="AA13" s="11">
        <f t="shared" si="36"/>
        <v>0.89600000000000002</v>
      </c>
      <c r="AB13" s="10">
        <v>80000</v>
      </c>
      <c r="AC13" s="10"/>
      <c r="AD13" s="11">
        <v>0</v>
      </c>
      <c r="AE13" s="10">
        <v>150000</v>
      </c>
      <c r="AF13" s="10">
        <v>128400</v>
      </c>
      <c r="AG13" s="11">
        <f t="shared" si="39"/>
        <v>0.85599999999999998</v>
      </c>
      <c r="AH13" s="10"/>
      <c r="AI13" s="10"/>
      <c r="AJ13" s="11">
        <v>0</v>
      </c>
      <c r="AK13" s="10">
        <v>200000</v>
      </c>
      <c r="AL13" s="10"/>
      <c r="AM13" s="11">
        <f t="shared" si="24"/>
        <v>0</v>
      </c>
      <c r="AN13" s="10">
        <v>50000</v>
      </c>
      <c r="AO13" s="10"/>
      <c r="AP13" s="11">
        <f t="shared" ref="AP13:AP17" si="44">AO13/AN13</f>
        <v>0</v>
      </c>
      <c r="AQ13" s="10"/>
      <c r="AR13" s="10">
        <v>12700</v>
      </c>
      <c r="AS13" s="11">
        <v>0</v>
      </c>
      <c r="AT13" s="10"/>
      <c r="AU13" s="10">
        <v>37500</v>
      </c>
      <c r="AV13" s="11">
        <v>0</v>
      </c>
      <c r="AW13" s="10"/>
      <c r="AX13" s="10"/>
      <c r="AY13" s="11">
        <v>0</v>
      </c>
      <c r="AZ13" s="10"/>
      <c r="BA13" s="10"/>
      <c r="BB13" s="11">
        <v>0</v>
      </c>
      <c r="BC13" s="10"/>
      <c r="BD13" s="10">
        <v>55000</v>
      </c>
      <c r="BE13" s="11">
        <v>0</v>
      </c>
      <c r="BF13" s="10">
        <v>3800000</v>
      </c>
      <c r="BG13" s="10">
        <f>VLOOKUP(A:A,'[1]2026 Customer Brand Sales'!$A:$BA,53,0)</f>
        <v>2098310</v>
      </c>
      <c r="BH13" s="11">
        <f t="shared" si="26"/>
        <v>0.55218684210526314</v>
      </c>
      <c r="BI13" s="10">
        <v>200000</v>
      </c>
      <c r="BJ13" s="10">
        <v>23500</v>
      </c>
      <c r="BK13" s="11">
        <f t="shared" si="27"/>
        <v>0.11749999999999999</v>
      </c>
      <c r="BL13" s="10">
        <v>1000000</v>
      </c>
      <c r="BM13" s="10">
        <v>292675</v>
      </c>
      <c r="BN13" s="11">
        <f t="shared" si="28"/>
        <v>0.29267500000000002</v>
      </c>
      <c r="BO13" s="10"/>
      <c r="BP13" s="10">
        <v>58300</v>
      </c>
      <c r="BQ13" s="11">
        <v>0</v>
      </c>
      <c r="BR13" s="10"/>
      <c r="BS13" s="10"/>
      <c r="BT13" s="11">
        <v>0</v>
      </c>
      <c r="BU13" s="10">
        <v>1000000</v>
      </c>
      <c r="BV13" s="10"/>
      <c r="BW13" s="11">
        <f t="shared" si="31"/>
        <v>0</v>
      </c>
      <c r="BX13" s="10"/>
      <c r="BY13" s="10"/>
      <c r="BZ13" s="11">
        <v>0</v>
      </c>
      <c r="CA13" s="10"/>
      <c r="CB13" s="10"/>
      <c r="CC13" s="11">
        <v>0</v>
      </c>
      <c r="CD13" s="10"/>
      <c r="CE13" s="10"/>
      <c r="CF13" s="11">
        <v>0</v>
      </c>
      <c r="CG13" s="10"/>
      <c r="CH13" s="10"/>
      <c r="CI13" s="11">
        <v>0</v>
      </c>
      <c r="CJ13" s="10"/>
      <c r="CK13" s="10"/>
      <c r="CL13" s="11">
        <v>0</v>
      </c>
      <c r="CM13" s="10"/>
      <c r="CN13" s="10"/>
      <c r="CO13" s="11">
        <v>0</v>
      </c>
      <c r="CP13" s="10">
        <v>50000</v>
      </c>
      <c r="CQ13" s="10"/>
      <c r="CR13" s="11">
        <f t="shared" ref="CR13" si="45">CQ13/CP13</f>
        <v>0</v>
      </c>
      <c r="CS13" s="10"/>
      <c r="CT13" s="10"/>
      <c r="CU13" s="11">
        <v>0</v>
      </c>
      <c r="CV13" s="10"/>
      <c r="CW13" s="10"/>
      <c r="CX13" s="11">
        <v>0</v>
      </c>
      <c r="CY13" s="10"/>
      <c r="CZ13" s="10"/>
      <c r="DA13" s="11">
        <v>0</v>
      </c>
      <c r="DB13" s="10">
        <v>6780000</v>
      </c>
      <c r="DC13" s="10">
        <f t="shared" si="33"/>
        <v>3234060</v>
      </c>
      <c r="DD13" s="13">
        <f t="shared" si="34"/>
        <v>0.47699999999999998</v>
      </c>
      <c r="DE13" s="14"/>
    </row>
    <row r="14" spans="1:109" x14ac:dyDescent="0.35">
      <c r="A14" s="8" t="s">
        <v>79</v>
      </c>
      <c r="B14" s="9" t="s">
        <v>51</v>
      </c>
      <c r="C14" s="9" t="s">
        <v>52</v>
      </c>
      <c r="D14" s="9" t="s">
        <v>80</v>
      </c>
      <c r="E14" s="9" t="s">
        <v>54</v>
      </c>
      <c r="F14" s="9" t="s">
        <v>55</v>
      </c>
      <c r="G14" s="10"/>
      <c r="H14" s="10"/>
      <c r="I14" s="11">
        <v>0</v>
      </c>
      <c r="J14" s="10"/>
      <c r="K14" s="10"/>
      <c r="L14" s="12">
        <v>0</v>
      </c>
      <c r="M14" s="10"/>
      <c r="N14" s="10"/>
      <c r="O14" s="11">
        <v>0</v>
      </c>
      <c r="P14" s="10"/>
      <c r="Q14" s="10"/>
      <c r="R14" s="11">
        <v>0</v>
      </c>
      <c r="S14" s="10"/>
      <c r="T14" s="10"/>
      <c r="U14" s="11">
        <v>0</v>
      </c>
      <c r="V14" s="10">
        <v>150000</v>
      </c>
      <c r="W14" s="10">
        <v>91700</v>
      </c>
      <c r="X14" s="11">
        <v>0.61133333333333328</v>
      </c>
      <c r="Y14" s="10"/>
      <c r="Z14" s="10"/>
      <c r="AA14" s="11"/>
      <c r="AB14" s="10"/>
      <c r="AC14" s="10"/>
      <c r="AD14" s="11">
        <v>0</v>
      </c>
      <c r="AE14" s="10">
        <v>100000</v>
      </c>
      <c r="AF14" s="10"/>
      <c r="AG14" s="11">
        <f t="shared" si="39"/>
        <v>0</v>
      </c>
      <c r="AH14" s="10"/>
      <c r="AI14" s="10"/>
      <c r="AJ14" s="11">
        <v>0</v>
      </c>
      <c r="AK14" s="10"/>
      <c r="AL14" s="10"/>
      <c r="AM14" s="11">
        <v>0</v>
      </c>
      <c r="AN14" s="10"/>
      <c r="AO14" s="10"/>
      <c r="AP14" s="11">
        <v>0</v>
      </c>
      <c r="AQ14" s="10"/>
      <c r="AR14" s="10"/>
      <c r="AS14" s="11">
        <v>0</v>
      </c>
      <c r="AT14" s="10"/>
      <c r="AU14" s="10"/>
      <c r="AV14" s="11">
        <v>0</v>
      </c>
      <c r="AW14" s="10"/>
      <c r="AX14" s="10"/>
      <c r="AY14" s="11">
        <v>0</v>
      </c>
      <c r="AZ14" s="10"/>
      <c r="BA14" s="10"/>
      <c r="BB14" s="11">
        <v>0</v>
      </c>
      <c r="BC14" s="10"/>
      <c r="BD14" s="10"/>
      <c r="BE14" s="11">
        <v>0</v>
      </c>
      <c r="BF14" s="10"/>
      <c r="BG14" s="10">
        <f>VLOOKUP(A:A,'[1]2026 Customer Brand Sales'!$A:$BA,53,0)</f>
        <v>59530</v>
      </c>
      <c r="BH14" s="11">
        <v>0</v>
      </c>
      <c r="BI14" s="10"/>
      <c r="BJ14" s="10"/>
      <c r="BK14" s="11">
        <v>0</v>
      </c>
      <c r="BL14" s="10"/>
      <c r="BM14" s="10"/>
      <c r="BN14" s="11">
        <v>0</v>
      </c>
      <c r="BO14" s="10"/>
      <c r="BP14" s="10"/>
      <c r="BQ14" s="11">
        <v>0</v>
      </c>
      <c r="BR14" s="10"/>
      <c r="BS14" s="10"/>
      <c r="BT14" s="11">
        <v>0</v>
      </c>
      <c r="BU14" s="10"/>
      <c r="BV14" s="10"/>
      <c r="BW14" s="11">
        <v>0</v>
      </c>
      <c r="BX14" s="10"/>
      <c r="BY14" s="10"/>
      <c r="BZ14" s="11">
        <v>0</v>
      </c>
      <c r="CA14" s="10"/>
      <c r="CB14" s="10"/>
      <c r="CC14" s="11">
        <v>0</v>
      </c>
      <c r="CD14" s="10"/>
      <c r="CE14" s="10"/>
      <c r="CF14" s="11">
        <v>0</v>
      </c>
      <c r="CG14" s="10">
        <v>15000</v>
      </c>
      <c r="CH14" s="10"/>
      <c r="CI14" s="11">
        <f t="shared" si="32"/>
        <v>0</v>
      </c>
      <c r="CJ14" s="10"/>
      <c r="CK14" s="10"/>
      <c r="CL14" s="11">
        <v>0</v>
      </c>
      <c r="CM14" s="10"/>
      <c r="CN14" s="10"/>
      <c r="CO14" s="11">
        <v>0</v>
      </c>
      <c r="CP14" s="10"/>
      <c r="CQ14" s="10"/>
      <c r="CR14" s="11">
        <v>0</v>
      </c>
      <c r="CS14" s="10"/>
      <c r="CT14" s="10"/>
      <c r="CU14" s="11">
        <v>0</v>
      </c>
      <c r="CV14" s="10"/>
      <c r="CW14" s="10"/>
      <c r="CX14" s="11">
        <v>0</v>
      </c>
      <c r="CY14" s="10"/>
      <c r="CZ14" s="10"/>
      <c r="DA14" s="11">
        <v>0</v>
      </c>
      <c r="DB14" s="10">
        <v>265000</v>
      </c>
      <c r="DC14" s="10">
        <f t="shared" si="33"/>
        <v>151230</v>
      </c>
      <c r="DD14" s="13">
        <f t="shared" si="34"/>
        <v>0.57067924528301883</v>
      </c>
      <c r="DE14" s="14"/>
    </row>
    <row r="15" spans="1:109" x14ac:dyDescent="0.35">
      <c r="A15" s="8" t="s">
        <v>81</v>
      </c>
      <c r="B15" s="9" t="s">
        <v>74</v>
      </c>
      <c r="C15" s="9" t="s">
        <v>52</v>
      </c>
      <c r="D15" s="9" t="s">
        <v>82</v>
      </c>
      <c r="E15" s="9" t="s">
        <v>54</v>
      </c>
      <c r="F15" s="9" t="s">
        <v>55</v>
      </c>
      <c r="G15" s="10"/>
      <c r="H15" s="10"/>
      <c r="I15" s="11">
        <v>0</v>
      </c>
      <c r="J15" s="10"/>
      <c r="K15" s="10">
        <v>17000</v>
      </c>
      <c r="L15" s="12">
        <v>0</v>
      </c>
      <c r="M15" s="10">
        <v>120000</v>
      </c>
      <c r="N15" s="10"/>
      <c r="O15" s="11">
        <f t="shared" si="22"/>
        <v>0</v>
      </c>
      <c r="P15" s="10"/>
      <c r="Q15" s="10"/>
      <c r="R15" s="11">
        <v>0</v>
      </c>
      <c r="S15" s="10"/>
      <c r="T15" s="10"/>
      <c r="U15" s="11">
        <v>0</v>
      </c>
      <c r="V15" s="10"/>
      <c r="W15" s="10"/>
      <c r="X15" s="11">
        <v>0</v>
      </c>
      <c r="Y15" s="10">
        <v>70000</v>
      </c>
      <c r="Z15" s="10"/>
      <c r="AA15" s="11">
        <f t="shared" si="36"/>
        <v>0</v>
      </c>
      <c r="AB15" s="10"/>
      <c r="AC15" s="10"/>
      <c r="AD15" s="11">
        <v>0</v>
      </c>
      <c r="AE15" s="10"/>
      <c r="AF15" s="10">
        <v>50100</v>
      </c>
      <c r="AG15" s="11">
        <v>0</v>
      </c>
      <c r="AH15" s="10"/>
      <c r="AI15" s="10"/>
      <c r="AJ15" s="11">
        <v>0</v>
      </c>
      <c r="AK15" s="10"/>
      <c r="AL15" s="10"/>
      <c r="AM15" s="11">
        <v>0</v>
      </c>
      <c r="AN15" s="10"/>
      <c r="AO15" s="10"/>
      <c r="AP15" s="11">
        <v>0</v>
      </c>
      <c r="AQ15" s="10"/>
      <c r="AR15" s="10"/>
      <c r="AS15" s="11">
        <v>0</v>
      </c>
      <c r="AT15" s="10"/>
      <c r="AU15" s="10">
        <v>82680</v>
      </c>
      <c r="AV15" s="11">
        <v>0</v>
      </c>
      <c r="AW15" s="10"/>
      <c r="AX15" s="10"/>
      <c r="AY15" s="11">
        <v>0</v>
      </c>
      <c r="AZ15" s="10"/>
      <c r="BA15" s="10"/>
      <c r="BB15" s="11">
        <v>0</v>
      </c>
      <c r="BC15" s="10"/>
      <c r="BD15" s="10"/>
      <c r="BE15" s="11">
        <v>0</v>
      </c>
      <c r="BF15" s="10">
        <v>6000000</v>
      </c>
      <c r="BG15" s="10">
        <f>VLOOKUP(A:A,'[1]2026 Customer Brand Sales'!$A:$BA,53,0)</f>
        <v>2252360</v>
      </c>
      <c r="BH15" s="11">
        <f t="shared" si="26"/>
        <v>0.37539333333333336</v>
      </c>
      <c r="BI15" s="10"/>
      <c r="BJ15" s="10"/>
      <c r="BK15" s="11">
        <v>0</v>
      </c>
      <c r="BL15" s="10">
        <v>200000</v>
      </c>
      <c r="BM15" s="10">
        <v>231295</v>
      </c>
      <c r="BN15" s="11">
        <f t="shared" si="28"/>
        <v>1.1564749999999999</v>
      </c>
      <c r="BO15" s="10"/>
      <c r="BP15" s="10"/>
      <c r="BQ15" s="11">
        <v>0</v>
      </c>
      <c r="BR15" s="10"/>
      <c r="BS15" s="10"/>
      <c r="BT15" s="11">
        <v>0</v>
      </c>
      <c r="BU15" s="10"/>
      <c r="BV15" s="10"/>
      <c r="BW15" s="11">
        <v>0</v>
      </c>
      <c r="BX15" s="10"/>
      <c r="BY15" s="10"/>
      <c r="BZ15" s="11">
        <v>0</v>
      </c>
      <c r="CA15" s="10"/>
      <c r="CB15" s="10"/>
      <c r="CC15" s="11">
        <v>0</v>
      </c>
      <c r="CD15" s="10"/>
      <c r="CE15" s="10"/>
      <c r="CF15" s="11">
        <v>0</v>
      </c>
      <c r="CG15" s="10"/>
      <c r="CH15" s="10"/>
      <c r="CI15" s="11">
        <v>0</v>
      </c>
      <c r="CJ15" s="10"/>
      <c r="CK15" s="10"/>
      <c r="CL15" s="11">
        <v>0</v>
      </c>
      <c r="CM15" s="10"/>
      <c r="CN15" s="10"/>
      <c r="CO15" s="11">
        <v>0</v>
      </c>
      <c r="CP15" s="10"/>
      <c r="CQ15" s="10"/>
      <c r="CR15" s="11">
        <v>0</v>
      </c>
      <c r="CS15" s="10"/>
      <c r="CT15" s="10"/>
      <c r="CU15" s="11">
        <v>0</v>
      </c>
      <c r="CV15" s="10"/>
      <c r="CW15" s="10"/>
      <c r="CX15" s="11">
        <v>0</v>
      </c>
      <c r="CY15" s="10"/>
      <c r="CZ15" s="10"/>
      <c r="DA15" s="11">
        <v>0</v>
      </c>
      <c r="DB15" s="10">
        <v>6390000</v>
      </c>
      <c r="DC15" s="10">
        <f t="shared" si="33"/>
        <v>2633435</v>
      </c>
      <c r="DD15" s="13">
        <f t="shared" si="34"/>
        <v>0.41211815336463226</v>
      </c>
      <c r="DE15" s="14"/>
    </row>
    <row r="16" spans="1:109" x14ac:dyDescent="0.35">
      <c r="A16" s="8" t="s">
        <v>83</v>
      </c>
      <c r="B16" s="9" t="s">
        <v>74</v>
      </c>
      <c r="C16" s="9" t="s">
        <v>52</v>
      </c>
      <c r="D16" s="9" t="s">
        <v>84</v>
      </c>
      <c r="E16" s="9" t="s">
        <v>54</v>
      </c>
      <c r="F16" s="9" t="s">
        <v>55</v>
      </c>
      <c r="G16" s="10"/>
      <c r="H16" s="10">
        <v>96200</v>
      </c>
      <c r="I16" s="11">
        <v>0</v>
      </c>
      <c r="J16" s="10"/>
      <c r="K16" s="10"/>
      <c r="L16" s="12">
        <v>0</v>
      </c>
      <c r="M16" s="10">
        <v>56000</v>
      </c>
      <c r="N16" s="10">
        <v>26720</v>
      </c>
      <c r="O16" s="11">
        <f t="shared" si="22"/>
        <v>0.47714285714285715</v>
      </c>
      <c r="P16" s="10"/>
      <c r="Q16" s="10"/>
      <c r="R16" s="11">
        <v>0</v>
      </c>
      <c r="S16" s="10">
        <v>3000000</v>
      </c>
      <c r="T16" s="10">
        <v>937245</v>
      </c>
      <c r="U16" s="11">
        <f t="shared" si="23"/>
        <v>0.312415</v>
      </c>
      <c r="V16" s="10"/>
      <c r="W16" s="10"/>
      <c r="X16" s="11">
        <v>0</v>
      </c>
      <c r="Y16" s="10">
        <v>50000</v>
      </c>
      <c r="Z16" s="10">
        <v>102400</v>
      </c>
      <c r="AA16" s="11">
        <f t="shared" si="36"/>
        <v>2.048</v>
      </c>
      <c r="AB16" s="10"/>
      <c r="AC16" s="10"/>
      <c r="AD16" s="11">
        <v>0</v>
      </c>
      <c r="AE16" s="10">
        <v>400000</v>
      </c>
      <c r="AF16" s="10">
        <v>450050</v>
      </c>
      <c r="AG16" s="11">
        <f t="shared" si="39"/>
        <v>1.1251249999999999</v>
      </c>
      <c r="AH16" s="10"/>
      <c r="AI16" s="10"/>
      <c r="AJ16" s="11">
        <v>0</v>
      </c>
      <c r="AK16" s="10"/>
      <c r="AL16" s="10"/>
      <c r="AM16" s="11">
        <v>0</v>
      </c>
      <c r="AN16" s="10"/>
      <c r="AO16" s="10">
        <v>8300</v>
      </c>
      <c r="AP16" s="11">
        <v>0</v>
      </c>
      <c r="AQ16" s="10">
        <v>200000</v>
      </c>
      <c r="AR16" s="10">
        <v>15600</v>
      </c>
      <c r="AS16" s="11">
        <f t="shared" si="25"/>
        <v>7.8E-2</v>
      </c>
      <c r="AT16" s="10"/>
      <c r="AU16" s="10">
        <v>39480</v>
      </c>
      <c r="AV16" s="11">
        <v>0</v>
      </c>
      <c r="AW16" s="10"/>
      <c r="AX16" s="10"/>
      <c r="AY16" s="11">
        <v>0</v>
      </c>
      <c r="AZ16" s="10"/>
      <c r="BA16" s="10"/>
      <c r="BB16" s="11">
        <v>0</v>
      </c>
      <c r="BC16" s="10"/>
      <c r="BD16" s="10"/>
      <c r="BE16" s="11">
        <v>0</v>
      </c>
      <c r="BF16" s="10">
        <v>12000000</v>
      </c>
      <c r="BG16" s="10">
        <f>VLOOKUP(A:A,'[1]2026 Customer Brand Sales'!$A:$BA,53,0)</f>
        <v>5949295</v>
      </c>
      <c r="BH16" s="11">
        <f t="shared" si="26"/>
        <v>0.49577458333333335</v>
      </c>
      <c r="BI16" s="10">
        <v>500000</v>
      </c>
      <c r="BJ16" s="10">
        <v>83000</v>
      </c>
      <c r="BK16" s="11">
        <f t="shared" si="27"/>
        <v>0.16600000000000001</v>
      </c>
      <c r="BL16" s="10"/>
      <c r="BM16" s="10"/>
      <c r="BN16" s="11">
        <v>0</v>
      </c>
      <c r="BO16" s="10"/>
      <c r="BP16" s="10">
        <v>14575</v>
      </c>
      <c r="BQ16" s="11">
        <v>0</v>
      </c>
      <c r="BR16" s="10">
        <v>25000</v>
      </c>
      <c r="BS16" s="10"/>
      <c r="BT16" s="11">
        <f t="shared" si="30"/>
        <v>0</v>
      </c>
      <c r="BU16" s="10">
        <v>50000</v>
      </c>
      <c r="BV16" s="10"/>
      <c r="BW16" s="11">
        <f t="shared" si="31"/>
        <v>0</v>
      </c>
      <c r="BX16" s="10"/>
      <c r="BY16" s="10"/>
      <c r="BZ16" s="11">
        <v>0</v>
      </c>
      <c r="CA16" s="10"/>
      <c r="CB16" s="10"/>
      <c r="CC16" s="11">
        <v>0</v>
      </c>
      <c r="CD16" s="10"/>
      <c r="CE16" s="10"/>
      <c r="CF16" s="11">
        <v>0</v>
      </c>
      <c r="CG16" s="10">
        <v>50000</v>
      </c>
      <c r="CH16" s="10">
        <v>12400</v>
      </c>
      <c r="CI16" s="11">
        <f t="shared" si="32"/>
        <v>0.248</v>
      </c>
      <c r="CJ16" s="10"/>
      <c r="CK16" s="10"/>
      <c r="CL16" s="11">
        <v>0</v>
      </c>
      <c r="CM16" s="10"/>
      <c r="CN16" s="10"/>
      <c r="CO16" s="11">
        <v>0</v>
      </c>
      <c r="CP16" s="10"/>
      <c r="CQ16" s="10"/>
      <c r="CR16" s="11">
        <v>0</v>
      </c>
      <c r="CS16" s="10">
        <v>500000</v>
      </c>
      <c r="CT16" s="10">
        <v>113500</v>
      </c>
      <c r="CU16" s="11">
        <f t="shared" si="40"/>
        <v>0.22700000000000001</v>
      </c>
      <c r="CV16" s="10">
        <v>200000</v>
      </c>
      <c r="CW16" s="10">
        <v>396000</v>
      </c>
      <c r="CX16" s="11">
        <f t="shared" ref="CX16" si="46">CW16/CV16</f>
        <v>1.98</v>
      </c>
      <c r="CY16" s="10"/>
      <c r="CZ16" s="10"/>
      <c r="DA16" s="11">
        <v>0</v>
      </c>
      <c r="DB16" s="10">
        <v>17031000</v>
      </c>
      <c r="DC16" s="10">
        <f t="shared" si="33"/>
        <v>8244765</v>
      </c>
      <c r="DD16" s="13">
        <f t="shared" si="34"/>
        <v>0.48410339968293115</v>
      </c>
      <c r="DE16" s="14"/>
    </row>
    <row r="17" spans="1:109" x14ac:dyDescent="0.35">
      <c r="A17" s="8" t="s">
        <v>85</v>
      </c>
      <c r="B17" s="9" t="s">
        <v>48</v>
      </c>
      <c r="C17" s="9" t="s">
        <v>43</v>
      </c>
      <c r="D17" s="9" t="s">
        <v>86</v>
      </c>
      <c r="E17" s="9" t="s">
        <v>45</v>
      </c>
      <c r="F17" s="9" t="s">
        <v>46</v>
      </c>
      <c r="G17" s="10"/>
      <c r="H17" s="10"/>
      <c r="I17" s="11">
        <v>0</v>
      </c>
      <c r="J17" s="10"/>
      <c r="K17" s="10"/>
      <c r="L17" s="12">
        <v>0</v>
      </c>
      <c r="M17" s="10"/>
      <c r="N17" s="10"/>
      <c r="O17" s="11">
        <v>0</v>
      </c>
      <c r="P17" s="10"/>
      <c r="Q17" s="10"/>
      <c r="R17" s="11">
        <v>0</v>
      </c>
      <c r="S17" s="10"/>
      <c r="T17" s="10"/>
      <c r="U17" s="11">
        <v>0</v>
      </c>
      <c r="V17" s="10"/>
      <c r="W17" s="10"/>
      <c r="X17" s="11">
        <v>0</v>
      </c>
      <c r="Y17" s="10"/>
      <c r="Z17" s="10"/>
      <c r="AA17" s="11"/>
      <c r="AB17" s="10"/>
      <c r="AC17" s="10"/>
      <c r="AD17" s="11">
        <v>0</v>
      </c>
      <c r="AE17" s="10"/>
      <c r="AF17" s="10"/>
      <c r="AG17" s="11">
        <v>0</v>
      </c>
      <c r="AH17" s="10"/>
      <c r="AI17" s="10"/>
      <c r="AJ17" s="11">
        <v>0</v>
      </c>
      <c r="AK17" s="10"/>
      <c r="AL17" s="10"/>
      <c r="AM17" s="11">
        <v>0</v>
      </c>
      <c r="AN17" s="10">
        <v>100000</v>
      </c>
      <c r="AO17" s="10"/>
      <c r="AP17" s="11">
        <f t="shared" si="44"/>
        <v>0</v>
      </c>
      <c r="AQ17" s="10"/>
      <c r="AR17" s="10"/>
      <c r="AS17" s="11">
        <v>0</v>
      </c>
      <c r="AT17" s="10">
        <v>4000000</v>
      </c>
      <c r="AU17" s="10">
        <v>507700</v>
      </c>
      <c r="AV17" s="11">
        <f t="shared" si="37"/>
        <v>0.12692500000000001</v>
      </c>
      <c r="AW17" s="10"/>
      <c r="AX17" s="10">
        <v>23800</v>
      </c>
      <c r="AY17" s="11">
        <v>0</v>
      </c>
      <c r="AZ17" s="10"/>
      <c r="BA17" s="10"/>
      <c r="BB17" s="11">
        <v>0</v>
      </c>
      <c r="BC17" s="10"/>
      <c r="BD17" s="10"/>
      <c r="BE17" s="11">
        <v>0</v>
      </c>
      <c r="BF17" s="10">
        <v>98000000</v>
      </c>
      <c r="BG17" s="10">
        <f>VLOOKUP(A:A,'[1]2026 Customer Brand Sales'!$A:$BA,53,0)</f>
        <v>64907290</v>
      </c>
      <c r="BH17" s="11">
        <f t="shared" si="26"/>
        <v>0.66231928571428567</v>
      </c>
      <c r="BI17" s="10">
        <v>2000000</v>
      </c>
      <c r="BJ17" s="10">
        <v>213700</v>
      </c>
      <c r="BK17" s="11">
        <f t="shared" si="27"/>
        <v>0.10685</v>
      </c>
      <c r="BL17" s="10">
        <v>20000000</v>
      </c>
      <c r="BM17" s="10">
        <v>8017900</v>
      </c>
      <c r="BN17" s="11">
        <f t="shared" si="28"/>
        <v>0.400895</v>
      </c>
      <c r="BO17" s="10">
        <v>3000000</v>
      </c>
      <c r="BP17" s="10"/>
      <c r="BQ17" s="11">
        <f t="shared" si="29"/>
        <v>0</v>
      </c>
      <c r="BR17" s="10"/>
      <c r="BS17" s="10"/>
      <c r="BT17" s="11">
        <v>0</v>
      </c>
      <c r="BU17" s="10"/>
      <c r="BV17" s="10"/>
      <c r="BW17" s="11">
        <v>0</v>
      </c>
      <c r="BX17" s="10"/>
      <c r="BY17" s="10"/>
      <c r="BZ17" s="11">
        <v>0</v>
      </c>
      <c r="CA17" s="10"/>
      <c r="CB17" s="10"/>
      <c r="CC17" s="11">
        <v>0</v>
      </c>
      <c r="CD17" s="10"/>
      <c r="CE17" s="10"/>
      <c r="CF17" s="11">
        <v>0</v>
      </c>
      <c r="CG17" s="10">
        <v>150000</v>
      </c>
      <c r="CH17" s="10"/>
      <c r="CI17" s="11">
        <f t="shared" si="32"/>
        <v>0</v>
      </c>
      <c r="CJ17" s="10"/>
      <c r="CK17" s="10"/>
      <c r="CL17" s="11">
        <v>0</v>
      </c>
      <c r="CM17" s="10"/>
      <c r="CN17" s="10"/>
      <c r="CO17" s="11">
        <v>0</v>
      </c>
      <c r="CP17" s="10"/>
      <c r="CQ17" s="10"/>
      <c r="CR17" s="11">
        <v>0</v>
      </c>
      <c r="CS17" s="10"/>
      <c r="CT17" s="10"/>
      <c r="CU17" s="11">
        <v>0</v>
      </c>
      <c r="CV17" s="10"/>
      <c r="CW17" s="10"/>
      <c r="CX17" s="11">
        <v>0</v>
      </c>
      <c r="CY17" s="10"/>
      <c r="CZ17" s="10"/>
      <c r="DA17" s="11">
        <v>0</v>
      </c>
      <c r="DB17" s="10">
        <v>127250000</v>
      </c>
      <c r="DC17" s="10">
        <f t="shared" si="33"/>
        <v>73670390</v>
      </c>
      <c r="DD17" s="13">
        <f t="shared" si="34"/>
        <v>0.57894216110019647</v>
      </c>
      <c r="DE17" s="14"/>
    </row>
    <row r="18" spans="1:109" x14ac:dyDescent="0.35">
      <c r="A18" s="8" t="s">
        <v>87</v>
      </c>
      <c r="B18" s="9" t="s">
        <v>42</v>
      </c>
      <c r="C18" s="9" t="s">
        <v>43</v>
      </c>
      <c r="D18" s="9" t="s">
        <v>88</v>
      </c>
      <c r="E18" s="9" t="s">
        <v>45</v>
      </c>
      <c r="F18" s="9" t="s">
        <v>46</v>
      </c>
      <c r="G18" s="10"/>
      <c r="H18" s="10">
        <v>1174700</v>
      </c>
      <c r="I18" s="11">
        <v>0</v>
      </c>
      <c r="J18" s="10"/>
      <c r="K18" s="10">
        <v>258000</v>
      </c>
      <c r="L18" s="12">
        <v>0</v>
      </c>
      <c r="M18" s="10"/>
      <c r="N18" s="10"/>
      <c r="O18" s="11">
        <v>0</v>
      </c>
      <c r="P18" s="10"/>
      <c r="Q18" s="10"/>
      <c r="R18" s="11">
        <v>0</v>
      </c>
      <c r="S18" s="10"/>
      <c r="T18" s="10"/>
      <c r="U18" s="11">
        <v>0</v>
      </c>
      <c r="V18" s="10"/>
      <c r="W18" s="10"/>
      <c r="X18" s="11">
        <v>0</v>
      </c>
      <c r="Y18" s="10"/>
      <c r="Z18" s="10"/>
      <c r="AA18" s="11"/>
      <c r="AB18" s="10"/>
      <c r="AC18" s="10"/>
      <c r="AD18" s="11">
        <v>0</v>
      </c>
      <c r="AE18" s="10"/>
      <c r="AF18" s="10"/>
      <c r="AG18" s="11">
        <v>0</v>
      </c>
      <c r="AH18" s="10"/>
      <c r="AI18" s="10"/>
      <c r="AJ18" s="11">
        <v>0</v>
      </c>
      <c r="AK18" s="10"/>
      <c r="AL18" s="10"/>
      <c r="AM18" s="11">
        <v>0</v>
      </c>
      <c r="AN18" s="10"/>
      <c r="AO18" s="10"/>
      <c r="AP18" s="11">
        <v>0</v>
      </c>
      <c r="AQ18" s="10"/>
      <c r="AR18" s="10"/>
      <c r="AS18" s="11">
        <v>0</v>
      </c>
      <c r="AT18" s="10"/>
      <c r="AU18" s="10"/>
      <c r="AV18" s="11">
        <v>0</v>
      </c>
      <c r="AW18" s="10"/>
      <c r="AX18" s="10"/>
      <c r="AY18" s="11">
        <v>0</v>
      </c>
      <c r="AZ18" s="10"/>
      <c r="BA18" s="10"/>
      <c r="BB18" s="11">
        <v>0</v>
      </c>
      <c r="BC18" s="10"/>
      <c r="BD18" s="10"/>
      <c r="BE18" s="11">
        <v>0</v>
      </c>
      <c r="BF18" s="10"/>
      <c r="BG18" s="10"/>
      <c r="BH18" s="11">
        <v>0</v>
      </c>
      <c r="BI18" s="10"/>
      <c r="BJ18" s="10">
        <v>42500</v>
      </c>
      <c r="BK18" s="11">
        <v>0</v>
      </c>
      <c r="BL18" s="10"/>
      <c r="BM18" s="10">
        <v>850</v>
      </c>
      <c r="BN18" s="11">
        <v>0</v>
      </c>
      <c r="BO18" s="10"/>
      <c r="BP18" s="10"/>
      <c r="BQ18" s="11">
        <v>0</v>
      </c>
      <c r="BR18" s="10"/>
      <c r="BS18" s="10"/>
      <c r="BT18" s="11">
        <v>0</v>
      </c>
      <c r="BU18" s="10"/>
      <c r="BV18" s="10"/>
      <c r="BW18" s="11">
        <v>0</v>
      </c>
      <c r="BX18" s="10"/>
      <c r="BY18" s="10"/>
      <c r="BZ18" s="11">
        <v>0</v>
      </c>
      <c r="CA18" s="10"/>
      <c r="CB18" s="10"/>
      <c r="CC18" s="11">
        <v>0</v>
      </c>
      <c r="CD18" s="10"/>
      <c r="CE18" s="10"/>
      <c r="CF18" s="11">
        <v>0</v>
      </c>
      <c r="CG18" s="10">
        <v>20000</v>
      </c>
      <c r="CH18" s="10"/>
      <c r="CI18" s="11">
        <f t="shared" si="32"/>
        <v>0</v>
      </c>
      <c r="CJ18" s="10"/>
      <c r="CK18" s="10"/>
      <c r="CL18" s="11">
        <v>0</v>
      </c>
      <c r="CM18" s="10"/>
      <c r="CN18" s="10"/>
      <c r="CO18" s="11">
        <v>0</v>
      </c>
      <c r="CP18" s="10"/>
      <c r="CQ18" s="10"/>
      <c r="CR18" s="11">
        <v>0</v>
      </c>
      <c r="CS18" s="10"/>
      <c r="CT18" s="10"/>
      <c r="CU18" s="11">
        <v>0</v>
      </c>
      <c r="CV18" s="10"/>
      <c r="CW18" s="10"/>
      <c r="CX18" s="11">
        <v>0</v>
      </c>
      <c r="CY18" s="10"/>
      <c r="CZ18" s="10"/>
      <c r="DA18" s="11">
        <v>0</v>
      </c>
      <c r="DB18" s="10">
        <v>20000</v>
      </c>
      <c r="DC18" s="10">
        <f t="shared" si="33"/>
        <v>1476050</v>
      </c>
      <c r="DD18" s="13">
        <f t="shared" si="34"/>
        <v>73.802499999999995</v>
      </c>
      <c r="DE18" s="14"/>
    </row>
    <row r="19" spans="1:109" x14ac:dyDescent="0.35">
      <c r="A19" s="8" t="s">
        <v>89</v>
      </c>
      <c r="B19" s="9" t="s">
        <v>42</v>
      </c>
      <c r="C19" s="9" t="s">
        <v>43</v>
      </c>
      <c r="D19" s="9" t="s">
        <v>90</v>
      </c>
      <c r="E19" s="9" t="s">
        <v>45</v>
      </c>
      <c r="F19" s="9" t="s">
        <v>46</v>
      </c>
      <c r="G19" s="10">
        <v>12000000</v>
      </c>
      <c r="H19" s="10">
        <v>11762650</v>
      </c>
      <c r="I19" s="11">
        <f t="shared" ref="I19" si="47">H19/G19</f>
        <v>0.98022083333333332</v>
      </c>
      <c r="J19" s="10">
        <v>3000000</v>
      </c>
      <c r="K19" s="10">
        <v>1628200</v>
      </c>
      <c r="L19" s="11">
        <f t="shared" si="35"/>
        <v>0.54273333333333329</v>
      </c>
      <c r="M19" s="10"/>
      <c r="N19" s="10"/>
      <c r="O19" s="11">
        <v>0</v>
      </c>
      <c r="P19" s="10"/>
      <c r="Q19" s="10"/>
      <c r="R19" s="11">
        <v>0</v>
      </c>
      <c r="S19" s="10"/>
      <c r="T19" s="10"/>
      <c r="U19" s="11">
        <v>0</v>
      </c>
      <c r="V19" s="10"/>
      <c r="W19" s="10"/>
      <c r="X19" s="11">
        <v>0</v>
      </c>
      <c r="Y19" s="10"/>
      <c r="Z19" s="10"/>
      <c r="AA19" s="11"/>
      <c r="AB19" s="10"/>
      <c r="AC19" s="10"/>
      <c r="AD19" s="11">
        <v>0</v>
      </c>
      <c r="AE19" s="10"/>
      <c r="AF19" s="10"/>
      <c r="AG19" s="11">
        <v>0</v>
      </c>
      <c r="AH19" s="10"/>
      <c r="AI19" s="10"/>
      <c r="AJ19" s="11">
        <v>0</v>
      </c>
      <c r="AK19" s="10"/>
      <c r="AL19" s="10"/>
      <c r="AM19" s="11">
        <v>0</v>
      </c>
      <c r="AN19" s="10"/>
      <c r="AO19" s="10"/>
      <c r="AP19" s="11">
        <v>0</v>
      </c>
      <c r="AQ19" s="10"/>
      <c r="AR19" s="10"/>
      <c r="AS19" s="11">
        <v>0</v>
      </c>
      <c r="AT19" s="10">
        <v>500000</v>
      </c>
      <c r="AU19" s="10"/>
      <c r="AV19" s="11">
        <f t="shared" si="37"/>
        <v>0</v>
      </c>
      <c r="AW19" s="10">
        <v>1000000</v>
      </c>
      <c r="AX19" s="10"/>
      <c r="AY19" s="11">
        <f t="shared" si="42"/>
        <v>0</v>
      </c>
      <c r="AZ19" s="10"/>
      <c r="BA19" s="10"/>
      <c r="BB19" s="11">
        <v>0</v>
      </c>
      <c r="BC19" s="10"/>
      <c r="BD19" s="10"/>
      <c r="BE19" s="11">
        <v>0</v>
      </c>
      <c r="BF19" s="10"/>
      <c r="BG19" s="10"/>
      <c r="BH19" s="11">
        <v>0</v>
      </c>
      <c r="BI19" s="10"/>
      <c r="BJ19" s="10"/>
      <c r="BK19" s="11">
        <v>0</v>
      </c>
      <c r="BL19" s="10"/>
      <c r="BM19" s="10"/>
      <c r="BN19" s="11">
        <v>0</v>
      </c>
      <c r="BO19" s="10">
        <v>300000</v>
      </c>
      <c r="BP19" s="10"/>
      <c r="BQ19" s="11">
        <f t="shared" si="29"/>
        <v>0</v>
      </c>
      <c r="BR19" s="10"/>
      <c r="BS19" s="10"/>
      <c r="BT19" s="11">
        <v>0</v>
      </c>
      <c r="BU19" s="10"/>
      <c r="BV19" s="10"/>
      <c r="BW19" s="11">
        <v>0</v>
      </c>
      <c r="BX19" s="10"/>
      <c r="BY19" s="10"/>
      <c r="BZ19" s="11">
        <v>0</v>
      </c>
      <c r="CA19" s="10"/>
      <c r="CB19" s="10"/>
      <c r="CC19" s="11">
        <v>0</v>
      </c>
      <c r="CD19" s="10"/>
      <c r="CE19" s="10"/>
      <c r="CF19" s="11">
        <v>0</v>
      </c>
      <c r="CG19" s="10"/>
      <c r="CH19" s="10"/>
      <c r="CI19" s="11">
        <v>0</v>
      </c>
      <c r="CJ19" s="10"/>
      <c r="CK19" s="10"/>
      <c r="CL19" s="11">
        <v>0</v>
      </c>
      <c r="CM19" s="10"/>
      <c r="CN19" s="10"/>
      <c r="CO19" s="11">
        <v>0</v>
      </c>
      <c r="CP19" s="10"/>
      <c r="CQ19" s="10"/>
      <c r="CR19" s="11">
        <v>0</v>
      </c>
      <c r="CS19" s="10"/>
      <c r="CT19" s="10"/>
      <c r="CU19" s="11">
        <v>0</v>
      </c>
      <c r="CV19" s="10"/>
      <c r="CW19" s="10"/>
      <c r="CX19" s="11">
        <v>0</v>
      </c>
      <c r="CY19" s="10"/>
      <c r="CZ19" s="10"/>
      <c r="DA19" s="11">
        <v>0</v>
      </c>
      <c r="DB19" s="10">
        <v>16800000</v>
      </c>
      <c r="DC19" s="10">
        <f t="shared" si="33"/>
        <v>13390850</v>
      </c>
      <c r="DD19" s="13">
        <f t="shared" si="34"/>
        <v>0.79707440476190472</v>
      </c>
      <c r="DE19" s="14"/>
    </row>
    <row r="20" spans="1:109" x14ac:dyDescent="0.35">
      <c r="A20" s="8" t="s">
        <v>91</v>
      </c>
      <c r="B20" s="9" t="s">
        <v>42</v>
      </c>
      <c r="C20" s="9" t="s">
        <v>43</v>
      </c>
      <c r="D20" s="9" t="s">
        <v>92</v>
      </c>
      <c r="E20" s="9" t="s">
        <v>45</v>
      </c>
      <c r="F20" s="9" t="s">
        <v>46</v>
      </c>
      <c r="G20" s="10"/>
      <c r="H20" s="10"/>
      <c r="I20" s="11">
        <v>0</v>
      </c>
      <c r="J20" s="10">
        <v>100000</v>
      </c>
      <c r="K20" s="10"/>
      <c r="L20" s="11">
        <f t="shared" si="35"/>
        <v>0</v>
      </c>
      <c r="M20" s="10">
        <v>44800</v>
      </c>
      <c r="N20" s="10"/>
      <c r="O20" s="11">
        <f t="shared" si="22"/>
        <v>0</v>
      </c>
      <c r="P20" s="10"/>
      <c r="Q20" s="10"/>
      <c r="R20" s="11">
        <v>0</v>
      </c>
      <c r="S20" s="10"/>
      <c r="T20" s="10"/>
      <c r="U20" s="11">
        <v>0</v>
      </c>
      <c r="V20" s="10"/>
      <c r="W20" s="10"/>
      <c r="X20" s="11">
        <v>0</v>
      </c>
      <c r="Y20" s="10"/>
      <c r="Z20" s="10"/>
      <c r="AA20" s="11"/>
      <c r="AB20" s="10"/>
      <c r="AC20" s="10"/>
      <c r="AD20" s="11">
        <v>0</v>
      </c>
      <c r="AE20" s="10"/>
      <c r="AF20" s="10"/>
      <c r="AG20" s="11">
        <v>0</v>
      </c>
      <c r="AH20" s="10"/>
      <c r="AI20" s="10"/>
      <c r="AJ20" s="11">
        <v>0</v>
      </c>
      <c r="AK20" s="10"/>
      <c r="AL20" s="10"/>
      <c r="AM20" s="11">
        <v>0</v>
      </c>
      <c r="AN20" s="10"/>
      <c r="AO20" s="10"/>
      <c r="AP20" s="11">
        <v>0</v>
      </c>
      <c r="AQ20" s="10"/>
      <c r="AR20" s="10"/>
      <c r="AS20" s="11">
        <v>0</v>
      </c>
      <c r="AT20" s="10"/>
      <c r="AU20" s="10"/>
      <c r="AV20" s="11">
        <v>0</v>
      </c>
      <c r="AW20" s="10"/>
      <c r="AX20" s="10"/>
      <c r="AY20" s="11">
        <v>0</v>
      </c>
      <c r="AZ20" s="10"/>
      <c r="BA20" s="10"/>
      <c r="BB20" s="11">
        <v>0</v>
      </c>
      <c r="BC20" s="10"/>
      <c r="BD20" s="10"/>
      <c r="BE20" s="11">
        <v>0</v>
      </c>
      <c r="BF20" s="10">
        <v>5000000</v>
      </c>
      <c r="BG20" s="10">
        <f>VLOOKUP(A:A,'[1]2026 Customer Brand Sales'!$A:$BA,53,0)</f>
        <v>3015645</v>
      </c>
      <c r="BH20" s="11">
        <f t="shared" si="26"/>
        <v>0.60312900000000003</v>
      </c>
      <c r="BI20" s="10"/>
      <c r="BJ20" s="10"/>
      <c r="BK20" s="11">
        <v>0</v>
      </c>
      <c r="BL20" s="10"/>
      <c r="BM20" s="10">
        <v>52800</v>
      </c>
      <c r="BN20" s="11">
        <v>0</v>
      </c>
      <c r="BO20" s="10"/>
      <c r="BP20" s="10"/>
      <c r="BQ20" s="11">
        <v>0</v>
      </c>
      <c r="BR20" s="10"/>
      <c r="BS20" s="10"/>
      <c r="BT20" s="11">
        <v>0</v>
      </c>
      <c r="BU20" s="10"/>
      <c r="BV20" s="10"/>
      <c r="BW20" s="11">
        <v>0</v>
      </c>
      <c r="BX20" s="10"/>
      <c r="BY20" s="10"/>
      <c r="BZ20" s="11">
        <v>0</v>
      </c>
      <c r="CA20" s="10"/>
      <c r="CB20" s="10"/>
      <c r="CC20" s="11">
        <v>0</v>
      </c>
      <c r="CD20" s="10"/>
      <c r="CE20" s="10"/>
      <c r="CF20" s="11">
        <v>0</v>
      </c>
      <c r="CG20" s="10"/>
      <c r="CH20" s="10"/>
      <c r="CI20" s="11">
        <v>0</v>
      </c>
      <c r="CJ20" s="10"/>
      <c r="CK20" s="10"/>
      <c r="CL20" s="11">
        <v>0</v>
      </c>
      <c r="CM20" s="10"/>
      <c r="CN20" s="10"/>
      <c r="CO20" s="11">
        <v>0</v>
      </c>
      <c r="CP20" s="10"/>
      <c r="CQ20" s="10"/>
      <c r="CR20" s="11">
        <v>0</v>
      </c>
      <c r="CS20" s="10"/>
      <c r="CT20" s="10"/>
      <c r="CU20" s="11">
        <v>0</v>
      </c>
      <c r="CV20" s="10"/>
      <c r="CW20" s="10"/>
      <c r="CX20" s="11">
        <v>0</v>
      </c>
      <c r="CY20" s="10"/>
      <c r="CZ20" s="10"/>
      <c r="DA20" s="11">
        <v>0</v>
      </c>
      <c r="DB20" s="10">
        <v>5144800</v>
      </c>
      <c r="DC20" s="10">
        <f t="shared" si="33"/>
        <v>3068445</v>
      </c>
      <c r="DD20" s="13">
        <f t="shared" si="34"/>
        <v>0.59641677033120821</v>
      </c>
      <c r="DE20" s="14"/>
    </row>
    <row r="21" spans="1:109" x14ac:dyDescent="0.35">
      <c r="A21" s="8" t="s">
        <v>93</v>
      </c>
      <c r="B21" s="9" t="s">
        <v>48</v>
      </c>
      <c r="C21" s="9" t="s">
        <v>43</v>
      </c>
      <c r="D21" s="9" t="s">
        <v>94</v>
      </c>
      <c r="E21" s="9" t="s">
        <v>45</v>
      </c>
      <c r="F21" s="9" t="s">
        <v>46</v>
      </c>
      <c r="G21" s="10"/>
      <c r="H21" s="10"/>
      <c r="I21" s="11">
        <v>0</v>
      </c>
      <c r="J21" s="10">
        <v>100000</v>
      </c>
      <c r="K21" s="10"/>
      <c r="L21" s="11">
        <f t="shared" ref="L21:L31" si="48">K21/J21</f>
        <v>0</v>
      </c>
      <c r="M21" s="10"/>
      <c r="N21" s="10"/>
      <c r="O21" s="11">
        <v>0</v>
      </c>
      <c r="P21" s="10">
        <v>100000</v>
      </c>
      <c r="Q21" s="10"/>
      <c r="R21" s="11">
        <f t="shared" ref="R21:R25" si="49">Q21/P21</f>
        <v>0</v>
      </c>
      <c r="S21" s="10"/>
      <c r="T21" s="10"/>
      <c r="U21" s="11">
        <v>0</v>
      </c>
      <c r="V21" s="10"/>
      <c r="W21" s="10"/>
      <c r="X21" s="11">
        <v>0</v>
      </c>
      <c r="Y21" s="10"/>
      <c r="Z21" s="10"/>
      <c r="AA21" s="11"/>
      <c r="AB21" s="10">
        <v>100000</v>
      </c>
      <c r="AC21" s="10"/>
      <c r="AD21" s="11">
        <v>0</v>
      </c>
      <c r="AE21" s="10">
        <v>800000</v>
      </c>
      <c r="AF21" s="10">
        <v>513200</v>
      </c>
      <c r="AG21" s="11">
        <f t="shared" ref="AG21:AG31" si="50">AF21/AE21</f>
        <v>0.64149999999999996</v>
      </c>
      <c r="AH21" s="10"/>
      <c r="AI21" s="10"/>
      <c r="AJ21" s="11">
        <v>0</v>
      </c>
      <c r="AK21" s="10"/>
      <c r="AL21" s="10"/>
      <c r="AM21" s="11">
        <v>0</v>
      </c>
      <c r="AN21" s="10"/>
      <c r="AO21" s="10"/>
      <c r="AP21" s="11">
        <v>0</v>
      </c>
      <c r="AQ21" s="10"/>
      <c r="AR21" s="10"/>
      <c r="AS21" s="11">
        <v>0</v>
      </c>
      <c r="AT21" s="10">
        <v>1000000</v>
      </c>
      <c r="AU21" s="10"/>
      <c r="AV21" s="11">
        <f t="shared" ref="AV21:AV28" si="51">AU21/AT21</f>
        <v>0</v>
      </c>
      <c r="AW21" s="10"/>
      <c r="AX21" s="10">
        <v>3400</v>
      </c>
      <c r="AY21" s="11">
        <v>0</v>
      </c>
      <c r="AZ21" s="10"/>
      <c r="BA21" s="10"/>
      <c r="BB21" s="11">
        <v>0</v>
      </c>
      <c r="BC21" s="10"/>
      <c r="BD21" s="10"/>
      <c r="BE21" s="11">
        <v>0</v>
      </c>
      <c r="BF21" s="10">
        <v>20000000</v>
      </c>
      <c r="BG21" s="10">
        <f>VLOOKUP(A:A,'[1]2026 Customer Brand Sales'!$A:$BA,53,0)</f>
        <v>6056485</v>
      </c>
      <c r="BH21" s="11">
        <f t="shared" ref="BH21:BH32" si="52">BG21/BF21</f>
        <v>0.30282425000000002</v>
      </c>
      <c r="BI21" s="10">
        <v>500000</v>
      </c>
      <c r="BJ21" s="10"/>
      <c r="BK21" s="11">
        <f t="shared" ref="BK21:BK31" si="53">BJ21/BI21</f>
        <v>0</v>
      </c>
      <c r="BL21" s="10"/>
      <c r="BM21" s="10"/>
      <c r="BN21" s="11">
        <v>0</v>
      </c>
      <c r="BO21" s="10">
        <v>400000</v>
      </c>
      <c r="BP21" s="10"/>
      <c r="BQ21" s="11">
        <f t="shared" ref="BQ21:BQ32" si="54">BP21/BO21</f>
        <v>0</v>
      </c>
      <c r="BR21" s="10"/>
      <c r="BS21" s="10"/>
      <c r="BT21" s="11">
        <v>0</v>
      </c>
      <c r="BU21" s="10"/>
      <c r="BV21" s="10"/>
      <c r="BW21" s="11">
        <v>0</v>
      </c>
      <c r="BX21" s="10"/>
      <c r="BY21" s="10"/>
      <c r="BZ21" s="11">
        <v>0</v>
      </c>
      <c r="CA21" s="10"/>
      <c r="CB21" s="10"/>
      <c r="CC21" s="11">
        <v>0</v>
      </c>
      <c r="CD21" s="10"/>
      <c r="CE21" s="10"/>
      <c r="CF21" s="11">
        <v>0</v>
      </c>
      <c r="CG21" s="10"/>
      <c r="CH21" s="10"/>
      <c r="CI21" s="11">
        <v>0</v>
      </c>
      <c r="CJ21" s="10"/>
      <c r="CK21" s="10"/>
      <c r="CL21" s="11">
        <v>0</v>
      </c>
      <c r="CM21" s="10"/>
      <c r="CN21" s="10"/>
      <c r="CO21" s="11">
        <v>0</v>
      </c>
      <c r="CP21" s="10"/>
      <c r="CQ21" s="10"/>
      <c r="CR21" s="11">
        <v>0</v>
      </c>
      <c r="CS21" s="10"/>
      <c r="CT21" s="10"/>
      <c r="CU21" s="11">
        <v>0</v>
      </c>
      <c r="CV21" s="10"/>
      <c r="CW21" s="10"/>
      <c r="CX21" s="11">
        <v>0</v>
      </c>
      <c r="CY21" s="10"/>
      <c r="CZ21" s="10"/>
      <c r="DA21" s="11">
        <v>0</v>
      </c>
      <c r="DB21" s="10">
        <v>23000000</v>
      </c>
      <c r="DC21" s="10">
        <f t="shared" ref="DC21:DC33" si="55">SUM(H21,K21,N21,Q21,T21,W21,Z21,AC21,AF21,AI21,AL21,AO21,AR21,AU21,AX21,BA21,BD21,BG21,BJ21,BM21,BP21,BS21,BV21,BY21,CB21,CE21,CH21,CK21,CN21,CQ21,CT21,CW21,CZ21)</f>
        <v>6573085</v>
      </c>
      <c r="DD21" s="13">
        <f t="shared" ref="DD21:DD33" si="56">DC21/DB21</f>
        <v>0.28578630434782609</v>
      </c>
      <c r="DE21" s="14"/>
    </row>
    <row r="22" spans="1:109" x14ac:dyDescent="0.35">
      <c r="A22" s="8" t="s">
        <v>95</v>
      </c>
      <c r="B22" s="9" t="s">
        <v>74</v>
      </c>
      <c r="C22" s="9" t="s">
        <v>52</v>
      </c>
      <c r="D22" s="9" t="s">
        <v>96</v>
      </c>
      <c r="E22" s="9" t="s">
        <v>54</v>
      </c>
      <c r="F22" s="9" t="s">
        <v>55</v>
      </c>
      <c r="G22" s="10"/>
      <c r="H22" s="10"/>
      <c r="I22" s="11">
        <v>0</v>
      </c>
      <c r="J22" s="10"/>
      <c r="K22" s="10"/>
      <c r="L22" s="12">
        <v>0</v>
      </c>
      <c r="M22" s="10"/>
      <c r="N22" s="10"/>
      <c r="O22" s="11">
        <v>0</v>
      </c>
      <c r="P22" s="10"/>
      <c r="Q22" s="10"/>
      <c r="R22" s="11">
        <v>0</v>
      </c>
      <c r="S22" s="10"/>
      <c r="T22" s="10"/>
      <c r="U22" s="11">
        <v>0</v>
      </c>
      <c r="V22" s="10"/>
      <c r="W22" s="10"/>
      <c r="X22" s="11">
        <v>0</v>
      </c>
      <c r="Y22" s="10"/>
      <c r="Z22" s="10"/>
      <c r="AA22" s="11"/>
      <c r="AB22" s="10">
        <v>30000</v>
      </c>
      <c r="AC22" s="10"/>
      <c r="AD22" s="11">
        <v>0</v>
      </c>
      <c r="AE22" s="10"/>
      <c r="AF22" s="10"/>
      <c r="AG22" s="11">
        <v>0</v>
      </c>
      <c r="AH22" s="10"/>
      <c r="AI22" s="10"/>
      <c r="AJ22" s="11">
        <v>0</v>
      </c>
      <c r="AK22" s="10"/>
      <c r="AL22" s="10"/>
      <c r="AM22" s="11">
        <v>0</v>
      </c>
      <c r="AN22" s="10"/>
      <c r="AO22" s="10"/>
      <c r="AP22" s="11">
        <v>0</v>
      </c>
      <c r="AQ22" s="10"/>
      <c r="AR22" s="10"/>
      <c r="AS22" s="11">
        <v>0</v>
      </c>
      <c r="AT22" s="10"/>
      <c r="AU22" s="10">
        <v>38400</v>
      </c>
      <c r="AV22" s="11">
        <v>0</v>
      </c>
      <c r="AW22" s="10"/>
      <c r="AX22" s="10"/>
      <c r="AY22" s="11">
        <v>0</v>
      </c>
      <c r="AZ22" s="10"/>
      <c r="BA22" s="10"/>
      <c r="BB22" s="11">
        <v>0</v>
      </c>
      <c r="BC22" s="10"/>
      <c r="BD22" s="10"/>
      <c r="BE22" s="11">
        <v>0</v>
      </c>
      <c r="BF22" s="10">
        <v>6000000</v>
      </c>
      <c r="BG22" s="10">
        <f>VLOOKUP(A:A,'[1]2026 Customer Brand Sales'!$A:$BA,53,0)</f>
        <v>2679625</v>
      </c>
      <c r="BH22" s="11">
        <f t="shared" si="52"/>
        <v>0.44660416666666669</v>
      </c>
      <c r="BI22" s="10"/>
      <c r="BJ22" s="10"/>
      <c r="BK22" s="11">
        <v>0</v>
      </c>
      <c r="BL22" s="10">
        <v>200000</v>
      </c>
      <c r="BM22" s="10">
        <v>240500</v>
      </c>
      <c r="BN22" s="11">
        <f t="shared" ref="BN22:BN32" si="57">BM22/BL22</f>
        <v>1.2024999999999999</v>
      </c>
      <c r="BO22" s="10"/>
      <c r="BP22" s="10">
        <v>15900</v>
      </c>
      <c r="BQ22" s="11">
        <v>0</v>
      </c>
      <c r="BR22" s="10"/>
      <c r="BS22" s="10"/>
      <c r="BT22" s="11">
        <v>0</v>
      </c>
      <c r="BU22" s="10"/>
      <c r="BV22" s="10"/>
      <c r="BW22" s="11">
        <v>0</v>
      </c>
      <c r="BX22" s="10"/>
      <c r="BY22" s="10"/>
      <c r="BZ22" s="11">
        <v>0</v>
      </c>
      <c r="CA22" s="10"/>
      <c r="CB22" s="10"/>
      <c r="CC22" s="11">
        <v>0</v>
      </c>
      <c r="CD22" s="10"/>
      <c r="CE22" s="10"/>
      <c r="CF22" s="11">
        <v>0</v>
      </c>
      <c r="CG22" s="10"/>
      <c r="CH22" s="10"/>
      <c r="CI22" s="11">
        <v>0</v>
      </c>
      <c r="CJ22" s="10"/>
      <c r="CK22" s="10"/>
      <c r="CL22" s="11">
        <v>0</v>
      </c>
      <c r="CM22" s="10"/>
      <c r="CN22" s="10"/>
      <c r="CO22" s="11">
        <v>0</v>
      </c>
      <c r="CP22" s="10"/>
      <c r="CQ22" s="10"/>
      <c r="CR22" s="11">
        <v>0</v>
      </c>
      <c r="CS22" s="10"/>
      <c r="CT22" s="10"/>
      <c r="CU22" s="11">
        <v>0</v>
      </c>
      <c r="CV22" s="10"/>
      <c r="CW22" s="10"/>
      <c r="CX22" s="11">
        <v>0</v>
      </c>
      <c r="CY22" s="10"/>
      <c r="CZ22" s="10"/>
      <c r="DA22" s="11">
        <v>0</v>
      </c>
      <c r="DB22" s="10">
        <v>6230000</v>
      </c>
      <c r="DC22" s="10">
        <f t="shared" si="55"/>
        <v>2974425</v>
      </c>
      <c r="DD22" s="13">
        <f t="shared" si="56"/>
        <v>0.4774357945425361</v>
      </c>
      <c r="DE22" s="14"/>
    </row>
    <row r="23" spans="1:109" x14ac:dyDescent="0.35">
      <c r="A23" s="8" t="s">
        <v>97</v>
      </c>
      <c r="B23" s="9" t="s">
        <v>51</v>
      </c>
      <c r="C23" s="9" t="s">
        <v>52</v>
      </c>
      <c r="D23" s="9" t="s">
        <v>98</v>
      </c>
      <c r="E23" s="9" t="s">
        <v>54</v>
      </c>
      <c r="F23" s="9" t="s">
        <v>55</v>
      </c>
      <c r="G23" s="10"/>
      <c r="H23" s="10"/>
      <c r="I23" s="11">
        <v>0</v>
      </c>
      <c r="J23" s="10"/>
      <c r="K23" s="10"/>
      <c r="L23" s="12">
        <v>0</v>
      </c>
      <c r="M23" s="10">
        <v>336000</v>
      </c>
      <c r="N23" s="10">
        <v>46800</v>
      </c>
      <c r="O23" s="11">
        <f t="shared" ref="O23:O29" si="58">N23/M23</f>
        <v>0.13928571428571429</v>
      </c>
      <c r="P23" s="10"/>
      <c r="Q23" s="10">
        <v>60060</v>
      </c>
      <c r="R23" s="11">
        <v>0</v>
      </c>
      <c r="S23" s="10">
        <v>200000</v>
      </c>
      <c r="T23" s="10">
        <v>51950</v>
      </c>
      <c r="U23" s="11">
        <f t="shared" ref="U23:U25" si="59">T23/S23</f>
        <v>0.25974999999999998</v>
      </c>
      <c r="V23" s="10"/>
      <c r="W23" s="10"/>
      <c r="X23" s="11">
        <v>0</v>
      </c>
      <c r="Y23" s="10">
        <v>100000</v>
      </c>
      <c r="Z23" s="10">
        <v>49000</v>
      </c>
      <c r="AA23" s="11">
        <f t="shared" ref="AA23:AA29" si="60">Z23/Y23</f>
        <v>0.49</v>
      </c>
      <c r="AB23" s="10"/>
      <c r="AC23" s="10"/>
      <c r="AD23" s="11">
        <v>0</v>
      </c>
      <c r="AE23" s="10"/>
      <c r="AF23" s="10"/>
      <c r="AG23" s="11">
        <v>0</v>
      </c>
      <c r="AH23" s="10"/>
      <c r="AI23" s="10"/>
      <c r="AJ23" s="11">
        <v>0</v>
      </c>
      <c r="AK23" s="10"/>
      <c r="AL23" s="10"/>
      <c r="AM23" s="11">
        <v>0</v>
      </c>
      <c r="AN23" s="10"/>
      <c r="AO23" s="10">
        <v>11500</v>
      </c>
      <c r="AP23" s="11">
        <v>0</v>
      </c>
      <c r="AQ23" s="10"/>
      <c r="AR23" s="10"/>
      <c r="AS23" s="11">
        <v>0</v>
      </c>
      <c r="AT23" s="10"/>
      <c r="AU23" s="10">
        <v>24190</v>
      </c>
      <c r="AV23" s="11">
        <v>0</v>
      </c>
      <c r="AW23" s="10"/>
      <c r="AX23" s="10">
        <v>27700</v>
      </c>
      <c r="AY23" s="11">
        <v>0</v>
      </c>
      <c r="AZ23" s="10"/>
      <c r="BA23" s="10"/>
      <c r="BB23" s="11">
        <v>0</v>
      </c>
      <c r="BC23" s="10"/>
      <c r="BD23" s="10"/>
      <c r="BE23" s="11">
        <v>0</v>
      </c>
      <c r="BF23" s="10">
        <v>1200000</v>
      </c>
      <c r="BG23" s="10">
        <f>VLOOKUP(A:A,'[1]2026 Customer Brand Sales'!$A:$BA,53,0)</f>
        <v>332075</v>
      </c>
      <c r="BH23" s="11">
        <f t="shared" si="52"/>
        <v>0.27672916666666669</v>
      </c>
      <c r="BI23" s="10"/>
      <c r="BJ23" s="10">
        <v>51500</v>
      </c>
      <c r="BK23" s="11">
        <v>0</v>
      </c>
      <c r="BL23" s="10"/>
      <c r="BM23" s="10"/>
      <c r="BN23" s="11">
        <v>0</v>
      </c>
      <c r="BO23" s="10"/>
      <c r="BP23" s="10"/>
      <c r="BQ23" s="11">
        <v>0</v>
      </c>
      <c r="BR23" s="10"/>
      <c r="BS23" s="10">
        <v>1900</v>
      </c>
      <c r="BT23" s="11">
        <v>0</v>
      </c>
      <c r="BU23" s="10"/>
      <c r="BV23" s="10"/>
      <c r="BW23" s="11">
        <v>0</v>
      </c>
      <c r="BX23" s="10"/>
      <c r="BY23" s="10"/>
      <c r="BZ23" s="11">
        <v>0</v>
      </c>
      <c r="CA23" s="10"/>
      <c r="CB23" s="10"/>
      <c r="CC23" s="11">
        <v>0</v>
      </c>
      <c r="CD23" s="10"/>
      <c r="CE23" s="10"/>
      <c r="CF23" s="11">
        <v>0</v>
      </c>
      <c r="CG23" s="10">
        <v>80000</v>
      </c>
      <c r="CH23" s="10"/>
      <c r="CI23" s="11">
        <f t="shared" ref="CI23:CI31" si="61">CH23/CG23</f>
        <v>0</v>
      </c>
      <c r="CJ23" s="10"/>
      <c r="CK23" s="10"/>
      <c r="CL23" s="11">
        <v>0</v>
      </c>
      <c r="CM23" s="10"/>
      <c r="CN23" s="10"/>
      <c r="CO23" s="11">
        <v>0</v>
      </c>
      <c r="CP23" s="10"/>
      <c r="CQ23" s="10"/>
      <c r="CR23" s="11">
        <v>0</v>
      </c>
      <c r="CS23" s="10">
        <v>1000000</v>
      </c>
      <c r="CT23" s="10">
        <v>125600</v>
      </c>
      <c r="CU23" s="11">
        <f t="shared" ref="CU23" si="62">CT23/CS23</f>
        <v>0.12559999999999999</v>
      </c>
      <c r="CV23" s="10"/>
      <c r="CW23" s="10"/>
      <c r="CX23" s="11">
        <v>0</v>
      </c>
      <c r="CY23" s="10">
        <v>500000</v>
      </c>
      <c r="CZ23" s="10"/>
      <c r="DA23" s="11">
        <f t="shared" ref="DA23" si="63">CZ23/CY23</f>
        <v>0</v>
      </c>
      <c r="DB23" s="10">
        <v>3416000</v>
      </c>
      <c r="DC23" s="10">
        <f t="shared" si="55"/>
        <v>782275</v>
      </c>
      <c r="DD23" s="13">
        <f t="shared" si="56"/>
        <v>0.22900322014051522</v>
      </c>
      <c r="DE23" s="14"/>
    </row>
    <row r="24" spans="1:109" x14ac:dyDescent="0.35">
      <c r="A24" s="8" t="s">
        <v>99</v>
      </c>
      <c r="B24" s="9" t="s">
        <v>42</v>
      </c>
      <c r="C24" s="9" t="s">
        <v>43</v>
      </c>
      <c r="D24" s="9" t="s">
        <v>100</v>
      </c>
      <c r="E24" s="9" t="s">
        <v>45</v>
      </c>
      <c r="F24" s="9" t="s">
        <v>46</v>
      </c>
      <c r="G24" s="10"/>
      <c r="H24" s="10"/>
      <c r="I24" s="11">
        <v>0</v>
      </c>
      <c r="J24" s="10"/>
      <c r="K24" s="10"/>
      <c r="L24" s="12">
        <v>0</v>
      </c>
      <c r="M24" s="10">
        <v>300000</v>
      </c>
      <c r="N24" s="10"/>
      <c r="O24" s="11">
        <f t="shared" si="58"/>
        <v>0</v>
      </c>
      <c r="P24" s="10"/>
      <c r="Q24" s="10"/>
      <c r="R24" s="11">
        <v>0</v>
      </c>
      <c r="S24" s="10"/>
      <c r="T24" s="10">
        <v>657190</v>
      </c>
      <c r="U24" s="11">
        <v>0</v>
      </c>
      <c r="V24" s="10"/>
      <c r="W24" s="10"/>
      <c r="X24" s="11">
        <v>0</v>
      </c>
      <c r="Y24" s="10">
        <v>300000</v>
      </c>
      <c r="Z24" s="10"/>
      <c r="AA24" s="11">
        <f t="shared" si="60"/>
        <v>0</v>
      </c>
      <c r="AB24" s="10">
        <v>200000</v>
      </c>
      <c r="AC24" s="10"/>
      <c r="AD24" s="11">
        <v>0</v>
      </c>
      <c r="AE24" s="10">
        <v>100000</v>
      </c>
      <c r="AF24" s="10">
        <v>452400</v>
      </c>
      <c r="AG24" s="11">
        <f t="shared" si="50"/>
        <v>4.524</v>
      </c>
      <c r="AH24" s="10"/>
      <c r="AI24" s="10"/>
      <c r="AJ24" s="11">
        <v>0</v>
      </c>
      <c r="AK24" s="10"/>
      <c r="AL24" s="10"/>
      <c r="AM24" s="11">
        <v>0</v>
      </c>
      <c r="AN24" s="10"/>
      <c r="AO24" s="10"/>
      <c r="AP24" s="11">
        <v>0</v>
      </c>
      <c r="AQ24" s="10">
        <v>2000000</v>
      </c>
      <c r="AR24" s="10"/>
      <c r="AS24" s="11">
        <f t="shared" ref="AS24" si="64">AR24/AQ24</f>
        <v>0</v>
      </c>
      <c r="AT24" s="10"/>
      <c r="AU24" s="10"/>
      <c r="AV24" s="11">
        <v>0</v>
      </c>
      <c r="AW24" s="10"/>
      <c r="AX24" s="10"/>
      <c r="AY24" s="11">
        <v>0</v>
      </c>
      <c r="AZ24" s="10"/>
      <c r="BA24" s="10"/>
      <c r="BB24" s="11">
        <v>0</v>
      </c>
      <c r="BC24" s="10"/>
      <c r="BD24" s="10"/>
      <c r="BE24" s="11">
        <v>0</v>
      </c>
      <c r="BF24" s="10"/>
      <c r="BG24" s="10"/>
      <c r="BH24" s="11">
        <v>0</v>
      </c>
      <c r="BI24" s="10"/>
      <c r="BJ24" s="10"/>
      <c r="BK24" s="11">
        <v>0</v>
      </c>
      <c r="BL24" s="10"/>
      <c r="BM24" s="10"/>
      <c r="BN24" s="11">
        <v>0</v>
      </c>
      <c r="BO24" s="10"/>
      <c r="BP24" s="10"/>
      <c r="BQ24" s="11">
        <v>0</v>
      </c>
      <c r="BR24" s="10"/>
      <c r="BS24" s="10"/>
      <c r="BT24" s="11">
        <v>0</v>
      </c>
      <c r="BU24" s="10"/>
      <c r="BV24" s="10"/>
      <c r="BW24" s="11">
        <v>0</v>
      </c>
      <c r="BX24" s="10"/>
      <c r="BY24" s="10"/>
      <c r="BZ24" s="11">
        <v>0</v>
      </c>
      <c r="CA24" s="10"/>
      <c r="CB24" s="10"/>
      <c r="CC24" s="11">
        <v>0</v>
      </c>
      <c r="CD24" s="10"/>
      <c r="CE24" s="10"/>
      <c r="CF24" s="11">
        <v>0</v>
      </c>
      <c r="CG24" s="10"/>
      <c r="CH24" s="10"/>
      <c r="CI24" s="11">
        <v>0</v>
      </c>
      <c r="CJ24" s="10"/>
      <c r="CK24" s="10"/>
      <c r="CL24" s="11">
        <v>0</v>
      </c>
      <c r="CM24" s="10"/>
      <c r="CN24" s="10"/>
      <c r="CO24" s="11">
        <v>0</v>
      </c>
      <c r="CP24" s="10"/>
      <c r="CQ24" s="10"/>
      <c r="CR24" s="11">
        <v>0</v>
      </c>
      <c r="CS24" s="10"/>
      <c r="CT24" s="10">
        <v>16700</v>
      </c>
      <c r="CU24" s="11">
        <v>0</v>
      </c>
      <c r="CV24" s="10"/>
      <c r="CW24" s="10"/>
      <c r="CX24" s="11">
        <v>0</v>
      </c>
      <c r="CY24" s="10"/>
      <c r="CZ24" s="10"/>
      <c r="DA24" s="11">
        <v>0</v>
      </c>
      <c r="DB24" s="10">
        <v>2900000</v>
      </c>
      <c r="DC24" s="10">
        <f t="shared" si="55"/>
        <v>1126290</v>
      </c>
      <c r="DD24" s="13">
        <f t="shared" si="56"/>
        <v>0.38837586206896552</v>
      </c>
      <c r="DE24" s="14"/>
    </row>
    <row r="25" spans="1:109" x14ac:dyDescent="0.35">
      <c r="A25" s="8" t="s">
        <v>101</v>
      </c>
      <c r="B25" s="9" t="s">
        <v>74</v>
      </c>
      <c r="C25" s="9" t="s">
        <v>52</v>
      </c>
      <c r="D25" s="9" t="s">
        <v>102</v>
      </c>
      <c r="E25" s="9" t="s">
        <v>54</v>
      </c>
      <c r="F25" s="9" t="s">
        <v>55</v>
      </c>
      <c r="G25" s="10"/>
      <c r="H25" s="10">
        <v>61000</v>
      </c>
      <c r="I25" s="11">
        <v>0</v>
      </c>
      <c r="J25" s="10"/>
      <c r="K25" s="10"/>
      <c r="L25" s="12">
        <v>0</v>
      </c>
      <c r="M25" s="10">
        <v>112000</v>
      </c>
      <c r="N25" s="10"/>
      <c r="O25" s="11">
        <f t="shared" si="58"/>
        <v>0</v>
      </c>
      <c r="P25" s="10">
        <v>200000</v>
      </c>
      <c r="Q25" s="10"/>
      <c r="R25" s="11">
        <f t="shared" si="49"/>
        <v>0</v>
      </c>
      <c r="S25" s="10">
        <v>100000</v>
      </c>
      <c r="T25" s="10"/>
      <c r="U25" s="11">
        <f t="shared" si="59"/>
        <v>0</v>
      </c>
      <c r="V25" s="10"/>
      <c r="W25" s="10"/>
      <c r="X25" s="11">
        <v>0</v>
      </c>
      <c r="Y25" s="10"/>
      <c r="Z25" s="10"/>
      <c r="AA25" s="11"/>
      <c r="AB25" s="10"/>
      <c r="AC25" s="10"/>
      <c r="AD25" s="11">
        <v>0</v>
      </c>
      <c r="AE25" s="10"/>
      <c r="AF25" s="10"/>
      <c r="AG25" s="11">
        <v>0</v>
      </c>
      <c r="AH25" s="10"/>
      <c r="AI25" s="10"/>
      <c r="AJ25" s="11">
        <v>0</v>
      </c>
      <c r="AK25" s="10"/>
      <c r="AL25" s="10"/>
      <c r="AM25" s="11">
        <v>0</v>
      </c>
      <c r="AN25" s="10"/>
      <c r="AO25" s="10"/>
      <c r="AP25" s="11">
        <v>0</v>
      </c>
      <c r="AQ25" s="10"/>
      <c r="AR25" s="10">
        <v>58000</v>
      </c>
      <c r="AS25" s="11">
        <v>0</v>
      </c>
      <c r="AT25" s="10"/>
      <c r="AU25" s="10">
        <v>34530</v>
      </c>
      <c r="AV25" s="11">
        <v>0</v>
      </c>
      <c r="AW25" s="10"/>
      <c r="AX25" s="10"/>
      <c r="AY25" s="11">
        <v>0</v>
      </c>
      <c r="AZ25" s="10"/>
      <c r="BA25" s="10"/>
      <c r="BB25" s="11">
        <v>0</v>
      </c>
      <c r="BC25" s="10"/>
      <c r="BD25" s="10"/>
      <c r="BE25" s="11">
        <v>0</v>
      </c>
      <c r="BF25" s="10">
        <v>1800000</v>
      </c>
      <c r="BG25" s="10">
        <f>VLOOKUP(A:A,'[1]2026 Customer Brand Sales'!$A:$BA,53,0)</f>
        <v>1540765</v>
      </c>
      <c r="BH25" s="11">
        <f t="shared" si="52"/>
        <v>0.85598055555555552</v>
      </c>
      <c r="BI25" s="10"/>
      <c r="BJ25" s="10"/>
      <c r="BK25" s="11">
        <v>0</v>
      </c>
      <c r="BL25" s="10"/>
      <c r="BM25" s="10">
        <v>105820</v>
      </c>
      <c r="BN25" s="11">
        <v>0</v>
      </c>
      <c r="BO25" s="10"/>
      <c r="BP25" s="10"/>
      <c r="BQ25" s="11">
        <v>0</v>
      </c>
      <c r="BR25" s="10"/>
      <c r="BS25" s="10">
        <v>6250</v>
      </c>
      <c r="BT25" s="11">
        <v>0</v>
      </c>
      <c r="BU25" s="10"/>
      <c r="BV25" s="10"/>
      <c r="BW25" s="11">
        <v>0</v>
      </c>
      <c r="BX25" s="10"/>
      <c r="BY25" s="10"/>
      <c r="BZ25" s="11">
        <v>0</v>
      </c>
      <c r="CA25" s="10"/>
      <c r="CB25" s="10"/>
      <c r="CC25" s="11">
        <v>0</v>
      </c>
      <c r="CD25" s="10"/>
      <c r="CE25" s="10"/>
      <c r="CF25" s="11">
        <v>0</v>
      </c>
      <c r="CG25" s="10">
        <v>50000</v>
      </c>
      <c r="CH25" s="10">
        <v>64000</v>
      </c>
      <c r="CI25" s="11">
        <f t="shared" si="61"/>
        <v>1.28</v>
      </c>
      <c r="CJ25" s="10"/>
      <c r="CK25" s="10"/>
      <c r="CL25" s="11">
        <v>0</v>
      </c>
      <c r="CM25" s="10"/>
      <c r="CN25" s="10"/>
      <c r="CO25" s="11">
        <v>0</v>
      </c>
      <c r="CP25" s="10"/>
      <c r="CQ25" s="10"/>
      <c r="CR25" s="11">
        <v>0</v>
      </c>
      <c r="CS25" s="10"/>
      <c r="CT25" s="10"/>
      <c r="CU25" s="11">
        <v>0</v>
      </c>
      <c r="CV25" s="10"/>
      <c r="CW25" s="10"/>
      <c r="CX25" s="11">
        <v>0</v>
      </c>
      <c r="CY25" s="10"/>
      <c r="CZ25" s="10"/>
      <c r="DA25" s="11">
        <v>0</v>
      </c>
      <c r="DB25" s="10">
        <v>2262000</v>
      </c>
      <c r="DC25" s="10">
        <f t="shared" si="55"/>
        <v>1870365</v>
      </c>
      <c r="DD25" s="13">
        <f t="shared" si="56"/>
        <v>0.82686339522546415</v>
      </c>
      <c r="DE25" s="14"/>
    </row>
    <row r="26" spans="1:109" x14ac:dyDescent="0.35">
      <c r="A26" s="8" t="s">
        <v>103</v>
      </c>
      <c r="B26" s="9" t="s">
        <v>74</v>
      </c>
      <c r="C26" s="9" t="s">
        <v>52</v>
      </c>
      <c r="D26" s="9" t="s">
        <v>104</v>
      </c>
      <c r="E26" s="9" t="s">
        <v>54</v>
      </c>
      <c r="F26" s="9" t="s">
        <v>55</v>
      </c>
      <c r="G26" s="10"/>
      <c r="H26" s="10"/>
      <c r="I26" s="11">
        <v>0</v>
      </c>
      <c r="J26" s="10"/>
      <c r="K26" s="10"/>
      <c r="L26" s="12">
        <v>0</v>
      </c>
      <c r="M26" s="10"/>
      <c r="N26" s="10">
        <v>36000</v>
      </c>
      <c r="O26" s="11">
        <v>0</v>
      </c>
      <c r="P26" s="10"/>
      <c r="Q26" s="10"/>
      <c r="R26" s="11">
        <v>0</v>
      </c>
      <c r="S26" s="10"/>
      <c r="T26" s="10"/>
      <c r="U26" s="11">
        <v>0</v>
      </c>
      <c r="V26" s="10"/>
      <c r="W26" s="10"/>
      <c r="X26" s="11">
        <v>0</v>
      </c>
      <c r="Y26" s="10">
        <v>50000</v>
      </c>
      <c r="Z26" s="10"/>
      <c r="AA26" s="11">
        <f t="shared" si="60"/>
        <v>0</v>
      </c>
      <c r="AB26" s="10">
        <v>100000</v>
      </c>
      <c r="AC26" s="10">
        <v>54750</v>
      </c>
      <c r="AD26" s="11">
        <v>0.54749999999999999</v>
      </c>
      <c r="AE26" s="10">
        <v>100000</v>
      </c>
      <c r="AF26" s="10"/>
      <c r="AG26" s="11">
        <f t="shared" si="50"/>
        <v>0</v>
      </c>
      <c r="AH26" s="10"/>
      <c r="AI26" s="10"/>
      <c r="AJ26" s="11">
        <v>0</v>
      </c>
      <c r="AK26" s="10"/>
      <c r="AL26" s="10"/>
      <c r="AM26" s="11">
        <v>0</v>
      </c>
      <c r="AN26" s="10"/>
      <c r="AO26" s="10"/>
      <c r="AP26" s="11">
        <v>0</v>
      </c>
      <c r="AQ26" s="10"/>
      <c r="AR26" s="10"/>
      <c r="AS26" s="11">
        <v>0</v>
      </c>
      <c r="AT26" s="10"/>
      <c r="AU26" s="10"/>
      <c r="AV26" s="11">
        <v>0</v>
      </c>
      <c r="AW26" s="10"/>
      <c r="AX26" s="10"/>
      <c r="AY26" s="11">
        <v>0</v>
      </c>
      <c r="AZ26" s="10"/>
      <c r="BA26" s="10"/>
      <c r="BB26" s="11">
        <v>0</v>
      </c>
      <c r="BC26" s="10"/>
      <c r="BD26" s="10"/>
      <c r="BE26" s="11">
        <v>0</v>
      </c>
      <c r="BF26" s="10">
        <v>600000</v>
      </c>
      <c r="BG26" s="10">
        <f>VLOOKUP(A:A,'[1]2026 Customer Brand Sales'!$A:$BA,53,0)</f>
        <v>455600</v>
      </c>
      <c r="BH26" s="11">
        <f t="shared" si="52"/>
        <v>0.7593333333333333</v>
      </c>
      <c r="BI26" s="10"/>
      <c r="BJ26" s="10"/>
      <c r="BK26" s="11">
        <v>0</v>
      </c>
      <c r="BL26" s="10"/>
      <c r="BM26" s="10"/>
      <c r="BN26" s="11">
        <v>0</v>
      </c>
      <c r="BO26" s="10"/>
      <c r="BP26" s="10">
        <v>15900</v>
      </c>
      <c r="BQ26" s="11">
        <v>0</v>
      </c>
      <c r="BR26" s="10">
        <v>150000</v>
      </c>
      <c r="BS26" s="10">
        <v>20500</v>
      </c>
      <c r="BT26" s="11">
        <f t="shared" ref="BT26" si="65">BS26/BR26</f>
        <v>0.13666666666666666</v>
      </c>
      <c r="BU26" s="10">
        <v>35000</v>
      </c>
      <c r="BV26" s="10"/>
      <c r="BW26" s="11">
        <f t="shared" ref="BW26" si="66">BV26/BU26</f>
        <v>0</v>
      </c>
      <c r="BX26" s="10"/>
      <c r="BY26" s="10"/>
      <c r="BZ26" s="11">
        <v>0</v>
      </c>
      <c r="CA26" s="10"/>
      <c r="CB26" s="10"/>
      <c r="CC26" s="11">
        <v>0</v>
      </c>
      <c r="CD26" s="10"/>
      <c r="CE26" s="10"/>
      <c r="CF26" s="11">
        <v>0</v>
      </c>
      <c r="CG26" s="10"/>
      <c r="CH26" s="10"/>
      <c r="CI26" s="11">
        <v>0</v>
      </c>
      <c r="CJ26" s="10"/>
      <c r="CK26" s="10"/>
      <c r="CL26" s="11">
        <v>0</v>
      </c>
      <c r="CM26" s="10"/>
      <c r="CN26" s="10"/>
      <c r="CO26" s="11">
        <v>0</v>
      </c>
      <c r="CP26" s="10"/>
      <c r="CQ26" s="10"/>
      <c r="CR26" s="11">
        <v>0</v>
      </c>
      <c r="CS26" s="10"/>
      <c r="CT26" s="10"/>
      <c r="CU26" s="11">
        <v>0</v>
      </c>
      <c r="CV26" s="10"/>
      <c r="CW26" s="10"/>
      <c r="CX26" s="11">
        <v>0</v>
      </c>
      <c r="CY26" s="10"/>
      <c r="CZ26" s="10"/>
      <c r="DA26" s="11">
        <v>0</v>
      </c>
      <c r="DB26" s="10">
        <v>1035000</v>
      </c>
      <c r="DC26" s="10">
        <f t="shared" si="55"/>
        <v>582750</v>
      </c>
      <c r="DD26" s="13">
        <f t="shared" si="56"/>
        <v>0.56304347826086953</v>
      </c>
      <c r="DE26" s="14"/>
    </row>
    <row r="27" spans="1:109" x14ac:dyDescent="0.35">
      <c r="A27" s="8" t="s">
        <v>105</v>
      </c>
      <c r="B27" s="9" t="s">
        <v>77</v>
      </c>
      <c r="C27" s="9" t="s">
        <v>43</v>
      </c>
      <c r="D27" s="9" t="s">
        <v>106</v>
      </c>
      <c r="E27" s="9" t="s">
        <v>61</v>
      </c>
      <c r="F27" s="9" t="s">
        <v>62</v>
      </c>
      <c r="G27" s="10"/>
      <c r="H27" s="10"/>
      <c r="I27" s="11">
        <v>0</v>
      </c>
      <c r="J27" s="10"/>
      <c r="K27" s="10"/>
      <c r="L27" s="12">
        <v>0</v>
      </c>
      <c r="M27" s="10"/>
      <c r="N27" s="10"/>
      <c r="O27" s="11">
        <v>0</v>
      </c>
      <c r="P27" s="10"/>
      <c r="Q27" s="10"/>
      <c r="R27" s="11">
        <v>0</v>
      </c>
      <c r="S27" s="10"/>
      <c r="T27" s="10"/>
      <c r="U27" s="11">
        <v>0</v>
      </c>
      <c r="V27" s="10">
        <v>2700000</v>
      </c>
      <c r="W27" s="10">
        <v>566000</v>
      </c>
      <c r="X27" s="11">
        <v>0.20962962962962964</v>
      </c>
      <c r="Y27" s="10"/>
      <c r="Z27" s="10"/>
      <c r="AA27" s="11"/>
      <c r="AB27" s="10"/>
      <c r="AC27" s="10"/>
      <c r="AD27" s="11">
        <v>0</v>
      </c>
      <c r="AE27" s="10"/>
      <c r="AF27" s="10"/>
      <c r="AG27" s="11">
        <v>0</v>
      </c>
      <c r="AH27" s="10"/>
      <c r="AI27" s="10"/>
      <c r="AJ27" s="11">
        <v>0</v>
      </c>
      <c r="AK27" s="10"/>
      <c r="AL27" s="10"/>
      <c r="AM27" s="11">
        <v>0</v>
      </c>
      <c r="AN27" s="10"/>
      <c r="AO27" s="10"/>
      <c r="AP27" s="11">
        <v>0</v>
      </c>
      <c r="AQ27" s="10"/>
      <c r="AR27" s="10"/>
      <c r="AS27" s="11">
        <v>0</v>
      </c>
      <c r="AT27" s="10"/>
      <c r="AU27" s="10"/>
      <c r="AV27" s="11">
        <v>0</v>
      </c>
      <c r="AW27" s="10"/>
      <c r="AX27" s="10"/>
      <c r="AY27" s="11">
        <v>0</v>
      </c>
      <c r="AZ27" s="10"/>
      <c r="BA27" s="10"/>
      <c r="BB27" s="11">
        <v>0</v>
      </c>
      <c r="BC27" s="10"/>
      <c r="BD27" s="10"/>
      <c r="BE27" s="11">
        <v>0</v>
      </c>
      <c r="BF27" s="10"/>
      <c r="BG27" s="10"/>
      <c r="BH27" s="11">
        <v>0</v>
      </c>
      <c r="BI27" s="10"/>
      <c r="BJ27" s="10"/>
      <c r="BK27" s="11">
        <v>0</v>
      </c>
      <c r="BL27" s="10"/>
      <c r="BM27" s="10"/>
      <c r="BN27" s="11">
        <v>0</v>
      </c>
      <c r="BO27" s="10"/>
      <c r="BP27" s="10"/>
      <c r="BQ27" s="11">
        <v>0</v>
      </c>
      <c r="BR27" s="10"/>
      <c r="BS27" s="10"/>
      <c r="BT27" s="11">
        <v>0</v>
      </c>
      <c r="BU27" s="10"/>
      <c r="BV27" s="10"/>
      <c r="BW27" s="11">
        <v>0</v>
      </c>
      <c r="BX27" s="10"/>
      <c r="BY27" s="10"/>
      <c r="BZ27" s="11">
        <v>0</v>
      </c>
      <c r="CA27" s="10"/>
      <c r="CB27" s="10"/>
      <c r="CC27" s="11">
        <v>0</v>
      </c>
      <c r="CD27" s="10"/>
      <c r="CE27" s="10"/>
      <c r="CF27" s="11">
        <v>0</v>
      </c>
      <c r="CG27" s="10"/>
      <c r="CH27" s="10"/>
      <c r="CI27" s="11">
        <v>0</v>
      </c>
      <c r="CJ27" s="10"/>
      <c r="CK27" s="10"/>
      <c r="CL27" s="11">
        <v>0</v>
      </c>
      <c r="CM27" s="10"/>
      <c r="CN27" s="10"/>
      <c r="CO27" s="11">
        <v>0</v>
      </c>
      <c r="CP27" s="10"/>
      <c r="CQ27" s="10"/>
      <c r="CR27" s="11">
        <v>0</v>
      </c>
      <c r="CS27" s="10"/>
      <c r="CT27" s="10"/>
      <c r="CU27" s="11">
        <v>0</v>
      </c>
      <c r="CV27" s="10"/>
      <c r="CW27" s="10"/>
      <c r="CX27" s="11">
        <v>0</v>
      </c>
      <c r="CY27" s="10"/>
      <c r="CZ27" s="10"/>
      <c r="DA27" s="11">
        <v>0</v>
      </c>
      <c r="DB27" s="10">
        <v>2700000</v>
      </c>
      <c r="DC27" s="10">
        <f t="shared" si="55"/>
        <v>566000</v>
      </c>
      <c r="DD27" s="13">
        <f t="shared" si="56"/>
        <v>0.20962962962962964</v>
      </c>
      <c r="DE27" s="14"/>
    </row>
    <row r="28" spans="1:109" x14ac:dyDescent="0.35">
      <c r="A28" s="8" t="s">
        <v>107</v>
      </c>
      <c r="B28" s="9" t="s">
        <v>108</v>
      </c>
      <c r="C28" s="9" t="s">
        <v>52</v>
      </c>
      <c r="D28" s="9" t="s">
        <v>109</v>
      </c>
      <c r="E28" s="9" t="s">
        <v>54</v>
      </c>
      <c r="F28" s="9" t="s">
        <v>55</v>
      </c>
      <c r="G28" s="10">
        <v>5000000</v>
      </c>
      <c r="H28" s="10">
        <v>1702100</v>
      </c>
      <c r="I28" s="11">
        <f t="shared" ref="I28" si="67">H28/G28</f>
        <v>0.34042</v>
      </c>
      <c r="J28" s="10">
        <v>800000</v>
      </c>
      <c r="K28" s="10">
        <v>975800</v>
      </c>
      <c r="L28" s="11">
        <f t="shared" si="48"/>
        <v>1.2197499999999999</v>
      </c>
      <c r="M28" s="10"/>
      <c r="N28" s="10"/>
      <c r="O28" s="11">
        <v>0</v>
      </c>
      <c r="P28" s="10"/>
      <c r="Q28" s="10">
        <v>91000</v>
      </c>
      <c r="R28" s="11">
        <v>0</v>
      </c>
      <c r="S28" s="10"/>
      <c r="T28" s="10"/>
      <c r="U28" s="11">
        <v>0</v>
      </c>
      <c r="V28" s="10"/>
      <c r="W28" s="10">
        <v>3750</v>
      </c>
      <c r="X28" s="11">
        <v>0</v>
      </c>
      <c r="Y28" s="10"/>
      <c r="Z28" s="10"/>
      <c r="AA28" s="11"/>
      <c r="AB28" s="10">
        <v>60000</v>
      </c>
      <c r="AC28" s="10"/>
      <c r="AD28" s="11">
        <v>0</v>
      </c>
      <c r="AE28" s="10"/>
      <c r="AF28" s="10">
        <v>34250</v>
      </c>
      <c r="AG28" s="11">
        <v>0</v>
      </c>
      <c r="AH28" s="10"/>
      <c r="AI28" s="10"/>
      <c r="AJ28" s="11">
        <v>0</v>
      </c>
      <c r="AK28" s="10">
        <v>1000000</v>
      </c>
      <c r="AL28" s="10">
        <v>853200</v>
      </c>
      <c r="AM28" s="11">
        <f t="shared" ref="AM28:AM30" si="68">AL28/AK28</f>
        <v>0.85319999999999996</v>
      </c>
      <c r="AN28" s="10">
        <v>50000</v>
      </c>
      <c r="AO28" s="10"/>
      <c r="AP28" s="11">
        <f t="shared" ref="AP28" si="69">AO28/AN28</f>
        <v>0</v>
      </c>
      <c r="AQ28" s="10"/>
      <c r="AR28" s="10"/>
      <c r="AS28" s="11">
        <v>0</v>
      </c>
      <c r="AT28" s="10">
        <v>1000000</v>
      </c>
      <c r="AU28" s="10">
        <v>57640</v>
      </c>
      <c r="AV28" s="11">
        <f t="shared" si="51"/>
        <v>5.7639999999999997E-2</v>
      </c>
      <c r="AW28" s="10">
        <v>2000000</v>
      </c>
      <c r="AX28" s="10">
        <v>324250</v>
      </c>
      <c r="AY28" s="11">
        <f t="shared" ref="AY28" si="70">AX28/AW28</f>
        <v>0.16212499999999999</v>
      </c>
      <c r="AZ28" s="10"/>
      <c r="BA28" s="10"/>
      <c r="BB28" s="11">
        <v>0</v>
      </c>
      <c r="BC28" s="10">
        <v>96500</v>
      </c>
      <c r="BD28" s="10"/>
      <c r="BE28" s="11">
        <f t="shared" ref="BE28" si="71">BD28/BC28</f>
        <v>0</v>
      </c>
      <c r="BF28" s="10"/>
      <c r="BG28" s="10">
        <f>VLOOKUP(A:A,'[1]2026 Customer Brand Sales'!$A:$BA,53,0)</f>
        <v>3353275</v>
      </c>
      <c r="BH28" s="11">
        <v>0</v>
      </c>
      <c r="BI28" s="10"/>
      <c r="BJ28" s="10"/>
      <c r="BK28" s="11">
        <v>0</v>
      </c>
      <c r="BL28" s="10"/>
      <c r="BM28" s="10">
        <v>781115</v>
      </c>
      <c r="BN28" s="11">
        <v>0</v>
      </c>
      <c r="BO28" s="10">
        <v>640000</v>
      </c>
      <c r="BP28" s="10">
        <v>446805</v>
      </c>
      <c r="BQ28" s="11">
        <f t="shared" si="54"/>
        <v>0.69813281250000003</v>
      </c>
      <c r="BR28" s="10"/>
      <c r="BS28" s="10"/>
      <c r="BT28" s="11">
        <v>0</v>
      </c>
      <c r="BU28" s="10"/>
      <c r="BV28" s="10"/>
      <c r="BW28" s="11">
        <v>0</v>
      </c>
      <c r="BX28" s="10"/>
      <c r="BY28" s="10"/>
      <c r="BZ28" s="11">
        <v>0</v>
      </c>
      <c r="CA28" s="10"/>
      <c r="CB28" s="10"/>
      <c r="CC28" s="11">
        <v>0</v>
      </c>
      <c r="CD28" s="10"/>
      <c r="CE28" s="10"/>
      <c r="CF28" s="11">
        <v>0</v>
      </c>
      <c r="CG28" s="10"/>
      <c r="CH28" s="10"/>
      <c r="CI28" s="11">
        <v>0</v>
      </c>
      <c r="CJ28" s="10"/>
      <c r="CK28" s="10"/>
      <c r="CL28" s="11">
        <v>0</v>
      </c>
      <c r="CM28" s="10"/>
      <c r="CN28" s="10"/>
      <c r="CO28" s="11">
        <v>0</v>
      </c>
      <c r="CP28" s="10"/>
      <c r="CQ28" s="10"/>
      <c r="CR28" s="11">
        <v>0</v>
      </c>
      <c r="CS28" s="10"/>
      <c r="CT28" s="10">
        <v>93600</v>
      </c>
      <c r="CU28" s="11">
        <v>0</v>
      </c>
      <c r="CV28" s="10"/>
      <c r="CW28" s="10"/>
      <c r="CX28" s="11">
        <v>0</v>
      </c>
      <c r="CY28" s="10"/>
      <c r="CZ28" s="10"/>
      <c r="DA28" s="11">
        <v>0</v>
      </c>
      <c r="DB28" s="10">
        <v>10646500</v>
      </c>
      <c r="DC28" s="10">
        <f t="shared" si="55"/>
        <v>8716785</v>
      </c>
      <c r="DD28" s="13">
        <f t="shared" si="56"/>
        <v>0.81874653642041983</v>
      </c>
      <c r="DE28" s="14"/>
    </row>
    <row r="29" spans="1:109" x14ac:dyDescent="0.35">
      <c r="A29" s="8" t="s">
        <v>110</v>
      </c>
      <c r="B29" s="9" t="s">
        <v>111</v>
      </c>
      <c r="C29" s="9" t="s">
        <v>52</v>
      </c>
      <c r="D29" s="9" t="s">
        <v>112</v>
      </c>
      <c r="E29" s="9" t="s">
        <v>54</v>
      </c>
      <c r="F29" s="9" t="s">
        <v>55</v>
      </c>
      <c r="G29" s="10"/>
      <c r="H29" s="10"/>
      <c r="I29" s="11">
        <v>0</v>
      </c>
      <c r="J29" s="10"/>
      <c r="K29" s="10"/>
      <c r="L29" s="12">
        <v>0</v>
      </c>
      <c r="M29" s="10">
        <v>150000</v>
      </c>
      <c r="N29" s="10"/>
      <c r="O29" s="11">
        <f t="shared" si="58"/>
        <v>0</v>
      </c>
      <c r="P29" s="10"/>
      <c r="Q29" s="10"/>
      <c r="R29" s="11">
        <v>0</v>
      </c>
      <c r="S29" s="10"/>
      <c r="T29" s="10">
        <v>99900</v>
      </c>
      <c r="U29" s="11">
        <v>0</v>
      </c>
      <c r="V29" s="10"/>
      <c r="W29" s="10"/>
      <c r="X29" s="11">
        <v>0</v>
      </c>
      <c r="Y29" s="10">
        <v>100000</v>
      </c>
      <c r="Z29" s="10">
        <v>474000</v>
      </c>
      <c r="AA29" s="11">
        <f t="shared" si="60"/>
        <v>4.74</v>
      </c>
      <c r="AB29" s="10"/>
      <c r="AC29" s="10">
        <v>51000</v>
      </c>
      <c r="AD29" s="11">
        <v>0</v>
      </c>
      <c r="AE29" s="10">
        <v>100000</v>
      </c>
      <c r="AF29" s="10">
        <v>51315</v>
      </c>
      <c r="AG29" s="11">
        <f t="shared" si="50"/>
        <v>0.51315</v>
      </c>
      <c r="AH29" s="10"/>
      <c r="AI29" s="10"/>
      <c r="AJ29" s="11">
        <v>0</v>
      </c>
      <c r="AK29" s="10"/>
      <c r="AL29" s="10"/>
      <c r="AM29" s="11">
        <v>0</v>
      </c>
      <c r="AN29" s="10"/>
      <c r="AO29" s="10"/>
      <c r="AP29" s="11">
        <v>0</v>
      </c>
      <c r="AQ29" s="10"/>
      <c r="AR29" s="10">
        <v>401300</v>
      </c>
      <c r="AS29" s="11">
        <v>0</v>
      </c>
      <c r="AT29" s="10"/>
      <c r="AU29" s="10"/>
      <c r="AV29" s="11">
        <v>0</v>
      </c>
      <c r="AW29" s="10"/>
      <c r="AX29" s="10"/>
      <c r="AY29" s="11">
        <v>0</v>
      </c>
      <c r="AZ29" s="10"/>
      <c r="BA29" s="10">
        <v>764000</v>
      </c>
      <c r="BB29" s="11">
        <v>0</v>
      </c>
      <c r="BC29" s="10"/>
      <c r="BD29" s="10"/>
      <c r="BE29" s="11">
        <v>0</v>
      </c>
      <c r="BF29" s="10">
        <v>650000</v>
      </c>
      <c r="BG29" s="10">
        <f>VLOOKUP(A:A,'[1]2026 Customer Brand Sales'!$A:$BA,53,0)</f>
        <v>172605</v>
      </c>
      <c r="BH29" s="11">
        <f t="shared" si="52"/>
        <v>0.26554615384615382</v>
      </c>
      <c r="BI29" s="10"/>
      <c r="BJ29" s="10"/>
      <c r="BK29" s="11">
        <v>0</v>
      </c>
      <c r="BL29" s="10">
        <v>300000</v>
      </c>
      <c r="BM29" s="10">
        <v>1140</v>
      </c>
      <c r="BN29" s="11">
        <f t="shared" si="57"/>
        <v>3.8E-3</v>
      </c>
      <c r="BO29" s="10"/>
      <c r="BP29" s="10"/>
      <c r="BQ29" s="11">
        <v>0</v>
      </c>
      <c r="BR29" s="10"/>
      <c r="BS29" s="10"/>
      <c r="BT29" s="11">
        <v>0</v>
      </c>
      <c r="BU29" s="10"/>
      <c r="BV29" s="10"/>
      <c r="BW29" s="11">
        <v>0</v>
      </c>
      <c r="BX29" s="10"/>
      <c r="BY29" s="10"/>
      <c r="BZ29" s="11">
        <v>0</v>
      </c>
      <c r="CA29" s="10"/>
      <c r="CB29" s="10"/>
      <c r="CC29" s="11">
        <v>0</v>
      </c>
      <c r="CD29" s="10"/>
      <c r="CE29" s="10"/>
      <c r="CF29" s="11">
        <v>0</v>
      </c>
      <c r="CG29" s="10"/>
      <c r="CH29" s="10"/>
      <c r="CI29" s="11">
        <v>0</v>
      </c>
      <c r="CJ29" s="10"/>
      <c r="CK29" s="10"/>
      <c r="CL29" s="11">
        <v>0</v>
      </c>
      <c r="CM29" s="10"/>
      <c r="CN29" s="10"/>
      <c r="CO29" s="11">
        <v>0</v>
      </c>
      <c r="CP29" s="10"/>
      <c r="CQ29" s="10"/>
      <c r="CR29" s="11">
        <v>0</v>
      </c>
      <c r="CS29" s="10"/>
      <c r="CT29" s="10"/>
      <c r="CU29" s="11">
        <v>0</v>
      </c>
      <c r="CV29" s="10"/>
      <c r="CW29" s="10"/>
      <c r="CX29" s="11">
        <v>0</v>
      </c>
      <c r="CY29" s="10"/>
      <c r="CZ29" s="10"/>
      <c r="DA29" s="11">
        <v>0</v>
      </c>
      <c r="DB29" s="10">
        <v>1300000</v>
      </c>
      <c r="DC29" s="10">
        <f t="shared" si="55"/>
        <v>2015260</v>
      </c>
      <c r="DD29" s="13">
        <f t="shared" si="56"/>
        <v>1.5502</v>
      </c>
      <c r="DE29" s="14"/>
    </row>
    <row r="30" spans="1:109" x14ac:dyDescent="0.35">
      <c r="A30" s="8" t="s">
        <v>113</v>
      </c>
      <c r="B30" s="9" t="s">
        <v>111</v>
      </c>
      <c r="C30" s="9" t="s">
        <v>52</v>
      </c>
      <c r="D30" s="9" t="s">
        <v>114</v>
      </c>
      <c r="E30" s="9" t="s">
        <v>54</v>
      </c>
      <c r="F30" s="9" t="s">
        <v>55</v>
      </c>
      <c r="G30" s="10"/>
      <c r="H30" s="10"/>
      <c r="I30" s="11">
        <v>0</v>
      </c>
      <c r="J30" s="10"/>
      <c r="K30" s="10"/>
      <c r="L30" s="12">
        <v>0</v>
      </c>
      <c r="M30" s="10"/>
      <c r="N30" s="10"/>
      <c r="O30" s="11">
        <v>0</v>
      </c>
      <c r="P30" s="10"/>
      <c r="Q30" s="10"/>
      <c r="R30" s="11">
        <v>0</v>
      </c>
      <c r="S30" s="10"/>
      <c r="T30" s="10"/>
      <c r="U30" s="11">
        <v>0</v>
      </c>
      <c r="V30" s="10">
        <v>150000</v>
      </c>
      <c r="W30" s="10"/>
      <c r="X30" s="11">
        <v>0</v>
      </c>
      <c r="Y30" s="10"/>
      <c r="Z30" s="10"/>
      <c r="AA30" s="11"/>
      <c r="AB30" s="10"/>
      <c r="AC30" s="10"/>
      <c r="AD30" s="11">
        <v>0</v>
      </c>
      <c r="AE30" s="10"/>
      <c r="AF30" s="10"/>
      <c r="AG30" s="11">
        <v>0</v>
      </c>
      <c r="AH30" s="10"/>
      <c r="AI30" s="10"/>
      <c r="AJ30" s="11">
        <v>0</v>
      </c>
      <c r="AK30" s="10">
        <v>2000000</v>
      </c>
      <c r="AL30" s="10">
        <v>112000</v>
      </c>
      <c r="AM30" s="11">
        <f t="shared" si="68"/>
        <v>5.6000000000000001E-2</v>
      </c>
      <c r="AN30" s="10"/>
      <c r="AO30" s="10"/>
      <c r="AP30" s="11">
        <v>0</v>
      </c>
      <c r="AQ30" s="10"/>
      <c r="AR30" s="10"/>
      <c r="AS30" s="11">
        <v>0</v>
      </c>
      <c r="AT30" s="10"/>
      <c r="AU30" s="10"/>
      <c r="AV30" s="11">
        <v>0</v>
      </c>
      <c r="AW30" s="10"/>
      <c r="AX30" s="10"/>
      <c r="AY30" s="11">
        <v>0</v>
      </c>
      <c r="AZ30" s="10"/>
      <c r="BA30" s="10"/>
      <c r="BB30" s="11">
        <v>0</v>
      </c>
      <c r="BC30" s="10"/>
      <c r="BD30" s="10"/>
      <c r="BE30" s="11">
        <v>0</v>
      </c>
      <c r="BF30" s="10">
        <v>12000000</v>
      </c>
      <c r="BG30" s="10">
        <f>VLOOKUP(A:A,'[1]2026 Customer Brand Sales'!$A:$BA,53,0)</f>
        <v>966390</v>
      </c>
      <c r="BH30" s="11">
        <f t="shared" si="52"/>
        <v>8.0532500000000007E-2</v>
      </c>
      <c r="BI30" s="10"/>
      <c r="BJ30" s="10"/>
      <c r="BK30" s="11">
        <v>0</v>
      </c>
      <c r="BL30" s="10">
        <v>1200000</v>
      </c>
      <c r="BM30" s="10">
        <v>192755</v>
      </c>
      <c r="BN30" s="11">
        <f t="shared" si="57"/>
        <v>0.16062916666666666</v>
      </c>
      <c r="BO30" s="10">
        <v>500000</v>
      </c>
      <c r="BP30" s="10"/>
      <c r="BQ30" s="11">
        <f t="shared" si="54"/>
        <v>0</v>
      </c>
      <c r="BR30" s="10"/>
      <c r="BS30" s="10"/>
      <c r="BT30" s="11">
        <v>0</v>
      </c>
      <c r="BU30" s="10"/>
      <c r="BV30" s="10"/>
      <c r="BW30" s="11">
        <v>0</v>
      </c>
      <c r="BX30" s="10"/>
      <c r="BY30" s="10"/>
      <c r="BZ30" s="11">
        <v>0</v>
      </c>
      <c r="CA30" s="10"/>
      <c r="CB30" s="10"/>
      <c r="CC30" s="11">
        <v>0</v>
      </c>
      <c r="CD30" s="10"/>
      <c r="CE30" s="10"/>
      <c r="CF30" s="11">
        <v>0</v>
      </c>
      <c r="CG30" s="10"/>
      <c r="CH30" s="10"/>
      <c r="CI30" s="11">
        <v>0</v>
      </c>
      <c r="CJ30" s="10"/>
      <c r="CK30" s="10"/>
      <c r="CL30" s="11">
        <v>0</v>
      </c>
      <c r="CM30" s="10"/>
      <c r="CN30" s="10"/>
      <c r="CO30" s="11">
        <v>0</v>
      </c>
      <c r="CP30" s="10"/>
      <c r="CQ30" s="10"/>
      <c r="CR30" s="11">
        <v>0</v>
      </c>
      <c r="CS30" s="10"/>
      <c r="CT30" s="10"/>
      <c r="CU30" s="11">
        <v>0</v>
      </c>
      <c r="CV30" s="10"/>
      <c r="CW30" s="10"/>
      <c r="CX30" s="11">
        <v>0</v>
      </c>
      <c r="CY30" s="10"/>
      <c r="CZ30" s="10"/>
      <c r="DA30" s="11">
        <v>0</v>
      </c>
      <c r="DB30" s="10">
        <v>15850000</v>
      </c>
      <c r="DC30" s="10">
        <f t="shared" si="55"/>
        <v>1271145</v>
      </c>
      <c r="DD30" s="13">
        <f t="shared" si="56"/>
        <v>8.0198422712933759E-2</v>
      </c>
      <c r="DE30" s="14"/>
    </row>
    <row r="31" spans="1:109" x14ac:dyDescent="0.35">
      <c r="A31" s="8" t="s">
        <v>115</v>
      </c>
      <c r="B31" s="9" t="s">
        <v>42</v>
      </c>
      <c r="C31" s="9" t="s">
        <v>43</v>
      </c>
      <c r="D31" s="9" t="s">
        <v>116</v>
      </c>
      <c r="E31" s="9" t="s">
        <v>45</v>
      </c>
      <c r="F31" s="9" t="s">
        <v>46</v>
      </c>
      <c r="G31" s="10"/>
      <c r="H31" s="10"/>
      <c r="I31" s="11">
        <v>0</v>
      </c>
      <c r="J31" s="10">
        <v>300000</v>
      </c>
      <c r="K31" s="10">
        <v>799950</v>
      </c>
      <c r="L31" s="11">
        <f t="shared" si="48"/>
        <v>2.6665000000000001</v>
      </c>
      <c r="M31" s="10"/>
      <c r="N31" s="10"/>
      <c r="O31" s="11">
        <v>0</v>
      </c>
      <c r="P31" s="10"/>
      <c r="Q31" s="10"/>
      <c r="R31" s="11">
        <v>0</v>
      </c>
      <c r="S31" s="10"/>
      <c r="T31" s="10"/>
      <c r="U31" s="11">
        <v>0</v>
      </c>
      <c r="V31" s="10"/>
      <c r="W31" s="10"/>
      <c r="X31" s="11">
        <v>0</v>
      </c>
      <c r="Y31" s="10"/>
      <c r="Z31" s="10"/>
      <c r="AA31" s="11"/>
      <c r="AB31" s="10"/>
      <c r="AC31" s="10"/>
      <c r="AD31" s="11">
        <v>0</v>
      </c>
      <c r="AE31" s="10">
        <v>100000</v>
      </c>
      <c r="AF31" s="10"/>
      <c r="AG31" s="11">
        <f t="shared" si="50"/>
        <v>0</v>
      </c>
      <c r="AH31" s="10"/>
      <c r="AI31" s="10"/>
      <c r="AJ31" s="11">
        <v>0</v>
      </c>
      <c r="AK31" s="10"/>
      <c r="AL31" s="10"/>
      <c r="AM31" s="11">
        <v>0</v>
      </c>
      <c r="AN31" s="10"/>
      <c r="AO31" s="10"/>
      <c r="AP31" s="11">
        <v>0</v>
      </c>
      <c r="AQ31" s="10"/>
      <c r="AR31" s="10"/>
      <c r="AS31" s="11">
        <v>0</v>
      </c>
      <c r="AT31" s="10"/>
      <c r="AU31" s="10"/>
      <c r="AV31" s="11">
        <v>0</v>
      </c>
      <c r="AW31" s="10"/>
      <c r="AX31" s="10"/>
      <c r="AY31" s="11">
        <v>0</v>
      </c>
      <c r="AZ31" s="10"/>
      <c r="BA31" s="10"/>
      <c r="BB31" s="11">
        <v>0</v>
      </c>
      <c r="BC31" s="10"/>
      <c r="BD31" s="10"/>
      <c r="BE31" s="11">
        <v>0</v>
      </c>
      <c r="BF31" s="10">
        <v>8000000</v>
      </c>
      <c r="BG31" s="10">
        <f>VLOOKUP(A:A,'[1]2026 Customer Brand Sales'!$A:$BA,53,0)</f>
        <v>9441670</v>
      </c>
      <c r="BH31" s="11">
        <f t="shared" si="52"/>
        <v>1.18020875</v>
      </c>
      <c r="BI31" s="10">
        <v>2000000</v>
      </c>
      <c r="BJ31" s="10">
        <v>24000</v>
      </c>
      <c r="BK31" s="11">
        <f t="shared" si="53"/>
        <v>1.2E-2</v>
      </c>
      <c r="BL31" s="10">
        <v>2000000</v>
      </c>
      <c r="BM31" s="10">
        <v>1944150</v>
      </c>
      <c r="BN31" s="11">
        <f t="shared" si="57"/>
        <v>0.97207500000000002</v>
      </c>
      <c r="BO31" s="10"/>
      <c r="BP31" s="10">
        <v>7490</v>
      </c>
      <c r="BQ31" s="11">
        <v>0</v>
      </c>
      <c r="BR31" s="10"/>
      <c r="BS31" s="10"/>
      <c r="BT31" s="11">
        <v>0</v>
      </c>
      <c r="BU31" s="10"/>
      <c r="BV31" s="10"/>
      <c r="BW31" s="11">
        <v>0</v>
      </c>
      <c r="BX31" s="10"/>
      <c r="BY31" s="10"/>
      <c r="BZ31" s="11">
        <v>0</v>
      </c>
      <c r="CA31" s="10"/>
      <c r="CB31" s="10"/>
      <c r="CC31" s="11">
        <v>0</v>
      </c>
      <c r="CD31" s="10"/>
      <c r="CE31" s="10"/>
      <c r="CF31" s="11">
        <v>0</v>
      </c>
      <c r="CG31" s="10">
        <v>20000</v>
      </c>
      <c r="CH31" s="10"/>
      <c r="CI31" s="11">
        <f t="shared" si="61"/>
        <v>0</v>
      </c>
      <c r="CJ31" s="10"/>
      <c r="CK31" s="10"/>
      <c r="CL31" s="11">
        <v>0</v>
      </c>
      <c r="CM31" s="10"/>
      <c r="CN31" s="10"/>
      <c r="CO31" s="11">
        <v>0</v>
      </c>
      <c r="CP31" s="10"/>
      <c r="CQ31" s="10"/>
      <c r="CR31" s="11">
        <v>0</v>
      </c>
      <c r="CS31" s="10"/>
      <c r="CT31" s="10"/>
      <c r="CU31" s="11">
        <v>0</v>
      </c>
      <c r="CV31" s="10"/>
      <c r="CW31" s="10"/>
      <c r="CX31" s="11">
        <v>0</v>
      </c>
      <c r="CY31" s="10"/>
      <c r="CZ31" s="10"/>
      <c r="DA31" s="11">
        <v>0</v>
      </c>
      <c r="DB31" s="10">
        <v>12420000</v>
      </c>
      <c r="DC31" s="10">
        <f t="shared" si="55"/>
        <v>12217260</v>
      </c>
      <c r="DD31" s="13">
        <f t="shared" si="56"/>
        <v>0.98367632850241549</v>
      </c>
      <c r="DE31" s="14"/>
    </row>
    <row r="32" spans="1:109" x14ac:dyDescent="0.35">
      <c r="A32" s="8" t="s">
        <v>117</v>
      </c>
      <c r="B32" s="9" t="s">
        <v>118</v>
      </c>
      <c r="C32" s="9" t="s">
        <v>43</v>
      </c>
      <c r="D32" s="9" t="s">
        <v>119</v>
      </c>
      <c r="E32" s="9" t="s">
        <v>61</v>
      </c>
      <c r="F32" s="9" t="s">
        <v>62</v>
      </c>
      <c r="G32" s="10"/>
      <c r="H32" s="10"/>
      <c r="I32" s="11">
        <v>0</v>
      </c>
      <c r="J32" s="10"/>
      <c r="K32" s="10"/>
      <c r="L32" s="12">
        <v>0</v>
      </c>
      <c r="M32" s="10"/>
      <c r="N32" s="10"/>
      <c r="O32" s="11">
        <v>0</v>
      </c>
      <c r="P32" s="10"/>
      <c r="Q32" s="10"/>
      <c r="R32" s="11">
        <v>0</v>
      </c>
      <c r="S32" s="10"/>
      <c r="T32" s="10"/>
      <c r="U32" s="11">
        <v>0</v>
      </c>
      <c r="V32" s="10">
        <v>3500000</v>
      </c>
      <c r="W32" s="10">
        <v>828200</v>
      </c>
      <c r="X32" s="11">
        <v>0.23662857142857144</v>
      </c>
      <c r="Y32" s="10"/>
      <c r="Z32" s="10"/>
      <c r="AA32" s="11"/>
      <c r="AB32" s="10"/>
      <c r="AC32" s="10"/>
      <c r="AD32" s="11">
        <v>0</v>
      </c>
      <c r="AE32" s="10"/>
      <c r="AF32" s="10"/>
      <c r="AG32" s="11">
        <v>0</v>
      </c>
      <c r="AH32" s="10"/>
      <c r="AI32" s="10"/>
      <c r="AJ32" s="11">
        <v>0</v>
      </c>
      <c r="AK32" s="10"/>
      <c r="AL32" s="10"/>
      <c r="AM32" s="11">
        <v>0</v>
      </c>
      <c r="AN32" s="10"/>
      <c r="AO32" s="10"/>
      <c r="AP32" s="11">
        <v>0</v>
      </c>
      <c r="AQ32" s="10"/>
      <c r="AR32" s="10"/>
      <c r="AS32" s="11">
        <v>0</v>
      </c>
      <c r="AT32" s="10"/>
      <c r="AU32" s="10"/>
      <c r="AV32" s="11">
        <v>0</v>
      </c>
      <c r="AW32" s="10"/>
      <c r="AX32" s="10"/>
      <c r="AY32" s="11">
        <v>0</v>
      </c>
      <c r="AZ32" s="10"/>
      <c r="BA32" s="10"/>
      <c r="BB32" s="11">
        <v>0</v>
      </c>
      <c r="BC32" s="10"/>
      <c r="BD32" s="10"/>
      <c r="BE32" s="11">
        <v>0</v>
      </c>
      <c r="BF32" s="10">
        <v>15000000</v>
      </c>
      <c r="BG32" s="10">
        <f>VLOOKUP(A:A,'[1]2026 Customer Brand Sales'!$A:$BA,53,0)</f>
        <v>10012680</v>
      </c>
      <c r="BH32" s="11">
        <f t="shared" si="52"/>
        <v>0.66751199999999999</v>
      </c>
      <c r="BI32" s="10"/>
      <c r="BJ32" s="10"/>
      <c r="BK32" s="11">
        <v>0</v>
      </c>
      <c r="BL32" s="10">
        <v>4000000</v>
      </c>
      <c r="BM32" s="10">
        <v>752740</v>
      </c>
      <c r="BN32" s="11">
        <f t="shared" si="57"/>
        <v>0.18818499999999999</v>
      </c>
      <c r="BO32" s="10">
        <v>700000</v>
      </c>
      <c r="BP32" s="10">
        <v>155100</v>
      </c>
      <c r="BQ32" s="11">
        <f t="shared" si="54"/>
        <v>0.22157142857142856</v>
      </c>
      <c r="BR32" s="10"/>
      <c r="BS32" s="10"/>
      <c r="BT32" s="11">
        <v>0</v>
      </c>
      <c r="BU32" s="10"/>
      <c r="BV32" s="10"/>
      <c r="BW32" s="11">
        <v>0</v>
      </c>
      <c r="BX32" s="10"/>
      <c r="BY32" s="10"/>
      <c r="BZ32" s="11">
        <v>0</v>
      </c>
      <c r="CA32" s="10"/>
      <c r="CB32" s="10"/>
      <c r="CC32" s="11">
        <v>0</v>
      </c>
      <c r="CD32" s="10"/>
      <c r="CE32" s="10"/>
      <c r="CF32" s="11">
        <v>0</v>
      </c>
      <c r="CG32" s="10"/>
      <c r="CH32" s="10"/>
      <c r="CI32" s="11">
        <v>0</v>
      </c>
      <c r="CJ32" s="10"/>
      <c r="CK32" s="10"/>
      <c r="CL32" s="11">
        <v>0</v>
      </c>
      <c r="CM32" s="10"/>
      <c r="CN32" s="10"/>
      <c r="CO32" s="11">
        <v>0</v>
      </c>
      <c r="CP32" s="10"/>
      <c r="CQ32" s="10"/>
      <c r="CR32" s="11">
        <v>0</v>
      </c>
      <c r="CS32" s="10"/>
      <c r="CT32" s="10"/>
      <c r="CU32" s="11">
        <v>0</v>
      </c>
      <c r="CV32" s="10"/>
      <c r="CW32" s="10"/>
      <c r="CX32" s="11">
        <v>0</v>
      </c>
      <c r="CY32" s="10"/>
      <c r="CZ32" s="10"/>
      <c r="DA32" s="11">
        <v>0</v>
      </c>
      <c r="DB32" s="10">
        <v>23200000</v>
      </c>
      <c r="DC32" s="10">
        <f t="shared" si="55"/>
        <v>11748720</v>
      </c>
      <c r="DD32" s="13">
        <f t="shared" si="56"/>
        <v>0.50641034482758618</v>
      </c>
      <c r="DE32" s="14"/>
    </row>
    <row r="33" spans="1:109" x14ac:dyDescent="0.35">
      <c r="A33" s="8" t="s">
        <v>120</v>
      </c>
      <c r="B33" s="9" t="s">
        <v>118</v>
      </c>
      <c r="C33" s="9" t="s">
        <v>43</v>
      </c>
      <c r="D33" s="9" t="s">
        <v>121</v>
      </c>
      <c r="E33" s="9" t="s">
        <v>61</v>
      </c>
      <c r="F33" s="9" t="s">
        <v>62</v>
      </c>
      <c r="G33" s="10"/>
      <c r="H33" s="10"/>
      <c r="I33" s="11">
        <v>0</v>
      </c>
      <c r="J33" s="10"/>
      <c r="K33" s="10"/>
      <c r="L33" s="12">
        <v>0</v>
      </c>
      <c r="M33" s="10"/>
      <c r="N33" s="10"/>
      <c r="O33" s="11">
        <v>0</v>
      </c>
      <c r="P33" s="10"/>
      <c r="Q33" s="10"/>
      <c r="R33" s="11">
        <v>0</v>
      </c>
      <c r="S33" s="10"/>
      <c r="T33" s="10"/>
      <c r="U33" s="11">
        <v>0</v>
      </c>
      <c r="V33" s="10">
        <v>1500000</v>
      </c>
      <c r="W33" s="10">
        <v>518500</v>
      </c>
      <c r="X33" s="11">
        <v>0.34566666666666668</v>
      </c>
      <c r="Y33" s="10"/>
      <c r="Z33" s="10"/>
      <c r="AA33" s="11"/>
      <c r="AB33" s="10"/>
      <c r="AC33" s="10"/>
      <c r="AD33" s="11">
        <v>0</v>
      </c>
      <c r="AE33" s="10"/>
      <c r="AF33" s="10"/>
      <c r="AG33" s="11">
        <v>0</v>
      </c>
      <c r="AH33" s="10"/>
      <c r="AI33" s="10"/>
      <c r="AJ33" s="11">
        <v>0</v>
      </c>
      <c r="AK33" s="10"/>
      <c r="AL33" s="10"/>
      <c r="AM33" s="11">
        <v>0</v>
      </c>
      <c r="AN33" s="10"/>
      <c r="AO33" s="10"/>
      <c r="AP33" s="11">
        <v>0</v>
      </c>
      <c r="AQ33" s="10"/>
      <c r="AR33" s="10"/>
      <c r="AS33" s="11">
        <v>0</v>
      </c>
      <c r="AT33" s="10"/>
      <c r="AU33" s="10"/>
      <c r="AV33" s="11">
        <v>0</v>
      </c>
      <c r="AW33" s="10"/>
      <c r="AX33" s="10"/>
      <c r="AY33" s="11">
        <v>0</v>
      </c>
      <c r="AZ33" s="10"/>
      <c r="BA33" s="10"/>
      <c r="BB33" s="11">
        <v>0</v>
      </c>
      <c r="BC33" s="10"/>
      <c r="BD33" s="10"/>
      <c r="BE33" s="11">
        <v>0</v>
      </c>
      <c r="BF33" s="10"/>
      <c r="BG33" s="10"/>
      <c r="BH33" s="11">
        <v>0</v>
      </c>
      <c r="BI33" s="10"/>
      <c r="BJ33" s="10"/>
      <c r="BK33" s="11">
        <v>0</v>
      </c>
      <c r="BL33" s="10"/>
      <c r="BM33" s="10"/>
      <c r="BN33" s="11">
        <v>0</v>
      </c>
      <c r="BO33" s="10"/>
      <c r="BP33" s="10"/>
      <c r="BQ33" s="11">
        <v>0</v>
      </c>
      <c r="BR33" s="10"/>
      <c r="BS33" s="10"/>
      <c r="BT33" s="11">
        <v>0</v>
      </c>
      <c r="BU33" s="10"/>
      <c r="BV33" s="10"/>
      <c r="BW33" s="11">
        <v>0</v>
      </c>
      <c r="BX33" s="10"/>
      <c r="BY33" s="10"/>
      <c r="BZ33" s="11">
        <v>0</v>
      </c>
      <c r="CA33" s="10"/>
      <c r="CB33" s="10"/>
      <c r="CC33" s="11">
        <v>0</v>
      </c>
      <c r="CD33" s="10"/>
      <c r="CE33" s="10"/>
      <c r="CF33" s="11">
        <v>0</v>
      </c>
      <c r="CG33" s="10"/>
      <c r="CH33" s="10"/>
      <c r="CI33" s="11">
        <v>0</v>
      </c>
      <c r="CJ33" s="10"/>
      <c r="CK33" s="10"/>
      <c r="CL33" s="11">
        <v>0</v>
      </c>
      <c r="CM33" s="10"/>
      <c r="CN33" s="10"/>
      <c r="CO33" s="11">
        <v>0</v>
      </c>
      <c r="CP33" s="10"/>
      <c r="CQ33" s="10"/>
      <c r="CR33" s="11">
        <v>0</v>
      </c>
      <c r="CS33" s="10"/>
      <c r="CT33" s="10"/>
      <c r="CU33" s="11">
        <v>0</v>
      </c>
      <c r="CV33" s="10"/>
      <c r="CW33" s="10"/>
      <c r="CX33" s="11">
        <v>0</v>
      </c>
      <c r="CY33" s="10"/>
      <c r="CZ33" s="10"/>
      <c r="DA33" s="11">
        <v>0</v>
      </c>
      <c r="DB33" s="10">
        <v>1500000</v>
      </c>
      <c r="DC33" s="10">
        <f t="shared" si="55"/>
        <v>518500</v>
      </c>
      <c r="DD33" s="13">
        <f t="shared" si="56"/>
        <v>0.34566666666666668</v>
      </c>
      <c r="DE33" s="14"/>
    </row>
    <row r="34" spans="1:109" x14ac:dyDescent="0.35">
      <c r="A34" s="8" t="s">
        <v>122</v>
      </c>
      <c r="B34" s="9" t="s">
        <v>42</v>
      </c>
      <c r="C34" s="9" t="s">
        <v>43</v>
      </c>
      <c r="D34" s="9" t="s">
        <v>123</v>
      </c>
      <c r="E34" s="9" t="s">
        <v>45</v>
      </c>
      <c r="F34" s="9" t="s">
        <v>46</v>
      </c>
      <c r="G34" s="10"/>
      <c r="H34" s="10"/>
      <c r="I34" s="11">
        <v>0</v>
      </c>
      <c r="J34" s="10"/>
      <c r="K34" s="10"/>
      <c r="L34" s="12">
        <v>0</v>
      </c>
      <c r="M34" s="10">
        <v>1680000</v>
      </c>
      <c r="N34" s="10">
        <v>746500</v>
      </c>
      <c r="O34" s="11">
        <f t="shared" ref="O34" si="72">N34/M34</f>
        <v>0.44434523809523807</v>
      </c>
      <c r="P34" s="10">
        <v>25000</v>
      </c>
      <c r="Q34" s="10">
        <v>12000</v>
      </c>
      <c r="R34" s="11">
        <f t="shared" ref="R34" si="73">Q34/P34</f>
        <v>0.48</v>
      </c>
      <c r="S34" s="10">
        <v>15000000</v>
      </c>
      <c r="T34" s="10">
        <v>5466200</v>
      </c>
      <c r="U34" s="11">
        <f t="shared" ref="U34" si="74">T34/S34</f>
        <v>0.36441333333333331</v>
      </c>
      <c r="V34" s="10"/>
      <c r="W34" s="10"/>
      <c r="X34" s="11">
        <v>0</v>
      </c>
      <c r="Y34" s="10">
        <v>4000000</v>
      </c>
      <c r="Z34" s="10">
        <v>1682400</v>
      </c>
      <c r="AA34" s="11">
        <f t="shared" ref="AA34" si="75">Z34/Y34</f>
        <v>0.42059999999999997</v>
      </c>
      <c r="AB34" s="10">
        <v>400000</v>
      </c>
      <c r="AC34" s="10">
        <v>196100</v>
      </c>
      <c r="AD34" s="11">
        <v>0.49025000000000002</v>
      </c>
      <c r="AE34" s="10">
        <v>1200000</v>
      </c>
      <c r="AF34" s="10">
        <v>758025</v>
      </c>
      <c r="AG34" s="11">
        <f t="shared" ref="AG34" si="76">AF34/AE34</f>
        <v>0.63168749999999996</v>
      </c>
      <c r="AH34" s="10"/>
      <c r="AI34" s="10">
        <v>5500</v>
      </c>
      <c r="AJ34" s="11">
        <v>0</v>
      </c>
      <c r="AK34" s="10">
        <v>200000</v>
      </c>
      <c r="AL34" s="10"/>
      <c r="AM34" s="11">
        <f t="shared" ref="AM34" si="77">AL34/AK34</f>
        <v>0</v>
      </c>
      <c r="AN34" s="10">
        <v>200000</v>
      </c>
      <c r="AO34" s="10"/>
      <c r="AP34" s="11">
        <f t="shared" ref="AP34" si="78">AO34/AN34</f>
        <v>0</v>
      </c>
      <c r="AQ34" s="10">
        <v>1172348</v>
      </c>
      <c r="AR34" s="10">
        <v>935000</v>
      </c>
      <c r="AS34" s="11">
        <f t="shared" ref="AS34" si="79">AR34/AQ34</f>
        <v>0.79754475633514965</v>
      </c>
      <c r="AT34" s="10"/>
      <c r="AU34" s="10">
        <v>9750</v>
      </c>
      <c r="AV34" s="11">
        <v>0</v>
      </c>
      <c r="AW34" s="10"/>
      <c r="AX34" s="10"/>
      <c r="AY34" s="11">
        <v>0</v>
      </c>
      <c r="AZ34" s="10">
        <v>21000</v>
      </c>
      <c r="BA34" s="10">
        <v>340400</v>
      </c>
      <c r="BB34" s="11">
        <f t="shared" ref="BB34" si="80">BA34/AZ34</f>
        <v>16.209523809523809</v>
      </c>
      <c r="BC34" s="10"/>
      <c r="BD34" s="10"/>
      <c r="BE34" s="11">
        <v>0</v>
      </c>
      <c r="BF34" s="10">
        <v>37000000</v>
      </c>
      <c r="BG34" s="10">
        <f>VLOOKUP(A:A,'[1]2026 Customer Brand Sales'!$A:$BA,53,0)</f>
        <v>19962365</v>
      </c>
      <c r="BH34" s="11">
        <f t="shared" ref="BH34" si="81">BG34/BF34</f>
        <v>0.53952337837837838</v>
      </c>
      <c r="BI34" s="10">
        <v>500000</v>
      </c>
      <c r="BJ34" s="10">
        <v>102300</v>
      </c>
      <c r="BK34" s="11">
        <f t="shared" ref="BK34" si="82">BJ34/BI34</f>
        <v>0.2046</v>
      </c>
      <c r="BL34" s="10">
        <v>3000000</v>
      </c>
      <c r="BM34" s="10">
        <v>341490</v>
      </c>
      <c r="BN34" s="11">
        <f t="shared" ref="BN34" si="83">BM34/BL34</f>
        <v>0.11383</v>
      </c>
      <c r="BO34" s="10">
        <v>100000</v>
      </c>
      <c r="BP34" s="10">
        <v>6625</v>
      </c>
      <c r="BQ34" s="11">
        <f t="shared" ref="BQ34" si="84">BP34/BO34</f>
        <v>6.6250000000000003E-2</v>
      </c>
      <c r="BR34" s="10">
        <v>700000</v>
      </c>
      <c r="BS34" s="10">
        <v>776000</v>
      </c>
      <c r="BT34" s="11">
        <f t="shared" ref="BT34" si="85">BS34/BR34</f>
        <v>1.1085714285714285</v>
      </c>
      <c r="BU34" s="10">
        <v>300000</v>
      </c>
      <c r="BV34" s="10">
        <v>22000</v>
      </c>
      <c r="BW34" s="11">
        <f t="shared" ref="BW34" si="86">BV34/BU34</f>
        <v>7.3333333333333334E-2</v>
      </c>
      <c r="BX34" s="10"/>
      <c r="BY34" s="10"/>
      <c r="BZ34" s="11">
        <v>0</v>
      </c>
      <c r="CA34" s="10"/>
      <c r="CB34" s="10"/>
      <c r="CC34" s="11">
        <v>0</v>
      </c>
      <c r="CD34" s="10">
        <v>300000</v>
      </c>
      <c r="CE34" s="10">
        <v>152200</v>
      </c>
      <c r="CF34" s="11">
        <f t="shared" ref="CF34" si="87">CE34/CD34</f>
        <v>0.5073333333333333</v>
      </c>
      <c r="CG34" s="10">
        <v>500000</v>
      </c>
      <c r="CH34" s="10">
        <v>70000</v>
      </c>
      <c r="CI34" s="11">
        <f t="shared" ref="CI34" si="88">CH34/CG34</f>
        <v>0.14000000000000001</v>
      </c>
      <c r="CJ34" s="10"/>
      <c r="CK34" s="10"/>
      <c r="CL34" s="11">
        <v>0</v>
      </c>
      <c r="CM34" s="10"/>
      <c r="CN34" s="10"/>
      <c r="CO34" s="11">
        <v>0</v>
      </c>
      <c r="CP34" s="10"/>
      <c r="CQ34" s="10"/>
      <c r="CR34" s="11">
        <v>0</v>
      </c>
      <c r="CS34" s="10">
        <v>500000</v>
      </c>
      <c r="CT34" s="10"/>
      <c r="CU34" s="11">
        <f t="shared" ref="CU34" si="89">CT34/CS34</f>
        <v>0</v>
      </c>
      <c r="CV34" s="10"/>
      <c r="CW34" s="10"/>
      <c r="CX34" s="11">
        <v>0</v>
      </c>
      <c r="CY34" s="10"/>
      <c r="CZ34" s="10"/>
      <c r="DA34" s="11">
        <v>0</v>
      </c>
      <c r="DB34" s="10">
        <v>66798348</v>
      </c>
      <c r="DC34" s="10">
        <f t="shared" ref="DC34" si="90">SUM(H34,K34,N34,Q34,T34,W34,Z34,AC34,AF34,AI34,AL34,AO34,AR34,AU34,AX34,BA34,BD34,BG34,BJ34,BM34,BP34,BS34,BV34,BY34,CB34,CE34,CH34,CK34,CN34,CQ34,CT34,CW34,CZ34)</f>
        <v>31584855</v>
      </c>
      <c r="DD34" s="13">
        <f t="shared" ref="DD34" si="91">DC34/DB34</f>
        <v>0.47283886421861809</v>
      </c>
      <c r="DE34" s="14"/>
    </row>
    <row r="35" spans="1:109" x14ac:dyDescent="0.35">
      <c r="A35" s="8" t="s">
        <v>124</v>
      </c>
      <c r="B35" s="9" t="s">
        <v>77</v>
      </c>
      <c r="C35" s="9" t="s">
        <v>43</v>
      </c>
      <c r="D35" s="9" t="s">
        <v>125</v>
      </c>
      <c r="E35" s="9" t="s">
        <v>61</v>
      </c>
      <c r="F35" s="9" t="s">
        <v>62</v>
      </c>
      <c r="G35" s="10"/>
      <c r="H35" s="10"/>
      <c r="I35" s="11">
        <v>0</v>
      </c>
      <c r="J35" s="10"/>
      <c r="K35" s="10"/>
      <c r="L35" s="12">
        <v>0</v>
      </c>
      <c r="M35" s="10"/>
      <c r="N35" s="10"/>
      <c r="O35" s="11">
        <v>0</v>
      </c>
      <c r="P35" s="10"/>
      <c r="Q35" s="10"/>
      <c r="R35" s="11">
        <v>0</v>
      </c>
      <c r="S35" s="10"/>
      <c r="T35" s="10"/>
      <c r="U35" s="11">
        <v>0</v>
      </c>
      <c r="V35" s="10"/>
      <c r="W35" s="10"/>
      <c r="X35" s="11">
        <v>0</v>
      </c>
      <c r="Y35" s="10"/>
      <c r="Z35" s="10"/>
      <c r="AA35" s="11"/>
      <c r="AB35" s="10"/>
      <c r="AC35" s="10"/>
      <c r="AD35" s="11">
        <v>0</v>
      </c>
      <c r="AE35" s="10"/>
      <c r="AF35" s="10"/>
      <c r="AG35" s="11">
        <v>0</v>
      </c>
      <c r="AH35" s="10"/>
      <c r="AI35" s="10"/>
      <c r="AJ35" s="11">
        <v>0</v>
      </c>
      <c r="AK35" s="10"/>
      <c r="AL35" s="10"/>
      <c r="AM35" s="11">
        <v>0</v>
      </c>
      <c r="AN35" s="10"/>
      <c r="AO35" s="10"/>
      <c r="AP35" s="11">
        <v>0</v>
      </c>
      <c r="AQ35" s="10"/>
      <c r="AR35" s="10"/>
      <c r="AS35" s="11">
        <v>0</v>
      </c>
      <c r="AT35" s="10"/>
      <c r="AU35" s="10"/>
      <c r="AV35" s="11">
        <v>0</v>
      </c>
      <c r="AW35" s="10"/>
      <c r="AX35" s="10"/>
      <c r="AY35" s="11">
        <v>0</v>
      </c>
      <c r="AZ35" s="10"/>
      <c r="BA35" s="10"/>
      <c r="BB35" s="11">
        <v>0</v>
      </c>
      <c r="BC35" s="10"/>
      <c r="BD35" s="10"/>
      <c r="BE35" s="11">
        <v>0</v>
      </c>
      <c r="BF35" s="10"/>
      <c r="BG35" s="10"/>
      <c r="BH35" s="11">
        <v>0</v>
      </c>
      <c r="BI35" s="10"/>
      <c r="BJ35" s="10"/>
      <c r="BK35" s="11">
        <v>0</v>
      </c>
      <c r="BL35" s="10"/>
      <c r="BM35" s="10"/>
      <c r="BN35" s="11">
        <v>0</v>
      </c>
      <c r="BO35" s="10"/>
      <c r="BP35" s="10"/>
      <c r="BQ35" s="11">
        <v>0</v>
      </c>
      <c r="BR35" s="10"/>
      <c r="BS35" s="10"/>
      <c r="BT35" s="11">
        <v>0</v>
      </c>
      <c r="BU35" s="10"/>
      <c r="BV35" s="10"/>
      <c r="BW35" s="11">
        <v>0</v>
      </c>
      <c r="BX35" s="10"/>
      <c r="BY35" s="10"/>
      <c r="BZ35" s="11">
        <v>0</v>
      </c>
      <c r="CA35" s="10"/>
      <c r="CB35" s="10"/>
      <c r="CC35" s="11">
        <v>0</v>
      </c>
      <c r="CD35" s="10"/>
      <c r="CE35" s="10"/>
      <c r="CF35" s="11">
        <v>0</v>
      </c>
      <c r="CG35" s="10"/>
      <c r="CH35" s="10"/>
      <c r="CI35" s="11">
        <v>0</v>
      </c>
      <c r="CJ35" s="10"/>
      <c r="CK35" s="10"/>
      <c r="CL35" s="11">
        <v>0</v>
      </c>
      <c r="CM35" s="10"/>
      <c r="CN35" s="10"/>
      <c r="CO35" s="11">
        <v>0</v>
      </c>
      <c r="CP35" s="10"/>
      <c r="CQ35" s="10"/>
      <c r="CR35" s="11">
        <v>0</v>
      </c>
      <c r="CS35" s="10"/>
      <c r="CT35" s="10"/>
      <c r="CU35" s="11">
        <v>0</v>
      </c>
      <c r="CV35" s="10"/>
      <c r="CW35" s="10"/>
      <c r="CX35" s="11">
        <v>0</v>
      </c>
      <c r="CY35" s="10"/>
      <c r="CZ35" s="10"/>
      <c r="DA35" s="11">
        <v>0</v>
      </c>
      <c r="DB35" s="10"/>
      <c r="DC35" s="10"/>
      <c r="DD35" s="13">
        <v>0</v>
      </c>
      <c r="DE35" s="14"/>
    </row>
    <row r="36" spans="1:109" x14ac:dyDescent="0.35">
      <c r="A36" s="8" t="s">
        <v>127</v>
      </c>
      <c r="B36" s="9" t="s">
        <v>51</v>
      </c>
      <c r="C36" s="9" t="s">
        <v>52</v>
      </c>
      <c r="D36" s="9" t="s">
        <v>128</v>
      </c>
      <c r="E36" s="9" t="s">
        <v>54</v>
      </c>
      <c r="F36" s="9" t="s">
        <v>55</v>
      </c>
      <c r="G36" s="10"/>
      <c r="H36" s="10"/>
      <c r="I36" s="11">
        <v>0</v>
      </c>
      <c r="J36" s="10"/>
      <c r="K36" s="10"/>
      <c r="L36" s="12">
        <v>0</v>
      </c>
      <c r="M36" s="10"/>
      <c r="N36" s="10">
        <v>918500</v>
      </c>
      <c r="O36" s="11">
        <v>0</v>
      </c>
      <c r="P36" s="10"/>
      <c r="Q36" s="10"/>
      <c r="R36" s="11">
        <v>0</v>
      </c>
      <c r="S36" s="10"/>
      <c r="T36" s="10"/>
      <c r="U36" s="11">
        <v>0</v>
      </c>
      <c r="V36" s="10"/>
      <c r="W36" s="10"/>
      <c r="X36" s="11">
        <v>0</v>
      </c>
      <c r="Y36" s="10"/>
      <c r="Z36" s="10"/>
      <c r="AA36" s="11"/>
      <c r="AB36" s="10"/>
      <c r="AC36" s="10"/>
      <c r="AD36" s="11">
        <v>0</v>
      </c>
      <c r="AE36" s="10">
        <v>100000</v>
      </c>
      <c r="AF36" s="10"/>
      <c r="AG36" s="11">
        <f t="shared" ref="AG36:AG37" si="92">AF36/AE36</f>
        <v>0</v>
      </c>
      <c r="AH36" s="10"/>
      <c r="AI36" s="10"/>
      <c r="AJ36" s="11">
        <v>0</v>
      </c>
      <c r="AK36" s="10"/>
      <c r="AL36" s="10"/>
      <c r="AM36" s="11">
        <v>0</v>
      </c>
      <c r="AN36" s="10"/>
      <c r="AO36" s="10"/>
      <c r="AP36" s="11">
        <v>0</v>
      </c>
      <c r="AQ36" s="10"/>
      <c r="AR36" s="10"/>
      <c r="AS36" s="11">
        <v>0</v>
      </c>
      <c r="AT36" s="10"/>
      <c r="AU36" s="10"/>
      <c r="AV36" s="11">
        <v>0</v>
      </c>
      <c r="AW36" s="10"/>
      <c r="AX36" s="10"/>
      <c r="AY36" s="11">
        <v>0</v>
      </c>
      <c r="AZ36" s="10"/>
      <c r="BA36" s="10"/>
      <c r="BB36" s="11">
        <v>0</v>
      </c>
      <c r="BC36" s="10"/>
      <c r="BD36" s="10"/>
      <c r="BE36" s="11">
        <v>0</v>
      </c>
      <c r="BF36" s="10"/>
      <c r="BG36" s="10"/>
      <c r="BH36" s="11">
        <v>0</v>
      </c>
      <c r="BI36" s="10"/>
      <c r="BJ36" s="10"/>
      <c r="BK36" s="11">
        <v>0</v>
      </c>
      <c r="BL36" s="10"/>
      <c r="BM36" s="10"/>
      <c r="BN36" s="11">
        <v>0</v>
      </c>
      <c r="BO36" s="10"/>
      <c r="BP36" s="10"/>
      <c r="BQ36" s="11">
        <v>0</v>
      </c>
      <c r="BR36" s="10">
        <v>800000</v>
      </c>
      <c r="BS36" s="10"/>
      <c r="BT36" s="11">
        <f t="shared" ref="BT36" si="93">BS36/BR36</f>
        <v>0</v>
      </c>
      <c r="BU36" s="10">
        <v>500000</v>
      </c>
      <c r="BV36" s="10"/>
      <c r="BW36" s="11">
        <f t="shared" ref="BW36" si="94">BV36/BU36</f>
        <v>0</v>
      </c>
      <c r="BX36" s="10"/>
      <c r="BY36" s="10"/>
      <c r="BZ36" s="11">
        <v>0</v>
      </c>
      <c r="CA36" s="10"/>
      <c r="CB36" s="10"/>
      <c r="CC36" s="11">
        <v>0</v>
      </c>
      <c r="CD36" s="10"/>
      <c r="CE36" s="10"/>
      <c r="CF36" s="11">
        <v>0</v>
      </c>
      <c r="CG36" s="10"/>
      <c r="CH36" s="10"/>
      <c r="CI36" s="11">
        <v>0</v>
      </c>
      <c r="CJ36" s="10"/>
      <c r="CK36" s="10"/>
      <c r="CL36" s="11">
        <v>0</v>
      </c>
      <c r="CM36" s="10"/>
      <c r="CN36" s="10"/>
      <c r="CO36" s="11">
        <v>0</v>
      </c>
      <c r="CP36" s="10"/>
      <c r="CQ36" s="10"/>
      <c r="CR36" s="11">
        <v>0</v>
      </c>
      <c r="CS36" s="10"/>
      <c r="CT36" s="10"/>
      <c r="CU36" s="11">
        <v>0</v>
      </c>
      <c r="CV36" s="10"/>
      <c r="CW36" s="10"/>
      <c r="CX36" s="11">
        <v>0</v>
      </c>
      <c r="CY36" s="10"/>
      <c r="CZ36" s="10"/>
      <c r="DA36" s="11">
        <v>0</v>
      </c>
      <c r="DB36" s="10">
        <v>1400000</v>
      </c>
      <c r="DC36" s="10">
        <f t="shared" ref="DC36:DC37" si="95">SUM(H36,K36,N36,Q36,T36,W36,Z36,AC36,AF36,AI36,AL36,AO36,AR36,AU36,AX36,BA36,BD36,BG36,BJ36,BM36,BP36,BS36,BV36,BY36,CB36,CE36,CH36,CK36,CN36,CQ36,CT36,CW36,CZ36)</f>
        <v>918500</v>
      </c>
      <c r="DD36" s="13">
        <f t="shared" ref="DD36:DD37" si="96">DC36/DB36</f>
        <v>0.65607142857142853</v>
      </c>
      <c r="DE36" s="14"/>
    </row>
    <row r="37" spans="1:109" x14ac:dyDescent="0.35">
      <c r="A37" s="8" t="s">
        <v>129</v>
      </c>
      <c r="B37" s="9" t="s">
        <v>74</v>
      </c>
      <c r="C37" s="9" t="s">
        <v>52</v>
      </c>
      <c r="D37" s="9" t="s">
        <v>130</v>
      </c>
      <c r="E37" s="9" t="s">
        <v>54</v>
      </c>
      <c r="F37" s="9" t="s">
        <v>55</v>
      </c>
      <c r="G37" s="10"/>
      <c r="H37" s="10">
        <v>36500</v>
      </c>
      <c r="I37" s="11">
        <v>0</v>
      </c>
      <c r="J37" s="10"/>
      <c r="K37" s="10"/>
      <c r="L37" s="12">
        <v>0</v>
      </c>
      <c r="M37" s="10"/>
      <c r="N37" s="10"/>
      <c r="O37" s="11">
        <v>0</v>
      </c>
      <c r="P37" s="10"/>
      <c r="Q37" s="10"/>
      <c r="R37" s="11">
        <v>0</v>
      </c>
      <c r="S37" s="10">
        <v>650000</v>
      </c>
      <c r="T37" s="10">
        <v>964140</v>
      </c>
      <c r="U37" s="11">
        <f t="shared" ref="U37" si="97">T37/S37</f>
        <v>1.4832923076923077</v>
      </c>
      <c r="V37" s="10"/>
      <c r="W37" s="10"/>
      <c r="X37" s="11">
        <v>0</v>
      </c>
      <c r="Y37" s="10">
        <v>50000</v>
      </c>
      <c r="Z37" s="10"/>
      <c r="AA37" s="11">
        <f t="shared" ref="AA37" si="98">Z37/Y37</f>
        <v>0</v>
      </c>
      <c r="AB37" s="10">
        <v>50000</v>
      </c>
      <c r="AC37" s="10"/>
      <c r="AD37" s="11">
        <v>0</v>
      </c>
      <c r="AE37" s="10">
        <v>200000</v>
      </c>
      <c r="AF37" s="10"/>
      <c r="AG37" s="11">
        <f t="shared" si="92"/>
        <v>0</v>
      </c>
      <c r="AH37" s="10"/>
      <c r="AI37" s="10"/>
      <c r="AJ37" s="11">
        <v>0</v>
      </c>
      <c r="AK37" s="10"/>
      <c r="AL37" s="10"/>
      <c r="AM37" s="11">
        <v>0</v>
      </c>
      <c r="AN37" s="10"/>
      <c r="AO37" s="10"/>
      <c r="AP37" s="11">
        <v>0</v>
      </c>
      <c r="AQ37" s="10">
        <v>106240</v>
      </c>
      <c r="AR37" s="10">
        <v>34700</v>
      </c>
      <c r="AS37" s="11">
        <f t="shared" ref="AS37" si="99">AR37/AQ37</f>
        <v>0.32661897590361444</v>
      </c>
      <c r="AT37" s="10"/>
      <c r="AU37" s="10"/>
      <c r="AV37" s="11">
        <v>0</v>
      </c>
      <c r="AW37" s="10"/>
      <c r="AX37" s="10"/>
      <c r="AY37" s="11">
        <v>0</v>
      </c>
      <c r="AZ37" s="10"/>
      <c r="BA37" s="10"/>
      <c r="BB37" s="11">
        <v>0</v>
      </c>
      <c r="BC37" s="10"/>
      <c r="BD37" s="10"/>
      <c r="BE37" s="11">
        <v>0</v>
      </c>
      <c r="BF37" s="10">
        <v>3500000</v>
      </c>
      <c r="BG37" s="10">
        <f>VLOOKUP(A:A,'[1]2026 Customer Brand Sales'!$A:$BA,53,0)</f>
        <v>1246700</v>
      </c>
      <c r="BH37" s="11">
        <f t="shared" ref="BH37" si="100">BG37/BF37</f>
        <v>0.35620000000000002</v>
      </c>
      <c r="BI37" s="10"/>
      <c r="BJ37" s="10">
        <v>21600</v>
      </c>
      <c r="BK37" s="11">
        <v>0</v>
      </c>
      <c r="BL37" s="10"/>
      <c r="BM37" s="10"/>
      <c r="BN37" s="11">
        <v>0</v>
      </c>
      <c r="BO37" s="10"/>
      <c r="BP37" s="10"/>
      <c r="BQ37" s="11">
        <v>0</v>
      </c>
      <c r="BR37" s="10"/>
      <c r="BS37" s="10"/>
      <c r="BT37" s="11">
        <v>0</v>
      </c>
      <c r="BU37" s="10"/>
      <c r="BV37" s="10"/>
      <c r="BW37" s="11">
        <v>0</v>
      </c>
      <c r="BX37" s="10"/>
      <c r="BY37" s="10"/>
      <c r="BZ37" s="11">
        <v>0</v>
      </c>
      <c r="CA37" s="10"/>
      <c r="CB37" s="10"/>
      <c r="CC37" s="11">
        <v>0</v>
      </c>
      <c r="CD37" s="10"/>
      <c r="CE37" s="10"/>
      <c r="CF37" s="11">
        <v>0</v>
      </c>
      <c r="CG37" s="10"/>
      <c r="CH37" s="10"/>
      <c r="CI37" s="11">
        <v>0</v>
      </c>
      <c r="CJ37" s="10"/>
      <c r="CK37" s="10"/>
      <c r="CL37" s="11">
        <v>0</v>
      </c>
      <c r="CM37" s="10"/>
      <c r="CN37" s="10"/>
      <c r="CO37" s="11">
        <v>0</v>
      </c>
      <c r="CP37" s="10"/>
      <c r="CQ37" s="10"/>
      <c r="CR37" s="11">
        <v>0</v>
      </c>
      <c r="CS37" s="10"/>
      <c r="CT37" s="10"/>
      <c r="CU37" s="11">
        <v>0</v>
      </c>
      <c r="CV37" s="10"/>
      <c r="CW37" s="10"/>
      <c r="CX37" s="11">
        <v>0</v>
      </c>
      <c r="CY37" s="10"/>
      <c r="CZ37" s="10"/>
      <c r="DA37" s="11">
        <v>0</v>
      </c>
      <c r="DB37" s="10">
        <v>4556240</v>
      </c>
      <c r="DC37" s="10">
        <f t="shared" si="95"/>
        <v>2303640</v>
      </c>
      <c r="DD37" s="13">
        <f t="shared" si="96"/>
        <v>0.50560110968693484</v>
      </c>
      <c r="DE37" s="14"/>
    </row>
    <row r="38" spans="1:109" x14ac:dyDescent="0.35">
      <c r="A38" s="8" t="s">
        <v>131</v>
      </c>
      <c r="B38" s="9" t="s">
        <v>74</v>
      </c>
      <c r="C38" s="9" t="s">
        <v>52</v>
      </c>
      <c r="D38" s="9" t="s">
        <v>132</v>
      </c>
      <c r="E38" s="9" t="s">
        <v>54</v>
      </c>
      <c r="F38" s="9" t="s">
        <v>55</v>
      </c>
      <c r="G38" s="10"/>
      <c r="H38" s="10"/>
      <c r="I38" s="11">
        <v>0</v>
      </c>
      <c r="J38" s="10"/>
      <c r="K38" s="10"/>
      <c r="L38" s="12">
        <v>0</v>
      </c>
      <c r="M38" s="10"/>
      <c r="N38" s="10"/>
      <c r="O38" s="11">
        <v>0</v>
      </c>
      <c r="P38" s="10"/>
      <c r="Q38" s="10"/>
      <c r="R38" s="11">
        <v>0</v>
      </c>
      <c r="S38" s="10">
        <v>4000000</v>
      </c>
      <c r="T38" s="10">
        <v>2066775</v>
      </c>
      <c r="U38" s="11">
        <f t="shared" ref="U38:U39" si="101">T38/S38</f>
        <v>0.51669374999999995</v>
      </c>
      <c r="V38" s="10"/>
      <c r="W38" s="10"/>
      <c r="X38" s="11">
        <v>0</v>
      </c>
      <c r="Y38" s="10"/>
      <c r="Z38" s="10"/>
      <c r="AA38" s="11"/>
      <c r="AB38" s="10"/>
      <c r="AC38" s="10"/>
      <c r="AD38" s="11">
        <v>0</v>
      </c>
      <c r="AE38" s="10"/>
      <c r="AF38" s="10"/>
      <c r="AG38" s="11">
        <v>0</v>
      </c>
      <c r="AH38" s="10"/>
      <c r="AI38" s="10"/>
      <c r="AJ38" s="11">
        <v>0</v>
      </c>
      <c r="AK38" s="10"/>
      <c r="AL38" s="10"/>
      <c r="AM38" s="11">
        <v>0</v>
      </c>
      <c r="AN38" s="10"/>
      <c r="AO38" s="10"/>
      <c r="AP38" s="11">
        <v>0</v>
      </c>
      <c r="AQ38" s="10"/>
      <c r="AR38" s="10"/>
      <c r="AS38" s="11">
        <v>0</v>
      </c>
      <c r="AT38" s="10"/>
      <c r="AU38" s="10"/>
      <c r="AV38" s="11">
        <v>0</v>
      </c>
      <c r="AW38" s="10"/>
      <c r="AX38" s="10"/>
      <c r="AY38" s="11">
        <v>0</v>
      </c>
      <c r="AZ38" s="10"/>
      <c r="BA38" s="10"/>
      <c r="BB38" s="11">
        <v>0</v>
      </c>
      <c r="BC38" s="10"/>
      <c r="BD38" s="10"/>
      <c r="BE38" s="11">
        <v>0</v>
      </c>
      <c r="BF38" s="10"/>
      <c r="BG38" s="10"/>
      <c r="BH38" s="11">
        <v>0</v>
      </c>
      <c r="BI38" s="10"/>
      <c r="BJ38" s="10"/>
      <c r="BK38" s="11">
        <v>0</v>
      </c>
      <c r="BL38" s="10"/>
      <c r="BM38" s="10"/>
      <c r="BN38" s="11">
        <v>0</v>
      </c>
      <c r="BO38" s="10"/>
      <c r="BP38" s="10"/>
      <c r="BQ38" s="11">
        <v>0</v>
      </c>
      <c r="BR38" s="10"/>
      <c r="BS38" s="10"/>
      <c r="BT38" s="11">
        <v>0</v>
      </c>
      <c r="BU38" s="10"/>
      <c r="BV38" s="10"/>
      <c r="BW38" s="11">
        <v>0</v>
      </c>
      <c r="BX38" s="10"/>
      <c r="BY38" s="10"/>
      <c r="BZ38" s="11">
        <v>0</v>
      </c>
      <c r="CA38" s="10"/>
      <c r="CB38" s="10"/>
      <c r="CC38" s="11">
        <v>0</v>
      </c>
      <c r="CD38" s="10"/>
      <c r="CE38" s="10"/>
      <c r="CF38" s="11">
        <v>0</v>
      </c>
      <c r="CG38" s="10"/>
      <c r="CH38" s="10"/>
      <c r="CI38" s="11">
        <v>0</v>
      </c>
      <c r="CJ38" s="10"/>
      <c r="CK38" s="10"/>
      <c r="CL38" s="11">
        <v>0</v>
      </c>
      <c r="CM38" s="10"/>
      <c r="CN38" s="10"/>
      <c r="CO38" s="11">
        <v>0</v>
      </c>
      <c r="CP38" s="10"/>
      <c r="CQ38" s="10"/>
      <c r="CR38" s="11">
        <v>0</v>
      </c>
      <c r="CS38" s="10"/>
      <c r="CT38" s="10"/>
      <c r="CU38" s="11">
        <v>0</v>
      </c>
      <c r="CV38" s="10"/>
      <c r="CW38" s="10"/>
      <c r="CX38" s="11">
        <v>0</v>
      </c>
      <c r="CY38" s="10"/>
      <c r="CZ38" s="10"/>
      <c r="DA38" s="11">
        <v>0</v>
      </c>
      <c r="DB38" s="10">
        <v>4000000</v>
      </c>
      <c r="DC38" s="10">
        <f t="shared" ref="DC38:DC39" si="102">SUM(H38,K38,N38,Q38,T38,W38,Z38,AC38,AF38,AI38,AL38,AO38,AR38,AU38,AX38,BA38,BD38,BG38,BJ38,BM38,BP38,BS38,BV38,BY38,CB38,CE38,CH38,CK38,CN38,CQ38,CT38,CW38,CZ38)</f>
        <v>2066775</v>
      </c>
      <c r="DD38" s="13">
        <f t="shared" ref="DD38:DD39" si="103">DC38/DB38</f>
        <v>0.51669374999999995</v>
      </c>
      <c r="DE38" s="14"/>
    </row>
    <row r="39" spans="1:109" x14ac:dyDescent="0.35">
      <c r="A39" s="8" t="s">
        <v>133</v>
      </c>
      <c r="B39" s="9" t="s">
        <v>51</v>
      </c>
      <c r="C39" s="9" t="s">
        <v>52</v>
      </c>
      <c r="D39" s="9" t="s">
        <v>134</v>
      </c>
      <c r="E39" s="9" t="s">
        <v>54</v>
      </c>
      <c r="F39" s="9" t="s">
        <v>55</v>
      </c>
      <c r="G39" s="10"/>
      <c r="H39" s="10"/>
      <c r="I39" s="11">
        <v>0</v>
      </c>
      <c r="J39" s="10"/>
      <c r="K39" s="10"/>
      <c r="L39" s="12">
        <v>0</v>
      </c>
      <c r="M39" s="10">
        <v>3360000</v>
      </c>
      <c r="N39" s="10">
        <v>2191460</v>
      </c>
      <c r="O39" s="11">
        <f t="shared" ref="O39" si="104">N39/M39</f>
        <v>0.6522202380952381</v>
      </c>
      <c r="P39" s="10"/>
      <c r="Q39" s="10"/>
      <c r="R39" s="11">
        <v>0</v>
      </c>
      <c r="S39" s="10">
        <v>500000</v>
      </c>
      <c r="T39" s="10">
        <v>146200</v>
      </c>
      <c r="U39" s="11">
        <f t="shared" si="101"/>
        <v>0.29239999999999999</v>
      </c>
      <c r="V39" s="10"/>
      <c r="W39" s="10"/>
      <c r="X39" s="11">
        <v>0</v>
      </c>
      <c r="Y39" s="10">
        <v>600000</v>
      </c>
      <c r="Z39" s="10">
        <v>137400</v>
      </c>
      <c r="AA39" s="11">
        <f t="shared" ref="AA39" si="105">Z39/Y39</f>
        <v>0.22900000000000001</v>
      </c>
      <c r="AB39" s="10"/>
      <c r="AC39" s="10"/>
      <c r="AD39" s="11">
        <v>0</v>
      </c>
      <c r="AE39" s="10"/>
      <c r="AF39" s="10"/>
      <c r="AG39" s="11">
        <v>0</v>
      </c>
      <c r="AH39" s="10"/>
      <c r="AI39" s="10"/>
      <c r="AJ39" s="11">
        <v>0</v>
      </c>
      <c r="AK39" s="10"/>
      <c r="AL39" s="10"/>
      <c r="AM39" s="11">
        <v>0</v>
      </c>
      <c r="AN39" s="10"/>
      <c r="AO39" s="10"/>
      <c r="AP39" s="11">
        <v>0</v>
      </c>
      <c r="AQ39" s="10">
        <v>1650000</v>
      </c>
      <c r="AR39" s="10">
        <v>669400</v>
      </c>
      <c r="AS39" s="11">
        <f t="shared" ref="AS39" si="106">AR39/AQ39</f>
        <v>0.40569696969696972</v>
      </c>
      <c r="AT39" s="10"/>
      <c r="AU39" s="10">
        <v>15560</v>
      </c>
      <c r="AV39" s="11">
        <v>0</v>
      </c>
      <c r="AW39" s="10"/>
      <c r="AX39" s="10"/>
      <c r="AY39" s="11">
        <v>0</v>
      </c>
      <c r="AZ39" s="10"/>
      <c r="BA39" s="10"/>
      <c r="BB39" s="11">
        <v>0</v>
      </c>
      <c r="BC39" s="10">
        <v>228126</v>
      </c>
      <c r="BD39" s="10">
        <v>185000</v>
      </c>
      <c r="BE39" s="11">
        <f t="shared" ref="BE39" si="107">BD39/BC39</f>
        <v>0.81095534923682522</v>
      </c>
      <c r="BF39" s="10">
        <v>3500000</v>
      </c>
      <c r="BG39" s="10">
        <f>VLOOKUP(A:A,'[1]2026 Customer Brand Sales'!$A:$BA,53,0)</f>
        <v>45250</v>
      </c>
      <c r="BH39" s="11">
        <f t="shared" ref="BH39" si="108">BG39/BF39</f>
        <v>1.2928571428571428E-2</v>
      </c>
      <c r="BI39" s="10"/>
      <c r="BJ39" s="10">
        <v>15000</v>
      </c>
      <c r="BK39" s="11">
        <v>0</v>
      </c>
      <c r="BL39" s="10"/>
      <c r="BM39" s="10"/>
      <c r="BN39" s="11">
        <v>0</v>
      </c>
      <c r="BO39" s="10">
        <v>100000</v>
      </c>
      <c r="BP39" s="10"/>
      <c r="BQ39" s="11">
        <f t="shared" ref="BQ39" si="109">BP39/BO39</f>
        <v>0</v>
      </c>
      <c r="BR39" s="10">
        <v>300000</v>
      </c>
      <c r="BS39" s="10">
        <v>368120</v>
      </c>
      <c r="BT39" s="11">
        <f t="shared" ref="BT39" si="110">BS39/BR39</f>
        <v>1.2270666666666667</v>
      </c>
      <c r="BU39" s="10"/>
      <c r="BV39" s="10"/>
      <c r="BW39" s="11">
        <v>0</v>
      </c>
      <c r="BX39" s="10"/>
      <c r="BY39" s="10"/>
      <c r="BZ39" s="11">
        <v>0</v>
      </c>
      <c r="CA39" s="10"/>
      <c r="CB39" s="10"/>
      <c r="CC39" s="11">
        <v>0</v>
      </c>
      <c r="CD39" s="10"/>
      <c r="CE39" s="10"/>
      <c r="CF39" s="11">
        <v>0</v>
      </c>
      <c r="CG39" s="10">
        <v>11000</v>
      </c>
      <c r="CH39" s="10"/>
      <c r="CI39" s="11">
        <f t="shared" ref="CI39" si="111">CH39/CG39</f>
        <v>0</v>
      </c>
      <c r="CJ39" s="10"/>
      <c r="CK39" s="10"/>
      <c r="CL39" s="11">
        <v>0</v>
      </c>
      <c r="CM39" s="10">
        <v>50000</v>
      </c>
      <c r="CN39" s="10"/>
      <c r="CO39" s="11">
        <v>0</v>
      </c>
      <c r="CP39" s="10">
        <v>50000</v>
      </c>
      <c r="CQ39" s="10"/>
      <c r="CR39" s="11">
        <f t="shared" ref="CR39" si="112">CQ39/CP39</f>
        <v>0</v>
      </c>
      <c r="CS39" s="10"/>
      <c r="CT39" s="10"/>
      <c r="CU39" s="11">
        <v>0</v>
      </c>
      <c r="CV39" s="10">
        <v>100000</v>
      </c>
      <c r="CW39" s="10"/>
      <c r="CX39" s="11">
        <f t="shared" ref="CX39" si="113">CW39/CV39</f>
        <v>0</v>
      </c>
      <c r="CY39" s="10"/>
      <c r="CZ39" s="10"/>
      <c r="DA39" s="11">
        <v>0</v>
      </c>
      <c r="DB39" s="10">
        <v>10449126</v>
      </c>
      <c r="DC39" s="10">
        <f t="shared" si="102"/>
        <v>3773390</v>
      </c>
      <c r="DD39" s="13">
        <f t="shared" si="103"/>
        <v>0.36112015492970417</v>
      </c>
      <c r="DE39" s="14"/>
    </row>
    <row r="40" spans="1:109" x14ac:dyDescent="0.35">
      <c r="A40" s="8" t="s">
        <v>135</v>
      </c>
      <c r="B40" s="9" t="s">
        <v>118</v>
      </c>
      <c r="C40" s="9" t="s">
        <v>43</v>
      </c>
      <c r="D40" s="9" t="s">
        <v>136</v>
      </c>
      <c r="E40" s="9" t="s">
        <v>61</v>
      </c>
      <c r="F40" s="9" t="s">
        <v>62</v>
      </c>
      <c r="G40" s="10"/>
      <c r="H40" s="10"/>
      <c r="I40" s="11">
        <v>0</v>
      </c>
      <c r="J40" s="10"/>
      <c r="K40" s="10"/>
      <c r="L40" s="12">
        <v>0</v>
      </c>
      <c r="M40" s="10"/>
      <c r="N40" s="10"/>
      <c r="O40" s="11">
        <v>0</v>
      </c>
      <c r="P40" s="10"/>
      <c r="Q40" s="10"/>
      <c r="R40" s="11">
        <v>0</v>
      </c>
      <c r="S40" s="10"/>
      <c r="T40" s="10"/>
      <c r="U40" s="11">
        <v>0</v>
      </c>
      <c r="V40" s="10"/>
      <c r="W40" s="10"/>
      <c r="X40" s="11">
        <v>0</v>
      </c>
      <c r="Y40" s="10"/>
      <c r="Z40" s="10"/>
      <c r="AA40" s="11"/>
      <c r="AB40" s="10"/>
      <c r="AC40" s="10"/>
      <c r="AD40" s="11">
        <v>0</v>
      </c>
      <c r="AE40" s="10"/>
      <c r="AF40" s="10"/>
      <c r="AG40" s="11">
        <v>0</v>
      </c>
      <c r="AH40" s="10"/>
      <c r="AI40" s="10"/>
      <c r="AJ40" s="11">
        <v>0</v>
      </c>
      <c r="AK40" s="10"/>
      <c r="AL40" s="10"/>
      <c r="AM40" s="11">
        <v>0</v>
      </c>
      <c r="AN40" s="10"/>
      <c r="AO40" s="10"/>
      <c r="AP40" s="11">
        <v>0</v>
      </c>
      <c r="AQ40" s="10"/>
      <c r="AR40" s="10"/>
      <c r="AS40" s="11">
        <v>0</v>
      </c>
      <c r="AT40" s="10"/>
      <c r="AU40" s="10"/>
      <c r="AV40" s="11">
        <v>0</v>
      </c>
      <c r="AW40" s="10"/>
      <c r="AX40" s="10"/>
      <c r="AY40" s="11">
        <v>0</v>
      </c>
      <c r="AZ40" s="10"/>
      <c r="BA40" s="10"/>
      <c r="BB40" s="11">
        <v>0</v>
      </c>
      <c r="BC40" s="10"/>
      <c r="BD40" s="10"/>
      <c r="BE40" s="11">
        <v>0</v>
      </c>
      <c r="BF40" s="10">
        <v>10000000</v>
      </c>
      <c r="BG40" s="10">
        <f>VLOOKUP(A:A,'[1]2026 Customer Brand Sales'!$A:$BA,53,0)</f>
        <v>1531340</v>
      </c>
      <c r="BH40" s="11">
        <f t="shared" ref="BH40:BH49" si="114">BG40/BF40</f>
        <v>0.15313399999999999</v>
      </c>
      <c r="BI40" s="10"/>
      <c r="BJ40" s="10"/>
      <c r="BK40" s="11">
        <v>0</v>
      </c>
      <c r="BL40" s="10">
        <v>1500000</v>
      </c>
      <c r="BM40" s="10">
        <v>52760</v>
      </c>
      <c r="BN40" s="11">
        <f t="shared" ref="BN40:BN49" si="115">BM40/BL40</f>
        <v>3.5173333333333334E-2</v>
      </c>
      <c r="BO40" s="10">
        <v>180000</v>
      </c>
      <c r="BP40" s="10"/>
      <c r="BQ40" s="11">
        <f t="shared" ref="BQ40:BQ42" si="116">BP40/BO40</f>
        <v>0</v>
      </c>
      <c r="BR40" s="10"/>
      <c r="BS40" s="10"/>
      <c r="BT40" s="11">
        <v>0</v>
      </c>
      <c r="BU40" s="10"/>
      <c r="BV40" s="10"/>
      <c r="BW40" s="11">
        <v>0</v>
      </c>
      <c r="BX40" s="10"/>
      <c r="BY40" s="10"/>
      <c r="BZ40" s="11">
        <v>0</v>
      </c>
      <c r="CA40" s="10"/>
      <c r="CB40" s="10"/>
      <c r="CC40" s="11">
        <v>0</v>
      </c>
      <c r="CD40" s="10"/>
      <c r="CE40" s="10"/>
      <c r="CF40" s="11">
        <v>0</v>
      </c>
      <c r="CG40" s="10"/>
      <c r="CH40" s="10"/>
      <c r="CI40" s="11">
        <v>0</v>
      </c>
      <c r="CJ40" s="10"/>
      <c r="CK40" s="10"/>
      <c r="CL40" s="11">
        <v>0</v>
      </c>
      <c r="CM40" s="10"/>
      <c r="CN40" s="10"/>
      <c r="CO40" s="11">
        <v>0</v>
      </c>
      <c r="CP40" s="10">
        <v>100000</v>
      </c>
      <c r="CQ40" s="10"/>
      <c r="CR40" s="11">
        <f t="shared" ref="CR40" si="117">CQ40/CP40</f>
        <v>0</v>
      </c>
      <c r="CS40" s="10"/>
      <c r="CT40" s="10"/>
      <c r="CU40" s="11">
        <v>0</v>
      </c>
      <c r="CV40" s="10"/>
      <c r="CW40" s="10"/>
      <c r="CX40" s="11">
        <v>0</v>
      </c>
      <c r="CY40" s="10"/>
      <c r="CZ40" s="10"/>
      <c r="DA40" s="11">
        <v>0</v>
      </c>
      <c r="DB40" s="10">
        <v>11780000</v>
      </c>
      <c r="DC40" s="10">
        <f t="shared" ref="DC40:DC50" si="118">SUM(H40,K40,N40,Q40,T40,W40,Z40,AC40,AF40,AI40,AL40,AO40,AR40,AU40,AX40,BA40,BD40,BG40,BJ40,BM40,BP40,BS40,BV40,BY40,CB40,CE40,CH40,CK40,CN40,CQ40,CT40,CW40,CZ40)</f>
        <v>1584100</v>
      </c>
      <c r="DD40" s="13">
        <f t="shared" ref="DD40:DD49" si="119">DC40/DB40</f>
        <v>0.13447368421052633</v>
      </c>
      <c r="DE40" s="14"/>
    </row>
    <row r="41" spans="1:109" x14ac:dyDescent="0.35">
      <c r="A41" s="8" t="s">
        <v>137</v>
      </c>
      <c r="B41" s="9" t="s">
        <v>118</v>
      </c>
      <c r="C41" s="9" t="s">
        <v>43</v>
      </c>
      <c r="D41" s="9" t="s">
        <v>138</v>
      </c>
      <c r="E41" s="9" t="s">
        <v>61</v>
      </c>
      <c r="F41" s="9" t="s">
        <v>62</v>
      </c>
      <c r="G41" s="10"/>
      <c r="H41" s="10"/>
      <c r="I41" s="11">
        <v>0</v>
      </c>
      <c r="J41" s="10"/>
      <c r="K41" s="10"/>
      <c r="L41" s="12">
        <v>0</v>
      </c>
      <c r="M41" s="10"/>
      <c r="N41" s="10"/>
      <c r="O41" s="11">
        <v>0</v>
      </c>
      <c r="P41" s="10"/>
      <c r="Q41" s="10"/>
      <c r="R41" s="11">
        <v>0</v>
      </c>
      <c r="S41" s="10"/>
      <c r="T41" s="10"/>
      <c r="U41" s="11">
        <v>0</v>
      </c>
      <c r="V41" s="10"/>
      <c r="W41" s="10"/>
      <c r="X41" s="11">
        <v>0</v>
      </c>
      <c r="Y41" s="10"/>
      <c r="Z41" s="10"/>
      <c r="AA41" s="11"/>
      <c r="AB41" s="10"/>
      <c r="AC41" s="10"/>
      <c r="AD41" s="11">
        <v>0</v>
      </c>
      <c r="AE41" s="10">
        <v>500000</v>
      </c>
      <c r="AF41" s="10">
        <v>404400</v>
      </c>
      <c r="AG41" s="11">
        <f t="shared" ref="AG41:AG49" si="120">AF41/AE41</f>
        <v>0.80879999999999996</v>
      </c>
      <c r="AH41" s="10"/>
      <c r="AI41" s="10"/>
      <c r="AJ41" s="11">
        <v>0</v>
      </c>
      <c r="AK41" s="10">
        <v>1000000</v>
      </c>
      <c r="AL41" s="10">
        <v>428000</v>
      </c>
      <c r="AM41" s="11">
        <f t="shared" ref="AM41:AM42" si="121">AL41/AK41</f>
        <v>0.42799999999999999</v>
      </c>
      <c r="AN41" s="10">
        <v>50000</v>
      </c>
      <c r="AO41" s="10"/>
      <c r="AP41" s="11">
        <f t="shared" ref="AP41" si="122">AO41/AN41</f>
        <v>0</v>
      </c>
      <c r="AQ41" s="10"/>
      <c r="AR41" s="10"/>
      <c r="AS41" s="11">
        <v>0</v>
      </c>
      <c r="AT41" s="10">
        <v>1000000</v>
      </c>
      <c r="AU41" s="10">
        <v>799200</v>
      </c>
      <c r="AV41" s="11">
        <f t="shared" ref="AV41:AV48" si="123">AU41/AT41</f>
        <v>0.79920000000000002</v>
      </c>
      <c r="AW41" s="10"/>
      <c r="AX41" s="10"/>
      <c r="AY41" s="11">
        <v>0</v>
      </c>
      <c r="AZ41" s="10"/>
      <c r="BA41" s="10"/>
      <c r="BB41" s="11">
        <v>0</v>
      </c>
      <c r="BC41" s="10"/>
      <c r="BD41" s="10"/>
      <c r="BE41" s="11">
        <v>0</v>
      </c>
      <c r="BF41" s="10">
        <v>50000000</v>
      </c>
      <c r="BG41" s="10">
        <f>VLOOKUP(A:A,'[1]2026 Customer Brand Sales'!$A:$BA,53,0)</f>
        <v>28894990</v>
      </c>
      <c r="BH41" s="11">
        <f t="shared" si="114"/>
        <v>0.57789979999999996</v>
      </c>
      <c r="BI41" s="10"/>
      <c r="BJ41" s="10"/>
      <c r="BK41" s="11">
        <v>0</v>
      </c>
      <c r="BL41" s="10">
        <v>6000000</v>
      </c>
      <c r="BM41" s="10">
        <v>1485985</v>
      </c>
      <c r="BN41" s="11">
        <f t="shared" si="115"/>
        <v>0.24766416666666666</v>
      </c>
      <c r="BO41" s="10">
        <v>1500000</v>
      </c>
      <c r="BP41" s="10">
        <v>683350</v>
      </c>
      <c r="BQ41" s="11">
        <f t="shared" si="116"/>
        <v>0.45556666666666668</v>
      </c>
      <c r="BR41" s="10"/>
      <c r="BS41" s="10"/>
      <c r="BT41" s="11">
        <v>0</v>
      </c>
      <c r="BU41" s="10"/>
      <c r="BV41" s="10"/>
      <c r="BW41" s="11">
        <v>0</v>
      </c>
      <c r="BX41" s="10"/>
      <c r="BY41" s="10"/>
      <c r="BZ41" s="11">
        <v>0</v>
      </c>
      <c r="CA41" s="10"/>
      <c r="CB41" s="10"/>
      <c r="CC41" s="11">
        <v>0</v>
      </c>
      <c r="CD41" s="10"/>
      <c r="CE41" s="10"/>
      <c r="CF41" s="11">
        <v>0</v>
      </c>
      <c r="CG41" s="10"/>
      <c r="CH41" s="10"/>
      <c r="CI41" s="11">
        <v>0</v>
      </c>
      <c r="CJ41" s="10"/>
      <c r="CK41" s="10"/>
      <c r="CL41" s="11">
        <v>0</v>
      </c>
      <c r="CM41" s="10"/>
      <c r="CN41" s="10"/>
      <c r="CO41" s="11">
        <v>0</v>
      </c>
      <c r="CP41" s="10"/>
      <c r="CQ41" s="10"/>
      <c r="CR41" s="11">
        <v>0</v>
      </c>
      <c r="CS41" s="10"/>
      <c r="CT41" s="10"/>
      <c r="CU41" s="11">
        <v>0</v>
      </c>
      <c r="CV41" s="10"/>
      <c r="CW41" s="10"/>
      <c r="CX41" s="11">
        <v>0</v>
      </c>
      <c r="CY41" s="10"/>
      <c r="CZ41" s="10"/>
      <c r="DA41" s="11">
        <v>0</v>
      </c>
      <c r="DB41" s="10">
        <v>60050000</v>
      </c>
      <c r="DC41" s="10">
        <f t="shared" si="118"/>
        <v>32695925</v>
      </c>
      <c r="DD41" s="13">
        <f t="shared" si="119"/>
        <v>0.54447835137385514</v>
      </c>
      <c r="DE41" s="14"/>
    </row>
    <row r="42" spans="1:109" x14ac:dyDescent="0.35">
      <c r="A42" s="8" t="s">
        <v>139</v>
      </c>
      <c r="B42" s="9" t="s">
        <v>140</v>
      </c>
      <c r="C42" s="9" t="s">
        <v>43</v>
      </c>
      <c r="D42" s="9" t="s">
        <v>141</v>
      </c>
      <c r="E42" s="9" t="s">
        <v>45</v>
      </c>
      <c r="F42" s="9" t="s">
        <v>46</v>
      </c>
      <c r="G42" s="10"/>
      <c r="H42" s="10"/>
      <c r="I42" s="11">
        <v>0</v>
      </c>
      <c r="J42" s="10"/>
      <c r="K42" s="10"/>
      <c r="L42" s="12">
        <v>0</v>
      </c>
      <c r="M42" s="10">
        <v>560000</v>
      </c>
      <c r="N42" s="10"/>
      <c r="O42" s="11">
        <f t="shared" ref="O42" si="124">N42/M42</f>
        <v>0</v>
      </c>
      <c r="P42" s="10">
        <v>200000</v>
      </c>
      <c r="Q42" s="10">
        <v>34500</v>
      </c>
      <c r="R42" s="11">
        <f t="shared" ref="R42" si="125">Q42/P42</f>
        <v>0.17249999999999999</v>
      </c>
      <c r="S42" s="10"/>
      <c r="T42" s="10"/>
      <c r="U42" s="11">
        <v>0</v>
      </c>
      <c r="V42" s="10"/>
      <c r="W42" s="10"/>
      <c r="X42" s="11">
        <v>0</v>
      </c>
      <c r="Y42" s="10">
        <v>3000000</v>
      </c>
      <c r="Z42" s="10">
        <v>84000</v>
      </c>
      <c r="AA42" s="11">
        <f t="shared" ref="AA42" si="126">Z42/Y42</f>
        <v>2.8000000000000001E-2</v>
      </c>
      <c r="AB42" s="10"/>
      <c r="AC42" s="10"/>
      <c r="AD42" s="11">
        <v>0</v>
      </c>
      <c r="AE42" s="10">
        <v>600000</v>
      </c>
      <c r="AF42" s="10"/>
      <c r="AG42" s="11">
        <f t="shared" si="120"/>
        <v>0</v>
      </c>
      <c r="AH42" s="10"/>
      <c r="AI42" s="10"/>
      <c r="AJ42" s="11">
        <v>0</v>
      </c>
      <c r="AK42" s="10">
        <v>18000000</v>
      </c>
      <c r="AL42" s="10">
        <v>5000000</v>
      </c>
      <c r="AM42" s="11">
        <f t="shared" si="121"/>
        <v>0.27777777777777779</v>
      </c>
      <c r="AN42" s="10"/>
      <c r="AO42" s="10"/>
      <c r="AP42" s="11">
        <v>0</v>
      </c>
      <c r="AQ42" s="10"/>
      <c r="AR42" s="10"/>
      <c r="AS42" s="11">
        <v>0</v>
      </c>
      <c r="AT42" s="10">
        <v>3000000</v>
      </c>
      <c r="AU42" s="10">
        <v>4874500</v>
      </c>
      <c r="AV42" s="11">
        <f t="shared" si="123"/>
        <v>1.6248333333333334</v>
      </c>
      <c r="AW42" s="10"/>
      <c r="AX42" s="10">
        <v>4800</v>
      </c>
      <c r="AY42" s="11">
        <v>0</v>
      </c>
      <c r="AZ42" s="10"/>
      <c r="BA42" s="10"/>
      <c r="BB42" s="11">
        <v>0</v>
      </c>
      <c r="BC42" s="10"/>
      <c r="BD42" s="10"/>
      <c r="BE42" s="11">
        <v>0</v>
      </c>
      <c r="BF42" s="10">
        <v>351500000</v>
      </c>
      <c r="BG42" s="10">
        <f>VLOOKUP(A:A,'[1]2026 Customer Brand Sales'!$A:$BA,53,0)</f>
        <v>209577950</v>
      </c>
      <c r="BH42" s="11">
        <f t="shared" si="114"/>
        <v>0.59623883357041252</v>
      </c>
      <c r="BI42" s="10">
        <v>1000000</v>
      </c>
      <c r="BJ42" s="10">
        <v>54950</v>
      </c>
      <c r="BK42" s="11">
        <f t="shared" ref="BK42" si="127">BJ42/BI42</f>
        <v>5.4949999999999999E-2</v>
      </c>
      <c r="BL42" s="10">
        <v>55000000</v>
      </c>
      <c r="BM42" s="10">
        <v>28195525</v>
      </c>
      <c r="BN42" s="11">
        <f t="shared" si="115"/>
        <v>0.51264590909090912</v>
      </c>
      <c r="BO42" s="10">
        <v>4500000</v>
      </c>
      <c r="BP42" s="10">
        <v>2279000</v>
      </c>
      <c r="BQ42" s="11">
        <f t="shared" si="116"/>
        <v>0.50644444444444447</v>
      </c>
      <c r="BR42" s="10"/>
      <c r="BS42" s="10"/>
      <c r="BT42" s="11">
        <v>0</v>
      </c>
      <c r="BU42" s="10"/>
      <c r="BV42" s="10"/>
      <c r="BW42" s="11">
        <v>0</v>
      </c>
      <c r="BX42" s="10"/>
      <c r="BY42" s="10"/>
      <c r="BZ42" s="11">
        <v>0</v>
      </c>
      <c r="CA42" s="10"/>
      <c r="CB42" s="10"/>
      <c r="CC42" s="11">
        <v>0</v>
      </c>
      <c r="CD42" s="10">
        <v>300000</v>
      </c>
      <c r="CE42" s="10"/>
      <c r="CF42" s="11">
        <f t="shared" ref="CF42" si="128">CE42/CD42</f>
        <v>0</v>
      </c>
      <c r="CG42" s="10"/>
      <c r="CH42" s="10"/>
      <c r="CI42" s="11">
        <v>0</v>
      </c>
      <c r="CJ42" s="10"/>
      <c r="CK42" s="10"/>
      <c r="CL42" s="11">
        <v>0</v>
      </c>
      <c r="CM42" s="10"/>
      <c r="CN42" s="10"/>
      <c r="CO42" s="11">
        <v>0</v>
      </c>
      <c r="CP42" s="10"/>
      <c r="CQ42" s="10"/>
      <c r="CR42" s="11">
        <v>0</v>
      </c>
      <c r="CS42" s="10"/>
      <c r="CT42" s="10"/>
      <c r="CU42" s="11">
        <v>0</v>
      </c>
      <c r="CV42" s="10"/>
      <c r="CW42" s="10"/>
      <c r="CX42" s="11">
        <v>0</v>
      </c>
      <c r="CY42" s="10"/>
      <c r="CZ42" s="10"/>
      <c r="DA42" s="11">
        <v>0</v>
      </c>
      <c r="DB42" s="10">
        <v>437660000</v>
      </c>
      <c r="DC42" s="10">
        <f t="shared" si="118"/>
        <v>250105225</v>
      </c>
      <c r="DD42" s="13">
        <f t="shared" si="119"/>
        <v>0.57146009459397706</v>
      </c>
      <c r="DE42" s="14"/>
    </row>
    <row r="43" spans="1:109" x14ac:dyDescent="0.35">
      <c r="A43" s="8" t="s">
        <v>142</v>
      </c>
      <c r="B43" s="9" t="s">
        <v>118</v>
      </c>
      <c r="C43" s="9" t="s">
        <v>43</v>
      </c>
      <c r="D43" s="9" t="s">
        <v>143</v>
      </c>
      <c r="E43" s="9" t="s">
        <v>61</v>
      </c>
      <c r="F43" s="9" t="s">
        <v>62</v>
      </c>
      <c r="G43" s="10"/>
      <c r="H43" s="10"/>
      <c r="I43" s="11">
        <v>0</v>
      </c>
      <c r="J43" s="10"/>
      <c r="K43" s="10"/>
      <c r="L43" s="12">
        <v>0</v>
      </c>
      <c r="M43" s="10"/>
      <c r="N43" s="10"/>
      <c r="O43" s="11">
        <v>0</v>
      </c>
      <c r="P43" s="10"/>
      <c r="Q43" s="10"/>
      <c r="R43" s="11">
        <v>0</v>
      </c>
      <c r="S43" s="10"/>
      <c r="T43" s="10"/>
      <c r="U43" s="11">
        <v>0</v>
      </c>
      <c r="V43" s="10">
        <v>1000000</v>
      </c>
      <c r="W43" s="10">
        <v>76400</v>
      </c>
      <c r="X43" s="11">
        <v>7.6399999999999996E-2</v>
      </c>
      <c r="Y43" s="10"/>
      <c r="Z43" s="10"/>
      <c r="AA43" s="11"/>
      <c r="AB43" s="10"/>
      <c r="AC43" s="10"/>
      <c r="AD43" s="11">
        <v>0</v>
      </c>
      <c r="AE43" s="10"/>
      <c r="AF43" s="10"/>
      <c r="AG43" s="11">
        <v>0</v>
      </c>
      <c r="AH43" s="10"/>
      <c r="AI43" s="10"/>
      <c r="AJ43" s="11">
        <v>0</v>
      </c>
      <c r="AK43" s="10"/>
      <c r="AL43" s="10"/>
      <c r="AM43" s="11">
        <v>0</v>
      </c>
      <c r="AN43" s="10"/>
      <c r="AO43" s="10"/>
      <c r="AP43" s="11">
        <v>0</v>
      </c>
      <c r="AQ43" s="10"/>
      <c r="AR43" s="10"/>
      <c r="AS43" s="11">
        <v>0</v>
      </c>
      <c r="AT43" s="10"/>
      <c r="AU43" s="10"/>
      <c r="AV43" s="11">
        <v>0</v>
      </c>
      <c r="AW43" s="10"/>
      <c r="AX43" s="10"/>
      <c r="AY43" s="11">
        <v>0</v>
      </c>
      <c r="AZ43" s="10"/>
      <c r="BA43" s="10"/>
      <c r="BB43" s="11">
        <v>0</v>
      </c>
      <c r="BC43" s="10"/>
      <c r="BD43" s="10"/>
      <c r="BE43" s="11">
        <v>0</v>
      </c>
      <c r="BF43" s="10"/>
      <c r="BG43" s="10"/>
      <c r="BH43" s="11">
        <v>0</v>
      </c>
      <c r="BI43" s="10"/>
      <c r="BJ43" s="10"/>
      <c r="BK43" s="11">
        <v>0</v>
      </c>
      <c r="BL43" s="10"/>
      <c r="BM43" s="10"/>
      <c r="BN43" s="11">
        <v>0</v>
      </c>
      <c r="BO43" s="10"/>
      <c r="BP43" s="10"/>
      <c r="BQ43" s="11">
        <v>0</v>
      </c>
      <c r="BR43" s="10"/>
      <c r="BS43" s="10"/>
      <c r="BT43" s="11">
        <v>0</v>
      </c>
      <c r="BU43" s="10"/>
      <c r="BV43" s="10"/>
      <c r="BW43" s="11">
        <v>0</v>
      </c>
      <c r="BX43" s="10"/>
      <c r="BY43" s="10"/>
      <c r="BZ43" s="11">
        <v>0</v>
      </c>
      <c r="CA43" s="10"/>
      <c r="CB43" s="10"/>
      <c r="CC43" s="11">
        <v>0</v>
      </c>
      <c r="CD43" s="10"/>
      <c r="CE43" s="10"/>
      <c r="CF43" s="11">
        <v>0</v>
      </c>
      <c r="CG43" s="10"/>
      <c r="CH43" s="10"/>
      <c r="CI43" s="11">
        <v>0</v>
      </c>
      <c r="CJ43" s="10"/>
      <c r="CK43" s="10"/>
      <c r="CL43" s="11">
        <v>0</v>
      </c>
      <c r="CM43" s="10"/>
      <c r="CN43" s="10"/>
      <c r="CO43" s="11">
        <v>0</v>
      </c>
      <c r="CP43" s="10"/>
      <c r="CQ43" s="10"/>
      <c r="CR43" s="11">
        <v>0</v>
      </c>
      <c r="CS43" s="10"/>
      <c r="CT43" s="10"/>
      <c r="CU43" s="11">
        <v>0</v>
      </c>
      <c r="CV43" s="10"/>
      <c r="CW43" s="10"/>
      <c r="CX43" s="11">
        <v>0</v>
      </c>
      <c r="CY43" s="10"/>
      <c r="CZ43" s="10"/>
      <c r="DA43" s="11">
        <v>0</v>
      </c>
      <c r="DB43" s="10">
        <v>1000000</v>
      </c>
      <c r="DC43" s="10">
        <f t="shared" si="118"/>
        <v>76400</v>
      </c>
      <c r="DD43" s="13">
        <f t="shared" si="119"/>
        <v>7.6399999999999996E-2</v>
      </c>
      <c r="DE43" s="14"/>
    </row>
    <row r="44" spans="1:109" x14ac:dyDescent="0.35">
      <c r="A44" s="8" t="s">
        <v>144</v>
      </c>
      <c r="B44" s="9" t="s">
        <v>48</v>
      </c>
      <c r="C44" s="9" t="s">
        <v>43</v>
      </c>
      <c r="D44" s="9" t="s">
        <v>145</v>
      </c>
      <c r="E44" s="9" t="s">
        <v>45</v>
      </c>
      <c r="F44" s="9" t="s">
        <v>46</v>
      </c>
      <c r="G44" s="10">
        <v>30000000</v>
      </c>
      <c r="H44" s="10">
        <v>22653450</v>
      </c>
      <c r="I44" s="11">
        <f t="shared" ref="I44:I48" si="129">H44/G44</f>
        <v>0.75511499999999998</v>
      </c>
      <c r="J44" s="10">
        <v>5000000</v>
      </c>
      <c r="K44" s="10">
        <v>1566250</v>
      </c>
      <c r="L44" s="11">
        <f t="shared" ref="L44:L48" si="130">K44/J44</f>
        <v>0.31324999999999997</v>
      </c>
      <c r="M44" s="10"/>
      <c r="N44" s="10"/>
      <c r="O44" s="11">
        <v>0</v>
      </c>
      <c r="P44" s="10"/>
      <c r="Q44" s="10">
        <v>174000</v>
      </c>
      <c r="R44" s="11">
        <v>0</v>
      </c>
      <c r="S44" s="10"/>
      <c r="T44" s="10"/>
      <c r="U44" s="11">
        <v>0</v>
      </c>
      <c r="V44" s="10"/>
      <c r="W44" s="10"/>
      <c r="X44" s="11">
        <v>0</v>
      </c>
      <c r="Y44" s="10"/>
      <c r="Z44" s="10"/>
      <c r="AA44" s="11"/>
      <c r="AB44" s="10"/>
      <c r="AC44" s="10"/>
      <c r="AD44" s="11">
        <v>0</v>
      </c>
      <c r="AE44" s="10"/>
      <c r="AF44" s="10"/>
      <c r="AG44" s="11">
        <v>0</v>
      </c>
      <c r="AH44" s="10"/>
      <c r="AI44" s="10"/>
      <c r="AJ44" s="11">
        <v>0</v>
      </c>
      <c r="AK44" s="10"/>
      <c r="AL44" s="10"/>
      <c r="AM44" s="11">
        <v>0</v>
      </c>
      <c r="AN44" s="10"/>
      <c r="AO44" s="10"/>
      <c r="AP44" s="11">
        <v>0</v>
      </c>
      <c r="AQ44" s="10"/>
      <c r="AR44" s="10"/>
      <c r="AS44" s="11">
        <v>0</v>
      </c>
      <c r="AT44" s="10">
        <v>2000000</v>
      </c>
      <c r="AU44" s="10"/>
      <c r="AV44" s="11">
        <f t="shared" si="123"/>
        <v>0</v>
      </c>
      <c r="AW44" s="10">
        <v>2000000</v>
      </c>
      <c r="AX44" s="10"/>
      <c r="AY44" s="11">
        <f t="shared" ref="AY44" si="131">AX44/AW44</f>
        <v>0</v>
      </c>
      <c r="AZ44" s="10"/>
      <c r="BA44" s="10"/>
      <c r="BB44" s="11">
        <v>0</v>
      </c>
      <c r="BC44" s="10"/>
      <c r="BD44" s="10"/>
      <c r="BE44" s="11">
        <v>0</v>
      </c>
      <c r="BF44" s="10"/>
      <c r="BG44" s="10"/>
      <c r="BH44" s="11">
        <v>0</v>
      </c>
      <c r="BI44" s="10"/>
      <c r="BJ44" s="10"/>
      <c r="BK44" s="11">
        <v>0</v>
      </c>
      <c r="BL44" s="10"/>
      <c r="BM44" s="10"/>
      <c r="BN44" s="11">
        <v>0</v>
      </c>
      <c r="BO44" s="10"/>
      <c r="BP44" s="10"/>
      <c r="BQ44" s="11">
        <v>0</v>
      </c>
      <c r="BR44" s="10"/>
      <c r="BS44" s="10"/>
      <c r="BT44" s="11">
        <v>0</v>
      </c>
      <c r="BU44" s="10"/>
      <c r="BV44" s="10"/>
      <c r="BW44" s="11">
        <v>0</v>
      </c>
      <c r="BX44" s="10"/>
      <c r="BY44" s="10"/>
      <c r="BZ44" s="11">
        <v>0</v>
      </c>
      <c r="CA44" s="10"/>
      <c r="CB44" s="10"/>
      <c r="CC44" s="11">
        <v>0</v>
      </c>
      <c r="CD44" s="10"/>
      <c r="CE44" s="10"/>
      <c r="CF44" s="11">
        <v>0</v>
      </c>
      <c r="CG44" s="10"/>
      <c r="CH44" s="10"/>
      <c r="CI44" s="11">
        <v>0</v>
      </c>
      <c r="CJ44" s="10"/>
      <c r="CK44" s="10"/>
      <c r="CL44" s="11">
        <v>0</v>
      </c>
      <c r="CM44" s="10"/>
      <c r="CN44" s="10"/>
      <c r="CO44" s="11">
        <v>0</v>
      </c>
      <c r="CP44" s="10"/>
      <c r="CQ44" s="10"/>
      <c r="CR44" s="11">
        <v>0</v>
      </c>
      <c r="CS44" s="10">
        <v>500000</v>
      </c>
      <c r="CT44" s="10"/>
      <c r="CU44" s="11">
        <f t="shared" ref="CU44" si="132">CT44/CS44</f>
        <v>0</v>
      </c>
      <c r="CV44" s="10"/>
      <c r="CW44" s="10"/>
      <c r="CX44" s="11">
        <v>0</v>
      </c>
      <c r="CY44" s="10"/>
      <c r="CZ44" s="10"/>
      <c r="DA44" s="11">
        <v>0</v>
      </c>
      <c r="DB44" s="10">
        <v>39500000</v>
      </c>
      <c r="DC44" s="10">
        <f t="shared" si="118"/>
        <v>24393700</v>
      </c>
      <c r="DD44" s="13">
        <f t="shared" si="119"/>
        <v>0.61756202531645565</v>
      </c>
      <c r="DE44" s="14"/>
    </row>
    <row r="45" spans="1:109" x14ac:dyDescent="0.35">
      <c r="A45" s="8" t="s">
        <v>146</v>
      </c>
      <c r="B45" s="9" t="s">
        <v>42</v>
      </c>
      <c r="C45" s="9" t="s">
        <v>43</v>
      </c>
      <c r="D45" s="9" t="s">
        <v>147</v>
      </c>
      <c r="E45" s="9" t="s">
        <v>45</v>
      </c>
      <c r="F45" s="9" t="s">
        <v>46</v>
      </c>
      <c r="G45" s="10"/>
      <c r="H45" s="10"/>
      <c r="I45" s="11">
        <v>0</v>
      </c>
      <c r="J45" s="10"/>
      <c r="K45" s="10"/>
      <c r="L45" s="12">
        <v>0</v>
      </c>
      <c r="M45" s="10"/>
      <c r="N45" s="10"/>
      <c r="O45" s="11">
        <v>0</v>
      </c>
      <c r="P45" s="10"/>
      <c r="Q45" s="10"/>
      <c r="R45" s="11">
        <v>0</v>
      </c>
      <c r="S45" s="10"/>
      <c r="T45" s="10"/>
      <c r="U45" s="11">
        <v>0</v>
      </c>
      <c r="V45" s="10"/>
      <c r="W45" s="10"/>
      <c r="X45" s="11">
        <v>0</v>
      </c>
      <c r="Y45" s="10"/>
      <c r="Z45" s="10"/>
      <c r="AA45" s="11"/>
      <c r="AB45" s="10"/>
      <c r="AC45" s="10"/>
      <c r="AD45" s="11">
        <v>0</v>
      </c>
      <c r="AE45" s="10"/>
      <c r="AF45" s="10"/>
      <c r="AG45" s="11">
        <v>0</v>
      </c>
      <c r="AH45" s="10"/>
      <c r="AI45" s="10"/>
      <c r="AJ45" s="11">
        <v>0</v>
      </c>
      <c r="AK45" s="10"/>
      <c r="AL45" s="10"/>
      <c r="AM45" s="11">
        <v>0</v>
      </c>
      <c r="AN45" s="10"/>
      <c r="AO45" s="10"/>
      <c r="AP45" s="11">
        <v>0</v>
      </c>
      <c r="AQ45" s="10"/>
      <c r="AR45" s="10"/>
      <c r="AS45" s="11">
        <v>0</v>
      </c>
      <c r="AT45" s="10"/>
      <c r="AU45" s="10"/>
      <c r="AV45" s="11">
        <v>0</v>
      </c>
      <c r="AW45" s="10"/>
      <c r="AX45" s="10"/>
      <c r="AY45" s="11">
        <v>0</v>
      </c>
      <c r="AZ45" s="10"/>
      <c r="BA45" s="10"/>
      <c r="BB45" s="11">
        <v>0</v>
      </c>
      <c r="BC45" s="10"/>
      <c r="BD45" s="10"/>
      <c r="BE45" s="11">
        <v>0</v>
      </c>
      <c r="BF45" s="10"/>
      <c r="BG45" s="10"/>
      <c r="BH45" s="11">
        <v>0</v>
      </c>
      <c r="BI45" s="10"/>
      <c r="BJ45" s="10"/>
      <c r="BK45" s="11">
        <v>0</v>
      </c>
      <c r="BL45" s="10"/>
      <c r="BM45" s="10"/>
      <c r="BN45" s="11">
        <v>0</v>
      </c>
      <c r="BO45" s="10"/>
      <c r="BP45" s="10"/>
      <c r="BQ45" s="11">
        <v>0</v>
      </c>
      <c r="BR45" s="10"/>
      <c r="BS45" s="10"/>
      <c r="BT45" s="11">
        <v>0</v>
      </c>
      <c r="BU45" s="10"/>
      <c r="BV45" s="10"/>
      <c r="BW45" s="11">
        <v>0</v>
      </c>
      <c r="BX45" s="10"/>
      <c r="BY45" s="10"/>
      <c r="BZ45" s="11">
        <v>0</v>
      </c>
      <c r="CA45" s="10"/>
      <c r="CB45" s="10"/>
      <c r="CC45" s="11">
        <v>0</v>
      </c>
      <c r="CD45" s="10"/>
      <c r="CE45" s="10"/>
      <c r="CF45" s="11">
        <v>0</v>
      </c>
      <c r="CG45" s="10"/>
      <c r="CH45" s="10"/>
      <c r="CI45" s="11">
        <v>0</v>
      </c>
      <c r="CJ45" s="10"/>
      <c r="CK45" s="10"/>
      <c r="CL45" s="11">
        <v>0</v>
      </c>
      <c r="CM45" s="10"/>
      <c r="CN45" s="10"/>
      <c r="CO45" s="11">
        <v>0</v>
      </c>
      <c r="CP45" s="10"/>
      <c r="CQ45" s="10"/>
      <c r="CR45" s="11">
        <v>0</v>
      </c>
      <c r="CS45" s="10"/>
      <c r="CT45" s="10"/>
      <c r="CU45" s="11">
        <v>0</v>
      </c>
      <c r="CV45" s="10"/>
      <c r="CW45" s="10"/>
      <c r="CX45" s="11">
        <v>0</v>
      </c>
      <c r="CY45" s="10"/>
      <c r="CZ45" s="10"/>
      <c r="DA45" s="11">
        <v>0</v>
      </c>
      <c r="DB45" s="10"/>
      <c r="DC45" s="10"/>
      <c r="DD45" s="13">
        <v>0</v>
      </c>
      <c r="DE45" s="14"/>
    </row>
    <row r="46" spans="1:109" x14ac:dyDescent="0.35">
      <c r="A46" s="8" t="s">
        <v>148</v>
      </c>
      <c r="B46" s="9" t="s">
        <v>74</v>
      </c>
      <c r="C46" s="9" t="s">
        <v>52</v>
      </c>
      <c r="D46" s="9" t="s">
        <v>149</v>
      </c>
      <c r="E46" s="9" t="s">
        <v>54</v>
      </c>
      <c r="F46" s="9" t="s">
        <v>55</v>
      </c>
      <c r="G46" s="10"/>
      <c r="H46" s="10"/>
      <c r="I46" s="11">
        <v>0</v>
      </c>
      <c r="J46" s="10"/>
      <c r="K46" s="10"/>
      <c r="L46" s="12">
        <v>0</v>
      </c>
      <c r="M46" s="10"/>
      <c r="N46" s="10"/>
      <c r="O46" s="11">
        <v>0</v>
      </c>
      <c r="P46" s="10"/>
      <c r="Q46" s="10"/>
      <c r="R46" s="11">
        <v>0</v>
      </c>
      <c r="S46" s="10"/>
      <c r="T46" s="10"/>
      <c r="U46" s="11">
        <v>0</v>
      </c>
      <c r="V46" s="10">
        <v>25000</v>
      </c>
      <c r="W46" s="10"/>
      <c r="X46" s="11">
        <v>0</v>
      </c>
      <c r="Y46" s="10"/>
      <c r="Z46" s="10"/>
      <c r="AA46" s="11"/>
      <c r="AB46" s="10"/>
      <c r="AC46" s="10"/>
      <c r="AD46" s="11">
        <v>0</v>
      </c>
      <c r="AE46" s="10"/>
      <c r="AF46" s="10"/>
      <c r="AG46" s="11">
        <v>0</v>
      </c>
      <c r="AH46" s="10"/>
      <c r="AI46" s="10"/>
      <c r="AJ46" s="11">
        <v>0</v>
      </c>
      <c r="AK46" s="10"/>
      <c r="AL46" s="10"/>
      <c r="AM46" s="11">
        <v>0</v>
      </c>
      <c r="AN46" s="10"/>
      <c r="AO46" s="10"/>
      <c r="AP46" s="11">
        <v>0</v>
      </c>
      <c r="AQ46" s="10"/>
      <c r="AR46" s="10"/>
      <c r="AS46" s="11">
        <v>0</v>
      </c>
      <c r="AT46" s="10"/>
      <c r="AU46" s="10">
        <v>8250</v>
      </c>
      <c r="AV46" s="11">
        <v>0</v>
      </c>
      <c r="AW46" s="10"/>
      <c r="AX46" s="10"/>
      <c r="AY46" s="11">
        <v>0</v>
      </c>
      <c r="AZ46" s="10"/>
      <c r="BA46" s="10"/>
      <c r="BB46" s="11">
        <v>0</v>
      </c>
      <c r="BC46" s="10"/>
      <c r="BD46" s="10"/>
      <c r="BE46" s="11">
        <v>0</v>
      </c>
      <c r="BF46" s="10">
        <v>1200000</v>
      </c>
      <c r="BG46" s="10">
        <f>VLOOKUP(A:A,'[1]2026 Customer Brand Sales'!$A:$BA,53,0)</f>
        <v>544315</v>
      </c>
      <c r="BH46" s="11">
        <f t="shared" si="114"/>
        <v>0.45359583333333331</v>
      </c>
      <c r="BI46" s="10"/>
      <c r="BJ46" s="10"/>
      <c r="BK46" s="11">
        <v>0</v>
      </c>
      <c r="BL46" s="10"/>
      <c r="BM46" s="10">
        <v>80055</v>
      </c>
      <c r="BN46" s="11">
        <v>0</v>
      </c>
      <c r="BO46" s="10"/>
      <c r="BP46" s="10"/>
      <c r="BQ46" s="11">
        <v>0</v>
      </c>
      <c r="BR46" s="10"/>
      <c r="BS46" s="10"/>
      <c r="BT46" s="11">
        <v>0</v>
      </c>
      <c r="BU46" s="10"/>
      <c r="BV46" s="10"/>
      <c r="BW46" s="11">
        <v>0</v>
      </c>
      <c r="BX46" s="10"/>
      <c r="BY46" s="10"/>
      <c r="BZ46" s="11">
        <v>0</v>
      </c>
      <c r="CA46" s="10"/>
      <c r="CB46" s="10"/>
      <c r="CC46" s="11">
        <v>0</v>
      </c>
      <c r="CD46" s="10"/>
      <c r="CE46" s="10"/>
      <c r="CF46" s="11">
        <v>0</v>
      </c>
      <c r="CG46" s="10"/>
      <c r="CH46" s="10"/>
      <c r="CI46" s="11">
        <v>0</v>
      </c>
      <c r="CJ46" s="10"/>
      <c r="CK46" s="10"/>
      <c r="CL46" s="11">
        <v>0</v>
      </c>
      <c r="CM46" s="10"/>
      <c r="CN46" s="10"/>
      <c r="CO46" s="11">
        <v>0</v>
      </c>
      <c r="CP46" s="10"/>
      <c r="CQ46" s="10"/>
      <c r="CR46" s="11">
        <v>0</v>
      </c>
      <c r="CS46" s="10"/>
      <c r="CT46" s="10"/>
      <c r="CU46" s="11">
        <v>0</v>
      </c>
      <c r="CV46" s="10"/>
      <c r="CW46" s="10"/>
      <c r="CX46" s="11">
        <v>0</v>
      </c>
      <c r="CY46" s="10"/>
      <c r="CZ46" s="10"/>
      <c r="DA46" s="11">
        <v>0</v>
      </c>
      <c r="DB46" s="10">
        <v>1225000</v>
      </c>
      <c r="DC46" s="10">
        <f t="shared" si="118"/>
        <v>632620</v>
      </c>
      <c r="DD46" s="13">
        <f t="shared" si="119"/>
        <v>0.51642448979591837</v>
      </c>
      <c r="DE46" s="14"/>
    </row>
    <row r="47" spans="1:109" x14ac:dyDescent="0.35">
      <c r="A47" s="8" t="s">
        <v>150</v>
      </c>
      <c r="B47" s="9" t="s">
        <v>42</v>
      </c>
      <c r="C47" s="9" t="s">
        <v>43</v>
      </c>
      <c r="D47" s="9" t="s">
        <v>151</v>
      </c>
      <c r="E47" s="9" t="s">
        <v>45</v>
      </c>
      <c r="F47" s="9" t="s">
        <v>46</v>
      </c>
      <c r="G47" s="10"/>
      <c r="H47" s="10"/>
      <c r="I47" s="11">
        <v>0</v>
      </c>
      <c r="J47" s="10">
        <v>600000</v>
      </c>
      <c r="K47" s="10">
        <v>337500</v>
      </c>
      <c r="L47" s="11">
        <f t="shared" si="130"/>
        <v>0.5625</v>
      </c>
      <c r="M47" s="10"/>
      <c r="N47" s="10"/>
      <c r="O47" s="11">
        <v>0</v>
      </c>
      <c r="P47" s="10"/>
      <c r="Q47" s="10"/>
      <c r="R47" s="11">
        <v>0</v>
      </c>
      <c r="S47" s="10"/>
      <c r="T47" s="10"/>
      <c r="U47" s="11">
        <v>0</v>
      </c>
      <c r="V47" s="10"/>
      <c r="W47" s="10"/>
      <c r="X47" s="11">
        <v>0</v>
      </c>
      <c r="Y47" s="10"/>
      <c r="Z47" s="10">
        <v>97000</v>
      </c>
      <c r="AA47" s="11"/>
      <c r="AB47" s="10"/>
      <c r="AC47" s="10"/>
      <c r="AD47" s="11">
        <v>0</v>
      </c>
      <c r="AE47" s="10"/>
      <c r="AF47" s="10"/>
      <c r="AG47" s="11">
        <v>0</v>
      </c>
      <c r="AH47" s="10"/>
      <c r="AI47" s="10"/>
      <c r="AJ47" s="11">
        <v>0</v>
      </c>
      <c r="AK47" s="10"/>
      <c r="AL47" s="10"/>
      <c r="AM47" s="11">
        <v>0</v>
      </c>
      <c r="AN47" s="10"/>
      <c r="AO47" s="10"/>
      <c r="AP47" s="11">
        <v>0</v>
      </c>
      <c r="AQ47" s="10"/>
      <c r="AR47" s="10"/>
      <c r="AS47" s="11">
        <v>0</v>
      </c>
      <c r="AT47" s="10"/>
      <c r="AU47" s="10"/>
      <c r="AV47" s="11">
        <v>0</v>
      </c>
      <c r="AW47" s="10"/>
      <c r="AX47" s="10">
        <v>51800</v>
      </c>
      <c r="AY47" s="11">
        <v>0</v>
      </c>
      <c r="AZ47" s="10"/>
      <c r="BA47" s="10"/>
      <c r="BB47" s="11">
        <v>0</v>
      </c>
      <c r="BC47" s="10"/>
      <c r="BD47" s="10"/>
      <c r="BE47" s="11">
        <v>0</v>
      </c>
      <c r="BF47" s="10"/>
      <c r="BG47" s="10"/>
      <c r="BH47" s="11">
        <v>0</v>
      </c>
      <c r="BI47" s="10"/>
      <c r="BJ47" s="10">
        <v>85000</v>
      </c>
      <c r="BK47" s="11">
        <v>0</v>
      </c>
      <c r="BL47" s="10"/>
      <c r="BM47" s="10"/>
      <c r="BN47" s="11">
        <v>0</v>
      </c>
      <c r="BO47" s="10"/>
      <c r="BP47" s="10"/>
      <c r="BQ47" s="11">
        <v>0</v>
      </c>
      <c r="BR47" s="10"/>
      <c r="BS47" s="10"/>
      <c r="BT47" s="11">
        <v>0</v>
      </c>
      <c r="BU47" s="10"/>
      <c r="BV47" s="10"/>
      <c r="BW47" s="11">
        <v>0</v>
      </c>
      <c r="BX47" s="10"/>
      <c r="BY47" s="10"/>
      <c r="BZ47" s="11">
        <v>0</v>
      </c>
      <c r="CA47" s="10"/>
      <c r="CB47" s="10"/>
      <c r="CC47" s="11">
        <v>0</v>
      </c>
      <c r="CD47" s="10"/>
      <c r="CE47" s="10"/>
      <c r="CF47" s="11">
        <v>0</v>
      </c>
      <c r="CG47" s="10"/>
      <c r="CH47" s="10"/>
      <c r="CI47" s="11">
        <v>0</v>
      </c>
      <c r="CJ47" s="10"/>
      <c r="CK47" s="10"/>
      <c r="CL47" s="11">
        <v>0</v>
      </c>
      <c r="CM47" s="10"/>
      <c r="CN47" s="10"/>
      <c r="CO47" s="11">
        <v>0</v>
      </c>
      <c r="CP47" s="10"/>
      <c r="CQ47" s="10"/>
      <c r="CR47" s="11">
        <v>0</v>
      </c>
      <c r="CS47" s="10"/>
      <c r="CT47" s="10"/>
      <c r="CU47" s="11">
        <v>0</v>
      </c>
      <c r="CV47" s="10"/>
      <c r="CW47" s="10"/>
      <c r="CX47" s="11">
        <v>0</v>
      </c>
      <c r="CY47" s="10"/>
      <c r="CZ47" s="10"/>
      <c r="DA47" s="11">
        <v>0</v>
      </c>
      <c r="DB47" s="10">
        <v>600000</v>
      </c>
      <c r="DC47" s="10">
        <f t="shared" si="118"/>
        <v>571300</v>
      </c>
      <c r="DD47" s="13">
        <f t="shared" si="119"/>
        <v>0.95216666666666672</v>
      </c>
      <c r="DE47" s="14"/>
    </row>
    <row r="48" spans="1:109" x14ac:dyDescent="0.35">
      <c r="A48" s="8" t="s">
        <v>152</v>
      </c>
      <c r="B48" s="9" t="s">
        <v>42</v>
      </c>
      <c r="C48" s="9" t="s">
        <v>43</v>
      </c>
      <c r="D48" s="9" t="s">
        <v>153</v>
      </c>
      <c r="E48" s="9" t="s">
        <v>45</v>
      </c>
      <c r="F48" s="9" t="s">
        <v>46</v>
      </c>
      <c r="G48" s="10">
        <v>2000000</v>
      </c>
      <c r="H48" s="10">
        <v>7828550</v>
      </c>
      <c r="I48" s="11">
        <f t="shared" si="129"/>
        <v>3.9142749999999999</v>
      </c>
      <c r="J48" s="10">
        <v>1000000</v>
      </c>
      <c r="K48" s="10">
        <v>1348650</v>
      </c>
      <c r="L48" s="11">
        <f t="shared" si="130"/>
        <v>1.3486499999999999</v>
      </c>
      <c r="M48" s="10"/>
      <c r="N48" s="10"/>
      <c r="O48" s="11">
        <v>0</v>
      </c>
      <c r="P48" s="10"/>
      <c r="Q48" s="10"/>
      <c r="R48" s="11">
        <v>0</v>
      </c>
      <c r="S48" s="10"/>
      <c r="T48" s="10"/>
      <c r="U48" s="11">
        <v>0</v>
      </c>
      <c r="V48" s="10"/>
      <c r="W48" s="10"/>
      <c r="X48" s="11">
        <v>0</v>
      </c>
      <c r="Y48" s="10"/>
      <c r="Z48" s="10"/>
      <c r="AA48" s="11"/>
      <c r="AB48" s="10"/>
      <c r="AC48" s="10"/>
      <c r="AD48" s="11">
        <v>0</v>
      </c>
      <c r="AE48" s="10"/>
      <c r="AF48" s="10"/>
      <c r="AG48" s="11">
        <v>0</v>
      </c>
      <c r="AH48" s="10"/>
      <c r="AI48" s="10"/>
      <c r="AJ48" s="11">
        <v>0</v>
      </c>
      <c r="AK48" s="10"/>
      <c r="AL48" s="10"/>
      <c r="AM48" s="11">
        <v>0</v>
      </c>
      <c r="AN48" s="10"/>
      <c r="AO48" s="10"/>
      <c r="AP48" s="11">
        <v>0</v>
      </c>
      <c r="AQ48" s="10"/>
      <c r="AR48" s="10"/>
      <c r="AS48" s="11">
        <v>0</v>
      </c>
      <c r="AT48" s="10">
        <v>500000</v>
      </c>
      <c r="AU48" s="10"/>
      <c r="AV48" s="11">
        <f t="shared" si="123"/>
        <v>0</v>
      </c>
      <c r="AW48" s="10"/>
      <c r="AX48" s="10"/>
      <c r="AY48" s="11">
        <v>0</v>
      </c>
      <c r="AZ48" s="10"/>
      <c r="BA48" s="10"/>
      <c r="BB48" s="11">
        <v>0</v>
      </c>
      <c r="BC48" s="10"/>
      <c r="BD48" s="10"/>
      <c r="BE48" s="11">
        <v>0</v>
      </c>
      <c r="BF48" s="10"/>
      <c r="BG48" s="10"/>
      <c r="BH48" s="11">
        <v>0</v>
      </c>
      <c r="BI48" s="10"/>
      <c r="BJ48" s="10"/>
      <c r="BK48" s="11">
        <v>0</v>
      </c>
      <c r="BL48" s="10"/>
      <c r="BM48" s="10"/>
      <c r="BN48" s="11">
        <v>0</v>
      </c>
      <c r="BO48" s="10"/>
      <c r="BP48" s="10"/>
      <c r="BQ48" s="11">
        <v>0</v>
      </c>
      <c r="BR48" s="10"/>
      <c r="BS48" s="10"/>
      <c r="BT48" s="11">
        <v>0</v>
      </c>
      <c r="BU48" s="10"/>
      <c r="BV48" s="10"/>
      <c r="BW48" s="11">
        <v>0</v>
      </c>
      <c r="BX48" s="10"/>
      <c r="BY48" s="10"/>
      <c r="BZ48" s="11">
        <v>0</v>
      </c>
      <c r="CA48" s="10"/>
      <c r="CB48" s="10"/>
      <c r="CC48" s="11">
        <v>0</v>
      </c>
      <c r="CD48" s="10"/>
      <c r="CE48" s="10"/>
      <c r="CF48" s="11">
        <v>0</v>
      </c>
      <c r="CG48" s="10"/>
      <c r="CH48" s="10"/>
      <c r="CI48" s="11">
        <v>0</v>
      </c>
      <c r="CJ48" s="10"/>
      <c r="CK48" s="10"/>
      <c r="CL48" s="11">
        <v>0</v>
      </c>
      <c r="CM48" s="10"/>
      <c r="CN48" s="10"/>
      <c r="CO48" s="11">
        <v>0</v>
      </c>
      <c r="CP48" s="10"/>
      <c r="CQ48" s="10"/>
      <c r="CR48" s="11">
        <v>0</v>
      </c>
      <c r="CS48" s="10"/>
      <c r="CT48" s="10"/>
      <c r="CU48" s="11">
        <v>0</v>
      </c>
      <c r="CV48" s="10"/>
      <c r="CW48" s="10"/>
      <c r="CX48" s="11">
        <v>0</v>
      </c>
      <c r="CY48" s="10"/>
      <c r="CZ48" s="10"/>
      <c r="DA48" s="11">
        <v>0</v>
      </c>
      <c r="DB48" s="10">
        <v>3500000</v>
      </c>
      <c r="DC48" s="10">
        <f t="shared" si="118"/>
        <v>9177200</v>
      </c>
      <c r="DD48" s="13">
        <f t="shared" si="119"/>
        <v>2.6220571428571429</v>
      </c>
      <c r="DE48" s="14"/>
    </row>
    <row r="49" spans="1:109" x14ac:dyDescent="0.35">
      <c r="A49" s="8" t="s">
        <v>154</v>
      </c>
      <c r="B49" s="9" t="s">
        <v>74</v>
      </c>
      <c r="C49" s="9" t="s">
        <v>52</v>
      </c>
      <c r="D49" s="9" t="s">
        <v>155</v>
      </c>
      <c r="E49" s="9" t="s">
        <v>54</v>
      </c>
      <c r="F49" s="9" t="s">
        <v>55</v>
      </c>
      <c r="G49" s="10"/>
      <c r="H49" s="10">
        <v>36200</v>
      </c>
      <c r="I49" s="11">
        <v>0</v>
      </c>
      <c r="J49" s="10"/>
      <c r="K49" s="10">
        <v>11000</v>
      </c>
      <c r="L49" s="12">
        <v>0</v>
      </c>
      <c r="M49" s="10"/>
      <c r="N49" s="10">
        <v>12500</v>
      </c>
      <c r="O49" s="11">
        <v>0</v>
      </c>
      <c r="P49" s="10"/>
      <c r="Q49" s="10"/>
      <c r="R49" s="11">
        <v>0</v>
      </c>
      <c r="S49" s="10">
        <v>650000</v>
      </c>
      <c r="T49" s="10">
        <v>400200</v>
      </c>
      <c r="U49" s="11">
        <f t="shared" ref="U49" si="133">T49/S49</f>
        <v>0.61569230769230765</v>
      </c>
      <c r="V49" s="10"/>
      <c r="W49" s="10"/>
      <c r="X49" s="11">
        <v>0</v>
      </c>
      <c r="Y49" s="10"/>
      <c r="Z49" s="10"/>
      <c r="AA49" s="11"/>
      <c r="AB49" s="10">
        <v>90000</v>
      </c>
      <c r="AC49" s="10">
        <v>32375</v>
      </c>
      <c r="AD49" s="11">
        <v>0.35972222222222222</v>
      </c>
      <c r="AE49" s="10">
        <v>100000</v>
      </c>
      <c r="AF49" s="10">
        <v>15000</v>
      </c>
      <c r="AG49" s="11">
        <f t="shared" si="120"/>
        <v>0.15</v>
      </c>
      <c r="AH49" s="10"/>
      <c r="AI49" s="10"/>
      <c r="AJ49" s="11">
        <v>0</v>
      </c>
      <c r="AK49" s="10"/>
      <c r="AL49" s="10"/>
      <c r="AM49" s="11">
        <v>0</v>
      </c>
      <c r="AN49" s="10"/>
      <c r="AO49" s="10"/>
      <c r="AP49" s="11">
        <v>0</v>
      </c>
      <c r="AQ49" s="10">
        <v>350000</v>
      </c>
      <c r="AR49" s="10"/>
      <c r="AS49" s="11">
        <f t="shared" ref="AS49" si="134">AR49/AQ49</f>
        <v>0</v>
      </c>
      <c r="AT49" s="10"/>
      <c r="AU49" s="10">
        <v>92450</v>
      </c>
      <c r="AV49" s="11">
        <v>0</v>
      </c>
      <c r="AW49" s="10"/>
      <c r="AX49" s="10">
        <v>6700</v>
      </c>
      <c r="AY49" s="11">
        <v>0</v>
      </c>
      <c r="AZ49" s="10"/>
      <c r="BA49" s="10"/>
      <c r="BB49" s="11">
        <v>0</v>
      </c>
      <c r="BC49" s="10"/>
      <c r="BD49" s="10"/>
      <c r="BE49" s="11">
        <v>0</v>
      </c>
      <c r="BF49" s="10">
        <v>2800000</v>
      </c>
      <c r="BG49" s="10">
        <f>VLOOKUP(A:A,'[1]2026 Customer Brand Sales'!$A:$BA,53,0)</f>
        <v>1022030</v>
      </c>
      <c r="BH49" s="11">
        <f t="shared" si="114"/>
        <v>0.3650107142857143</v>
      </c>
      <c r="BI49" s="10"/>
      <c r="BJ49" s="10"/>
      <c r="BK49" s="11">
        <v>0</v>
      </c>
      <c r="BL49" s="10">
        <v>200000</v>
      </c>
      <c r="BM49" s="10">
        <v>106150</v>
      </c>
      <c r="BN49" s="11">
        <f t="shared" si="115"/>
        <v>0.53075000000000006</v>
      </c>
      <c r="BO49" s="10"/>
      <c r="BP49" s="10"/>
      <c r="BQ49" s="11">
        <v>0</v>
      </c>
      <c r="BR49" s="10">
        <v>40000</v>
      </c>
      <c r="BS49" s="10"/>
      <c r="BT49" s="11">
        <f t="shared" ref="BT49" si="135">BS49/BR49</f>
        <v>0</v>
      </c>
      <c r="BU49" s="10">
        <v>100000</v>
      </c>
      <c r="BV49" s="10"/>
      <c r="BW49" s="11">
        <f t="shared" ref="BW49" si="136">BV49/BU49</f>
        <v>0</v>
      </c>
      <c r="BX49" s="10"/>
      <c r="BY49" s="10"/>
      <c r="BZ49" s="11">
        <v>0</v>
      </c>
      <c r="CA49" s="10"/>
      <c r="CB49" s="10"/>
      <c r="CC49" s="11">
        <v>0</v>
      </c>
      <c r="CD49" s="10"/>
      <c r="CE49" s="10"/>
      <c r="CF49" s="11">
        <v>0</v>
      </c>
      <c r="CG49" s="10"/>
      <c r="CH49" s="10"/>
      <c r="CI49" s="11">
        <v>0</v>
      </c>
      <c r="CJ49" s="10"/>
      <c r="CK49" s="10"/>
      <c r="CL49" s="11">
        <v>0</v>
      </c>
      <c r="CM49" s="10"/>
      <c r="CN49" s="10"/>
      <c r="CO49" s="11">
        <v>0</v>
      </c>
      <c r="CP49" s="10"/>
      <c r="CQ49" s="10"/>
      <c r="CR49" s="11">
        <v>0</v>
      </c>
      <c r="CS49" s="10"/>
      <c r="CT49" s="10"/>
      <c r="CU49" s="11">
        <v>0</v>
      </c>
      <c r="CV49" s="10"/>
      <c r="CW49" s="10"/>
      <c r="CX49" s="11">
        <v>0</v>
      </c>
      <c r="CY49" s="10"/>
      <c r="CZ49" s="10"/>
      <c r="DA49" s="11">
        <v>0</v>
      </c>
      <c r="DB49" s="10">
        <v>4330000</v>
      </c>
      <c r="DC49" s="10">
        <f t="shared" si="118"/>
        <v>1734605</v>
      </c>
      <c r="DD49" s="13">
        <f t="shared" si="119"/>
        <v>0.40060161662817551</v>
      </c>
      <c r="DE49" s="14"/>
    </row>
    <row r="50" spans="1:109" x14ac:dyDescent="0.35">
      <c r="A50" s="8" t="s">
        <v>156</v>
      </c>
      <c r="B50" s="9" t="s">
        <v>74</v>
      </c>
      <c r="C50" s="9" t="s">
        <v>52</v>
      </c>
      <c r="D50" s="9" t="s">
        <v>157</v>
      </c>
      <c r="E50" s="9" t="s">
        <v>54</v>
      </c>
      <c r="F50" s="9" t="s">
        <v>55</v>
      </c>
      <c r="G50" s="10"/>
      <c r="H50" s="10">
        <v>60500</v>
      </c>
      <c r="I50" s="11">
        <v>0</v>
      </c>
      <c r="J50" s="10"/>
      <c r="K50" s="10"/>
      <c r="L50" s="12">
        <v>0</v>
      </c>
      <c r="M50" s="10">
        <v>1000000</v>
      </c>
      <c r="N50" s="10">
        <v>417500</v>
      </c>
      <c r="O50" s="11">
        <f t="shared" ref="O50" si="137">N50/M50</f>
        <v>0.41749999999999998</v>
      </c>
      <c r="P50" s="10"/>
      <c r="Q50" s="10"/>
      <c r="R50" s="11">
        <v>0</v>
      </c>
      <c r="S50" s="10">
        <v>200000</v>
      </c>
      <c r="T50" s="10"/>
      <c r="U50" s="11">
        <f t="shared" ref="U50" si="138">T50/S50</f>
        <v>0</v>
      </c>
      <c r="V50" s="10"/>
      <c r="W50" s="10"/>
      <c r="X50" s="11">
        <v>0</v>
      </c>
      <c r="Y50" s="10">
        <v>300000</v>
      </c>
      <c r="Z50" s="10">
        <v>32500</v>
      </c>
      <c r="AA50" s="11">
        <f t="shared" ref="AA50:AA53" si="139">Z50/Y50</f>
        <v>0.10833333333333334</v>
      </c>
      <c r="AB50" s="10"/>
      <c r="AC50" s="10">
        <v>11200</v>
      </c>
      <c r="AD50" s="11">
        <v>0</v>
      </c>
      <c r="AE50" s="10"/>
      <c r="AF50" s="10"/>
      <c r="AG50" s="11">
        <v>0</v>
      </c>
      <c r="AH50" s="10"/>
      <c r="AI50" s="10"/>
      <c r="AJ50" s="11">
        <v>0</v>
      </c>
      <c r="AK50" s="10"/>
      <c r="AL50" s="10"/>
      <c r="AM50" s="11">
        <v>0</v>
      </c>
      <c r="AN50" s="10"/>
      <c r="AO50" s="10"/>
      <c r="AP50" s="11">
        <v>0</v>
      </c>
      <c r="AQ50" s="10"/>
      <c r="AR50" s="10"/>
      <c r="AS50" s="11">
        <v>0</v>
      </c>
      <c r="AT50" s="10"/>
      <c r="AU50" s="10">
        <v>34530</v>
      </c>
      <c r="AV50" s="11">
        <v>0</v>
      </c>
      <c r="AW50" s="10"/>
      <c r="AX50" s="10"/>
      <c r="AY50" s="11">
        <v>0</v>
      </c>
      <c r="AZ50" s="10"/>
      <c r="BA50" s="10"/>
      <c r="BB50" s="11">
        <v>0</v>
      </c>
      <c r="BC50" s="10"/>
      <c r="BD50" s="10"/>
      <c r="BE50" s="11">
        <v>0</v>
      </c>
      <c r="BF50" s="10">
        <v>1800000</v>
      </c>
      <c r="BG50" s="10">
        <f>VLOOKUP(A:A,'[1]2026 Customer Brand Sales'!$A:$BA,53,0)</f>
        <v>594740</v>
      </c>
      <c r="BH50" s="11">
        <f t="shared" ref="BH50:BH53" si="140">BG50/BF50</f>
        <v>0.3304111111111111</v>
      </c>
      <c r="BI50" s="10"/>
      <c r="BJ50" s="10">
        <v>17000</v>
      </c>
      <c r="BK50" s="11">
        <v>0</v>
      </c>
      <c r="BL50" s="10"/>
      <c r="BM50" s="10">
        <v>4450</v>
      </c>
      <c r="BN50" s="11">
        <v>0</v>
      </c>
      <c r="BO50" s="10"/>
      <c r="BP50" s="10"/>
      <c r="BQ50" s="11">
        <v>0</v>
      </c>
      <c r="BR50" s="10"/>
      <c r="BS50" s="10"/>
      <c r="BT50" s="11">
        <v>0</v>
      </c>
      <c r="BU50" s="10"/>
      <c r="BV50" s="10"/>
      <c r="BW50" s="11">
        <v>0</v>
      </c>
      <c r="BX50" s="10"/>
      <c r="BY50" s="10"/>
      <c r="BZ50" s="11">
        <v>0</v>
      </c>
      <c r="CA50" s="10"/>
      <c r="CB50" s="10"/>
      <c r="CC50" s="11">
        <v>0</v>
      </c>
      <c r="CD50" s="10"/>
      <c r="CE50" s="10"/>
      <c r="CF50" s="11">
        <v>0</v>
      </c>
      <c r="CG50" s="10"/>
      <c r="CH50" s="10"/>
      <c r="CI50" s="11">
        <v>0</v>
      </c>
      <c r="CJ50" s="10"/>
      <c r="CK50" s="10"/>
      <c r="CL50" s="11">
        <v>0</v>
      </c>
      <c r="CM50" s="10"/>
      <c r="CN50" s="10"/>
      <c r="CO50" s="11">
        <v>0</v>
      </c>
      <c r="CP50" s="10"/>
      <c r="CQ50" s="10"/>
      <c r="CR50" s="11">
        <v>0</v>
      </c>
      <c r="CS50" s="10">
        <v>500000</v>
      </c>
      <c r="CT50" s="10">
        <v>91300</v>
      </c>
      <c r="CU50" s="11">
        <f t="shared" ref="CU50" si="141">CT50/CS50</f>
        <v>0.18260000000000001</v>
      </c>
      <c r="CV50" s="10"/>
      <c r="CW50" s="10"/>
      <c r="CX50" s="11">
        <v>0</v>
      </c>
      <c r="CY50" s="10">
        <v>100000</v>
      </c>
      <c r="CZ50" s="10"/>
      <c r="DA50" s="11">
        <f t="shared" ref="DA50" si="142">CZ50/CY50</f>
        <v>0</v>
      </c>
      <c r="DB50" s="10">
        <v>3900000</v>
      </c>
      <c r="DC50" s="10">
        <f t="shared" si="118"/>
        <v>1263720</v>
      </c>
      <c r="DD50" s="13">
        <f t="shared" ref="DD50:DD53" si="143">DC50/DB50</f>
        <v>0.32403076923076923</v>
      </c>
      <c r="DE50" s="14"/>
    </row>
    <row r="51" spans="1:109" x14ac:dyDescent="0.35">
      <c r="A51" s="8" t="s">
        <v>158</v>
      </c>
      <c r="B51" s="9" t="s">
        <v>74</v>
      </c>
      <c r="C51" s="9" t="s">
        <v>52</v>
      </c>
      <c r="D51" s="9" t="s">
        <v>159</v>
      </c>
      <c r="E51" s="9" t="s">
        <v>54</v>
      </c>
      <c r="F51" s="9" t="s">
        <v>55</v>
      </c>
      <c r="G51" s="10"/>
      <c r="H51" s="10"/>
      <c r="I51" s="11">
        <v>0</v>
      </c>
      <c r="J51" s="10"/>
      <c r="K51" s="10"/>
      <c r="L51" s="12">
        <v>0</v>
      </c>
      <c r="M51" s="10"/>
      <c r="N51" s="10"/>
      <c r="O51" s="11">
        <v>0</v>
      </c>
      <c r="P51" s="10"/>
      <c r="Q51" s="10"/>
      <c r="R51" s="11">
        <v>0</v>
      </c>
      <c r="S51" s="10"/>
      <c r="T51" s="10"/>
      <c r="U51" s="11">
        <v>0</v>
      </c>
      <c r="V51" s="10"/>
      <c r="W51" s="10">
        <v>15400</v>
      </c>
      <c r="X51" s="11">
        <v>0</v>
      </c>
      <c r="Y51" s="10"/>
      <c r="Z51" s="10"/>
      <c r="AA51" s="11"/>
      <c r="AB51" s="10"/>
      <c r="AC51" s="10"/>
      <c r="AD51" s="11">
        <v>0</v>
      </c>
      <c r="AE51" s="10"/>
      <c r="AF51" s="10"/>
      <c r="AG51" s="11">
        <v>0</v>
      </c>
      <c r="AH51" s="10"/>
      <c r="AI51" s="10"/>
      <c r="AJ51" s="11">
        <v>0</v>
      </c>
      <c r="AK51" s="10"/>
      <c r="AL51" s="10"/>
      <c r="AM51" s="11">
        <v>0</v>
      </c>
      <c r="AN51" s="10"/>
      <c r="AO51" s="10"/>
      <c r="AP51" s="11">
        <v>0</v>
      </c>
      <c r="AQ51" s="10"/>
      <c r="AR51" s="10"/>
      <c r="AS51" s="11">
        <v>0</v>
      </c>
      <c r="AT51" s="10"/>
      <c r="AU51" s="10"/>
      <c r="AV51" s="11">
        <v>0</v>
      </c>
      <c r="AW51" s="10"/>
      <c r="AX51" s="10"/>
      <c r="AY51" s="11">
        <v>0</v>
      </c>
      <c r="AZ51" s="10"/>
      <c r="BA51" s="10"/>
      <c r="BB51" s="11">
        <v>0</v>
      </c>
      <c r="BC51" s="10"/>
      <c r="BD51" s="10"/>
      <c r="BE51" s="11">
        <v>0</v>
      </c>
      <c r="BF51" s="10"/>
      <c r="BG51" s="10">
        <f>VLOOKUP(A:A,'[1]2026 Customer Brand Sales'!$A:$BA,53,0)</f>
        <v>266710</v>
      </c>
      <c r="BH51" s="11">
        <v>0</v>
      </c>
      <c r="BI51" s="10"/>
      <c r="BJ51" s="10"/>
      <c r="BK51" s="11">
        <v>0</v>
      </c>
      <c r="BL51" s="10"/>
      <c r="BM51" s="10"/>
      <c r="BN51" s="11">
        <v>0</v>
      </c>
      <c r="BO51" s="10"/>
      <c r="BP51" s="10"/>
      <c r="BQ51" s="11">
        <v>0</v>
      </c>
      <c r="BR51" s="10"/>
      <c r="BS51" s="10"/>
      <c r="BT51" s="11">
        <v>0</v>
      </c>
      <c r="BU51" s="10"/>
      <c r="BV51" s="10"/>
      <c r="BW51" s="11">
        <v>0</v>
      </c>
      <c r="BX51" s="10"/>
      <c r="BY51" s="10"/>
      <c r="BZ51" s="11">
        <v>0</v>
      </c>
      <c r="CA51" s="10"/>
      <c r="CB51" s="10"/>
      <c r="CC51" s="11">
        <v>0</v>
      </c>
      <c r="CD51" s="10"/>
      <c r="CE51" s="10"/>
      <c r="CF51" s="11">
        <v>0</v>
      </c>
      <c r="CG51" s="10"/>
      <c r="CH51" s="10"/>
      <c r="CI51" s="11">
        <v>0</v>
      </c>
      <c r="CJ51" s="10"/>
      <c r="CK51" s="10"/>
      <c r="CL51" s="11">
        <v>0</v>
      </c>
      <c r="CM51" s="10"/>
      <c r="CN51" s="10"/>
      <c r="CO51" s="11">
        <v>0</v>
      </c>
      <c r="CP51" s="10"/>
      <c r="CQ51" s="10"/>
      <c r="CR51" s="11">
        <v>0</v>
      </c>
      <c r="CS51" s="10"/>
      <c r="CT51" s="10"/>
      <c r="CU51" s="11">
        <v>0</v>
      </c>
      <c r="CV51" s="10"/>
      <c r="CW51" s="10"/>
      <c r="CX51" s="11">
        <v>0</v>
      </c>
      <c r="CY51" s="10"/>
      <c r="CZ51" s="10"/>
      <c r="DA51" s="11">
        <v>0</v>
      </c>
      <c r="DB51" s="10"/>
      <c r="DC51" s="10">
        <f t="shared" ref="DC51:DC53" si="144">SUM(H51,K51,N51,Q51,T51,W51,Z51,AC51,AF51,AI51,AL51,AO51,AR51,AU51,AX51,BA51,BD51,BG51,BJ51,BM51,BP51,BS51,BV51,BY51,CB51,CE51,CH51,CK51,CN51,CQ51,CT51,CW51,CZ51)</f>
        <v>282110</v>
      </c>
      <c r="DD51" s="13">
        <v>0</v>
      </c>
      <c r="DE51" s="14"/>
    </row>
    <row r="52" spans="1:109" x14ac:dyDescent="0.35">
      <c r="A52" s="8" t="s">
        <v>161</v>
      </c>
      <c r="B52" s="9" t="s">
        <v>59</v>
      </c>
      <c r="C52" s="9" t="s">
        <v>43</v>
      </c>
      <c r="D52" s="9" t="s">
        <v>162</v>
      </c>
      <c r="E52" s="9" t="s">
        <v>61</v>
      </c>
      <c r="F52" s="9" t="s">
        <v>62</v>
      </c>
      <c r="G52" s="10"/>
      <c r="H52" s="10"/>
      <c r="I52" s="11">
        <v>0</v>
      </c>
      <c r="J52" s="10"/>
      <c r="K52" s="10"/>
      <c r="L52" s="12">
        <v>0</v>
      </c>
      <c r="M52" s="10"/>
      <c r="N52" s="10"/>
      <c r="O52" s="11">
        <v>0</v>
      </c>
      <c r="P52" s="10"/>
      <c r="Q52" s="10"/>
      <c r="R52" s="11">
        <v>0</v>
      </c>
      <c r="S52" s="10"/>
      <c r="T52" s="10"/>
      <c r="U52" s="11">
        <v>0</v>
      </c>
      <c r="V52" s="10"/>
      <c r="W52" s="10"/>
      <c r="X52" s="11">
        <v>0</v>
      </c>
      <c r="Y52" s="10"/>
      <c r="Z52" s="10"/>
      <c r="AA52" s="11"/>
      <c r="AB52" s="10"/>
      <c r="AC52" s="10"/>
      <c r="AD52" s="11">
        <v>0</v>
      </c>
      <c r="AE52" s="10"/>
      <c r="AF52" s="10"/>
      <c r="AG52" s="11">
        <v>0</v>
      </c>
      <c r="AH52" s="10"/>
      <c r="AI52" s="10"/>
      <c r="AJ52" s="11">
        <v>0</v>
      </c>
      <c r="AK52" s="10">
        <v>600000</v>
      </c>
      <c r="AL52" s="10">
        <v>112000</v>
      </c>
      <c r="AM52" s="11">
        <f t="shared" ref="AM52" si="145">AL52/AK52</f>
        <v>0.18666666666666668</v>
      </c>
      <c r="AN52" s="10">
        <v>50000</v>
      </c>
      <c r="AO52" s="10"/>
      <c r="AP52" s="11">
        <f t="shared" ref="AP52" si="146">AO52/AN52</f>
        <v>0</v>
      </c>
      <c r="AQ52" s="10"/>
      <c r="AR52" s="10"/>
      <c r="AS52" s="11">
        <v>0</v>
      </c>
      <c r="AT52" s="10"/>
      <c r="AU52" s="10"/>
      <c r="AV52" s="11">
        <v>0</v>
      </c>
      <c r="AW52" s="10"/>
      <c r="AX52" s="10"/>
      <c r="AY52" s="11">
        <v>0</v>
      </c>
      <c r="AZ52" s="10"/>
      <c r="BA52" s="10"/>
      <c r="BB52" s="11">
        <v>0</v>
      </c>
      <c r="BC52" s="10"/>
      <c r="BD52" s="10"/>
      <c r="BE52" s="11">
        <v>0</v>
      </c>
      <c r="BF52" s="10">
        <v>20500000</v>
      </c>
      <c r="BG52" s="10">
        <f>VLOOKUP(A:A,'[1]2026 Customer Brand Sales'!$A:$BA,53,0)</f>
        <v>16627015</v>
      </c>
      <c r="BH52" s="11">
        <f t="shared" si="140"/>
        <v>0.81107390243902444</v>
      </c>
      <c r="BI52" s="10">
        <v>500000</v>
      </c>
      <c r="BJ52" s="10"/>
      <c r="BK52" s="11">
        <f t="shared" ref="BK52" si="147">BJ52/BI52</f>
        <v>0</v>
      </c>
      <c r="BL52" s="10">
        <v>6000000</v>
      </c>
      <c r="BM52" s="10">
        <v>4345760</v>
      </c>
      <c r="BN52" s="11">
        <f t="shared" ref="BN52:BN53" si="148">BM52/BL52</f>
        <v>0.72429333333333334</v>
      </c>
      <c r="BO52" s="10">
        <v>500000</v>
      </c>
      <c r="BP52" s="10">
        <v>304500</v>
      </c>
      <c r="BQ52" s="11">
        <f t="shared" ref="BQ52" si="149">BP52/BO52</f>
        <v>0.60899999999999999</v>
      </c>
      <c r="BR52" s="10"/>
      <c r="BS52" s="10"/>
      <c r="BT52" s="11">
        <v>0</v>
      </c>
      <c r="BU52" s="10"/>
      <c r="BV52" s="10"/>
      <c r="BW52" s="11">
        <v>0</v>
      </c>
      <c r="BX52" s="10"/>
      <c r="BY52" s="10"/>
      <c r="BZ52" s="11">
        <v>0</v>
      </c>
      <c r="CA52" s="10"/>
      <c r="CB52" s="10"/>
      <c r="CC52" s="11">
        <v>0</v>
      </c>
      <c r="CD52" s="10"/>
      <c r="CE52" s="10"/>
      <c r="CF52" s="11">
        <v>0</v>
      </c>
      <c r="CG52" s="10"/>
      <c r="CH52" s="10"/>
      <c r="CI52" s="11">
        <v>0</v>
      </c>
      <c r="CJ52" s="10"/>
      <c r="CK52" s="10"/>
      <c r="CL52" s="11">
        <v>0</v>
      </c>
      <c r="CM52" s="10"/>
      <c r="CN52" s="10"/>
      <c r="CO52" s="11">
        <v>0</v>
      </c>
      <c r="CP52" s="10"/>
      <c r="CQ52" s="10"/>
      <c r="CR52" s="11">
        <v>0</v>
      </c>
      <c r="CS52" s="10"/>
      <c r="CT52" s="10"/>
      <c r="CU52" s="11">
        <v>0</v>
      </c>
      <c r="CV52" s="10"/>
      <c r="CW52" s="10"/>
      <c r="CX52" s="11">
        <v>0</v>
      </c>
      <c r="CY52" s="10"/>
      <c r="CZ52" s="10"/>
      <c r="DA52" s="11">
        <v>0</v>
      </c>
      <c r="DB52" s="10">
        <v>28150000</v>
      </c>
      <c r="DC52" s="10">
        <f t="shared" si="144"/>
        <v>21389275</v>
      </c>
      <c r="DD52" s="13">
        <f t="shared" si="143"/>
        <v>0.75983214920071052</v>
      </c>
      <c r="DE52" s="14"/>
    </row>
    <row r="53" spans="1:109" x14ac:dyDescent="0.35">
      <c r="A53" s="8" t="s">
        <v>163</v>
      </c>
      <c r="B53" s="9" t="s">
        <v>74</v>
      </c>
      <c r="C53" s="9" t="s">
        <v>52</v>
      </c>
      <c r="D53" s="9" t="s">
        <v>164</v>
      </c>
      <c r="E53" s="9" t="s">
        <v>54</v>
      </c>
      <c r="F53" s="9" t="s">
        <v>55</v>
      </c>
      <c r="G53" s="10"/>
      <c r="H53" s="10">
        <v>36500</v>
      </c>
      <c r="I53" s="11">
        <v>0</v>
      </c>
      <c r="J53" s="10"/>
      <c r="K53" s="10"/>
      <c r="L53" s="12">
        <v>0</v>
      </c>
      <c r="M53" s="10"/>
      <c r="N53" s="10"/>
      <c r="O53" s="11">
        <v>0</v>
      </c>
      <c r="P53" s="10"/>
      <c r="Q53" s="10"/>
      <c r="R53" s="11">
        <v>0</v>
      </c>
      <c r="S53" s="10"/>
      <c r="T53" s="10"/>
      <c r="U53" s="11">
        <v>0</v>
      </c>
      <c r="V53" s="10">
        <v>10000</v>
      </c>
      <c r="W53" s="10"/>
      <c r="X53" s="11">
        <v>0</v>
      </c>
      <c r="Y53" s="10">
        <v>50000</v>
      </c>
      <c r="Z53" s="10"/>
      <c r="AA53" s="11">
        <f t="shared" si="139"/>
        <v>0</v>
      </c>
      <c r="AB53" s="10"/>
      <c r="AC53" s="10"/>
      <c r="AD53" s="11">
        <v>0</v>
      </c>
      <c r="AE53" s="10">
        <v>800000</v>
      </c>
      <c r="AF53" s="10">
        <v>64750</v>
      </c>
      <c r="AG53" s="11">
        <f t="shared" ref="AG53" si="150">AF53/AE53</f>
        <v>8.0937499999999996E-2</v>
      </c>
      <c r="AH53" s="10"/>
      <c r="AI53" s="10"/>
      <c r="AJ53" s="11">
        <v>0</v>
      </c>
      <c r="AK53" s="10"/>
      <c r="AL53" s="10"/>
      <c r="AM53" s="11">
        <v>0</v>
      </c>
      <c r="AN53" s="10"/>
      <c r="AO53" s="10"/>
      <c r="AP53" s="11">
        <v>0</v>
      </c>
      <c r="AQ53" s="10"/>
      <c r="AR53" s="10"/>
      <c r="AS53" s="11">
        <v>0</v>
      </c>
      <c r="AT53" s="10">
        <v>500000</v>
      </c>
      <c r="AU53" s="10">
        <v>34530</v>
      </c>
      <c r="AV53" s="11">
        <f t="shared" ref="AV53" si="151">AU53/AT53</f>
        <v>6.9059999999999996E-2</v>
      </c>
      <c r="AW53" s="10"/>
      <c r="AX53" s="10"/>
      <c r="AY53" s="11">
        <v>0</v>
      </c>
      <c r="AZ53" s="10"/>
      <c r="BA53" s="10"/>
      <c r="BB53" s="11">
        <v>0</v>
      </c>
      <c r="BC53" s="10"/>
      <c r="BD53" s="10"/>
      <c r="BE53" s="11">
        <v>0</v>
      </c>
      <c r="BF53" s="10">
        <v>2800000</v>
      </c>
      <c r="BG53" s="10">
        <f>VLOOKUP(A:A,'[1]2026 Customer Brand Sales'!$A:$BA,53,0)</f>
        <v>963405</v>
      </c>
      <c r="BH53" s="11">
        <f t="shared" si="140"/>
        <v>0.3440732142857143</v>
      </c>
      <c r="BI53" s="10"/>
      <c r="BJ53" s="10">
        <v>42250</v>
      </c>
      <c r="BK53" s="11">
        <v>0</v>
      </c>
      <c r="BL53" s="10">
        <v>300000</v>
      </c>
      <c r="BM53" s="10">
        <v>211540</v>
      </c>
      <c r="BN53" s="11">
        <f t="shared" si="148"/>
        <v>0.70513333333333328</v>
      </c>
      <c r="BO53" s="10"/>
      <c r="BP53" s="10"/>
      <c r="BQ53" s="11">
        <v>0</v>
      </c>
      <c r="BR53" s="10"/>
      <c r="BS53" s="10"/>
      <c r="BT53" s="11">
        <v>0</v>
      </c>
      <c r="BU53" s="10"/>
      <c r="BV53" s="10"/>
      <c r="BW53" s="11">
        <v>0</v>
      </c>
      <c r="BX53" s="10"/>
      <c r="BY53" s="10"/>
      <c r="BZ53" s="11">
        <v>0</v>
      </c>
      <c r="CA53" s="10"/>
      <c r="CB53" s="10"/>
      <c r="CC53" s="11">
        <v>0</v>
      </c>
      <c r="CD53" s="10"/>
      <c r="CE53" s="10"/>
      <c r="CF53" s="11">
        <v>0</v>
      </c>
      <c r="CG53" s="10">
        <v>150000</v>
      </c>
      <c r="CH53" s="10">
        <v>7700</v>
      </c>
      <c r="CI53" s="11">
        <f t="shared" ref="CI53" si="152">CH53/CG53</f>
        <v>5.1333333333333335E-2</v>
      </c>
      <c r="CJ53" s="10"/>
      <c r="CK53" s="10"/>
      <c r="CL53" s="11">
        <v>0</v>
      </c>
      <c r="CM53" s="10"/>
      <c r="CN53" s="10"/>
      <c r="CO53" s="11">
        <v>0</v>
      </c>
      <c r="CP53" s="10">
        <v>50000</v>
      </c>
      <c r="CQ53" s="10">
        <v>27000</v>
      </c>
      <c r="CR53" s="11">
        <f t="shared" ref="CR53" si="153">CQ53/CP53</f>
        <v>0.54</v>
      </c>
      <c r="CS53" s="10"/>
      <c r="CT53" s="10"/>
      <c r="CU53" s="11">
        <v>0</v>
      </c>
      <c r="CV53" s="10"/>
      <c r="CW53" s="10"/>
      <c r="CX53" s="11">
        <v>0</v>
      </c>
      <c r="CY53" s="10"/>
      <c r="CZ53" s="10"/>
      <c r="DA53" s="11">
        <v>0</v>
      </c>
      <c r="DB53" s="10">
        <v>4660000</v>
      </c>
      <c r="DC53" s="10">
        <f t="shared" si="144"/>
        <v>1387675</v>
      </c>
      <c r="DD53" s="13">
        <f t="shared" si="143"/>
        <v>0.2977843347639485</v>
      </c>
      <c r="DE53" s="14"/>
    </row>
    <row r="54" spans="1:109" x14ac:dyDescent="0.35">
      <c r="A54" s="8" t="s">
        <v>165</v>
      </c>
      <c r="B54" s="9" t="s">
        <v>74</v>
      </c>
      <c r="C54" s="9" t="s">
        <v>52</v>
      </c>
      <c r="D54" s="9" t="s">
        <v>166</v>
      </c>
      <c r="E54" s="9" t="s">
        <v>54</v>
      </c>
      <c r="F54" s="9" t="s">
        <v>55</v>
      </c>
      <c r="G54" s="10"/>
      <c r="H54" s="10"/>
      <c r="I54" s="11">
        <v>0</v>
      </c>
      <c r="J54" s="10"/>
      <c r="K54" s="10"/>
      <c r="L54" s="12">
        <v>0</v>
      </c>
      <c r="M54" s="10"/>
      <c r="N54" s="10"/>
      <c r="O54" s="11">
        <v>0</v>
      </c>
      <c r="P54" s="10"/>
      <c r="Q54" s="10"/>
      <c r="R54" s="11">
        <v>0</v>
      </c>
      <c r="S54" s="10"/>
      <c r="T54" s="10">
        <v>300275</v>
      </c>
      <c r="U54" s="11">
        <v>0</v>
      </c>
      <c r="V54" s="10"/>
      <c r="W54" s="10"/>
      <c r="X54" s="11">
        <v>0</v>
      </c>
      <c r="Y54" s="10"/>
      <c r="Z54" s="10"/>
      <c r="AA54" s="11"/>
      <c r="AB54" s="10"/>
      <c r="AC54" s="10"/>
      <c r="AD54" s="11">
        <v>0</v>
      </c>
      <c r="AE54" s="10"/>
      <c r="AF54" s="10"/>
      <c r="AG54" s="11">
        <v>0</v>
      </c>
      <c r="AH54" s="10"/>
      <c r="AI54" s="10"/>
      <c r="AJ54" s="11">
        <v>0</v>
      </c>
      <c r="AK54" s="10"/>
      <c r="AL54" s="10"/>
      <c r="AM54" s="11">
        <v>0</v>
      </c>
      <c r="AN54" s="10"/>
      <c r="AO54" s="10"/>
      <c r="AP54" s="11">
        <v>0</v>
      </c>
      <c r="AQ54" s="10">
        <v>250000</v>
      </c>
      <c r="AR54" s="10"/>
      <c r="AS54" s="11">
        <f t="shared" ref="AS54:AS65" si="154">AR54/AQ54</f>
        <v>0</v>
      </c>
      <c r="AT54" s="10"/>
      <c r="AU54" s="10">
        <v>10500</v>
      </c>
      <c r="AV54" s="11">
        <v>0</v>
      </c>
      <c r="AW54" s="10"/>
      <c r="AX54" s="10"/>
      <c r="AY54" s="11">
        <v>0</v>
      </c>
      <c r="AZ54" s="10"/>
      <c r="BA54" s="10"/>
      <c r="BB54" s="11">
        <v>0</v>
      </c>
      <c r="BC54" s="10"/>
      <c r="BD54" s="10"/>
      <c r="BE54" s="11">
        <v>0</v>
      </c>
      <c r="BF54" s="10">
        <v>1200000</v>
      </c>
      <c r="BG54" s="10">
        <f>VLOOKUP(A:A,'[1]2026 Customer Brand Sales'!$A:$BA,53,0)</f>
        <v>317760</v>
      </c>
      <c r="BH54" s="11">
        <f t="shared" ref="BH54:BH68" si="155">BG54/BF54</f>
        <v>0.26479999999999998</v>
      </c>
      <c r="BI54" s="10"/>
      <c r="BJ54" s="10"/>
      <c r="BK54" s="11">
        <v>0</v>
      </c>
      <c r="BL54" s="10">
        <v>300000</v>
      </c>
      <c r="BM54" s="10">
        <v>54160</v>
      </c>
      <c r="BN54" s="11">
        <f t="shared" ref="BN54:BN67" si="156">BM54/BL54</f>
        <v>0.18053333333333332</v>
      </c>
      <c r="BO54" s="10"/>
      <c r="BP54" s="10"/>
      <c r="BQ54" s="11">
        <v>0</v>
      </c>
      <c r="BR54" s="10"/>
      <c r="BS54" s="10"/>
      <c r="BT54" s="11">
        <v>0</v>
      </c>
      <c r="BU54" s="10"/>
      <c r="BV54" s="10"/>
      <c r="BW54" s="11">
        <v>0</v>
      </c>
      <c r="BX54" s="10"/>
      <c r="BY54" s="10"/>
      <c r="BZ54" s="11">
        <v>0</v>
      </c>
      <c r="CA54" s="10"/>
      <c r="CB54" s="10"/>
      <c r="CC54" s="11">
        <v>0</v>
      </c>
      <c r="CD54" s="10"/>
      <c r="CE54" s="10"/>
      <c r="CF54" s="11">
        <v>0</v>
      </c>
      <c r="CG54" s="10">
        <v>15000</v>
      </c>
      <c r="CH54" s="10"/>
      <c r="CI54" s="11">
        <f t="shared" ref="CI54:CI69" si="157">CH54/CG54</f>
        <v>0</v>
      </c>
      <c r="CJ54" s="10"/>
      <c r="CK54" s="10"/>
      <c r="CL54" s="11">
        <v>0</v>
      </c>
      <c r="CM54" s="10"/>
      <c r="CN54" s="10"/>
      <c r="CO54" s="11">
        <v>0</v>
      </c>
      <c r="CP54" s="10"/>
      <c r="CQ54" s="10"/>
      <c r="CR54" s="11">
        <v>0</v>
      </c>
      <c r="CS54" s="10"/>
      <c r="CT54" s="10">
        <v>38250</v>
      </c>
      <c r="CU54" s="11">
        <v>0</v>
      </c>
      <c r="CV54" s="10"/>
      <c r="CW54" s="10">
        <v>237600</v>
      </c>
      <c r="CX54" s="11">
        <v>0</v>
      </c>
      <c r="CY54" s="10"/>
      <c r="CZ54" s="10"/>
      <c r="DA54" s="11">
        <v>0</v>
      </c>
      <c r="DB54" s="10">
        <v>1765000</v>
      </c>
      <c r="DC54" s="10">
        <f t="shared" ref="DC54:DC71" si="158">SUM(H54,K54,N54,Q54,T54,W54,Z54,AC54,AF54,AI54,AL54,AO54,AR54,AU54,AX54,BA54,BD54,BG54,BJ54,BM54,BP54,BS54,BV54,BY54,CB54,CE54,CH54,CK54,CN54,CQ54,CT54,CW54,CZ54)</f>
        <v>958545</v>
      </c>
      <c r="DD54" s="13">
        <f t="shared" ref="DD54:DD71" si="159">DC54/DB54</f>
        <v>0.54308498583569409</v>
      </c>
      <c r="DE54" s="14"/>
    </row>
    <row r="55" spans="1:109" x14ac:dyDescent="0.35">
      <c r="A55" s="8" t="s">
        <v>167</v>
      </c>
      <c r="B55" s="9" t="s">
        <v>51</v>
      </c>
      <c r="C55" s="9" t="s">
        <v>52</v>
      </c>
      <c r="D55" s="9" t="s">
        <v>168</v>
      </c>
      <c r="E55" s="9" t="s">
        <v>54</v>
      </c>
      <c r="F55" s="9" t="s">
        <v>55</v>
      </c>
      <c r="G55" s="10"/>
      <c r="H55" s="10"/>
      <c r="I55" s="11">
        <v>0</v>
      </c>
      <c r="J55" s="10"/>
      <c r="K55" s="10"/>
      <c r="L55" s="12">
        <v>0</v>
      </c>
      <c r="M55" s="10">
        <v>56000</v>
      </c>
      <c r="N55" s="10"/>
      <c r="O55" s="11">
        <f t="shared" ref="O55:O71" si="160">N55/M55</f>
        <v>0</v>
      </c>
      <c r="P55" s="10"/>
      <c r="Q55" s="10"/>
      <c r="R55" s="11">
        <v>0</v>
      </c>
      <c r="S55" s="10">
        <v>300000</v>
      </c>
      <c r="T55" s="10">
        <v>65420</v>
      </c>
      <c r="U55" s="11">
        <f t="shared" ref="U55:U69" si="161">T55/S55</f>
        <v>0.21806666666666666</v>
      </c>
      <c r="V55" s="10"/>
      <c r="W55" s="10"/>
      <c r="X55" s="11">
        <v>0</v>
      </c>
      <c r="Y55" s="10"/>
      <c r="Z55" s="10"/>
      <c r="AA55" s="11"/>
      <c r="AB55" s="10"/>
      <c r="AC55" s="10"/>
      <c r="AD55" s="11">
        <v>0</v>
      </c>
      <c r="AE55" s="10"/>
      <c r="AF55" s="10"/>
      <c r="AG55" s="11">
        <v>0</v>
      </c>
      <c r="AH55" s="10"/>
      <c r="AI55" s="10"/>
      <c r="AJ55" s="11">
        <v>0</v>
      </c>
      <c r="AK55" s="10"/>
      <c r="AL55" s="10"/>
      <c r="AM55" s="11">
        <v>0</v>
      </c>
      <c r="AN55" s="10"/>
      <c r="AO55" s="10"/>
      <c r="AP55" s="11">
        <v>0</v>
      </c>
      <c r="AQ55" s="10"/>
      <c r="AR55" s="10"/>
      <c r="AS55" s="11">
        <v>0</v>
      </c>
      <c r="AT55" s="10"/>
      <c r="AU55" s="10"/>
      <c r="AV55" s="11">
        <v>0</v>
      </c>
      <c r="AW55" s="10"/>
      <c r="AX55" s="10"/>
      <c r="AY55" s="11">
        <v>0</v>
      </c>
      <c r="AZ55" s="10"/>
      <c r="BA55" s="10"/>
      <c r="BB55" s="11">
        <v>0</v>
      </c>
      <c r="BC55" s="10"/>
      <c r="BD55" s="10"/>
      <c r="BE55" s="11">
        <v>0</v>
      </c>
      <c r="BF55" s="10"/>
      <c r="BG55" s="10"/>
      <c r="BH55" s="11">
        <v>0</v>
      </c>
      <c r="BI55" s="10"/>
      <c r="BJ55" s="10"/>
      <c r="BK55" s="11">
        <v>0</v>
      </c>
      <c r="BL55" s="10"/>
      <c r="BM55" s="10"/>
      <c r="BN55" s="11">
        <v>0</v>
      </c>
      <c r="BO55" s="10"/>
      <c r="BP55" s="10"/>
      <c r="BQ55" s="11">
        <v>0</v>
      </c>
      <c r="BR55" s="10">
        <v>50000</v>
      </c>
      <c r="BS55" s="10"/>
      <c r="BT55" s="11">
        <f t="shared" ref="BT55:BT71" si="162">BS55/BR55</f>
        <v>0</v>
      </c>
      <c r="BU55" s="10">
        <v>25000</v>
      </c>
      <c r="BV55" s="10">
        <v>7000</v>
      </c>
      <c r="BW55" s="11">
        <f t="shared" ref="BW55:BW71" si="163">BV55/BU55</f>
        <v>0.28000000000000003</v>
      </c>
      <c r="BX55" s="10"/>
      <c r="BY55" s="10"/>
      <c r="BZ55" s="11">
        <v>0</v>
      </c>
      <c r="CA55" s="10"/>
      <c r="CB55" s="10"/>
      <c r="CC55" s="11">
        <v>0</v>
      </c>
      <c r="CD55" s="10"/>
      <c r="CE55" s="10"/>
      <c r="CF55" s="11">
        <v>0</v>
      </c>
      <c r="CG55" s="10"/>
      <c r="CH55" s="10"/>
      <c r="CI55" s="11">
        <v>0</v>
      </c>
      <c r="CJ55" s="10"/>
      <c r="CK55" s="10"/>
      <c r="CL55" s="11">
        <v>0</v>
      </c>
      <c r="CM55" s="10"/>
      <c r="CN55" s="10"/>
      <c r="CO55" s="11">
        <v>0</v>
      </c>
      <c r="CP55" s="10"/>
      <c r="CQ55" s="10"/>
      <c r="CR55" s="11">
        <v>0</v>
      </c>
      <c r="CS55" s="10">
        <v>200000</v>
      </c>
      <c r="CT55" s="10"/>
      <c r="CU55" s="11">
        <f t="shared" ref="CU55" si="164">CT55/CS55</f>
        <v>0</v>
      </c>
      <c r="CV55" s="10">
        <v>200000</v>
      </c>
      <c r="CW55" s="10"/>
      <c r="CX55" s="11">
        <f t="shared" ref="CX55" si="165">CW55/CV55</f>
        <v>0</v>
      </c>
      <c r="CY55" s="10"/>
      <c r="CZ55" s="10"/>
      <c r="DA55" s="11">
        <v>0</v>
      </c>
      <c r="DB55" s="10">
        <v>831000</v>
      </c>
      <c r="DC55" s="10">
        <f t="shared" si="158"/>
        <v>72420</v>
      </c>
      <c r="DD55" s="13">
        <f t="shared" si="159"/>
        <v>8.7148014440433214E-2</v>
      </c>
      <c r="DE55" s="14"/>
    </row>
    <row r="56" spans="1:109" x14ac:dyDescent="0.35">
      <c r="A56" s="8" t="s">
        <v>169</v>
      </c>
      <c r="B56" s="9" t="s">
        <v>74</v>
      </c>
      <c r="C56" s="9" t="s">
        <v>52</v>
      </c>
      <c r="D56" s="9" t="s">
        <v>170</v>
      </c>
      <c r="E56" s="9" t="s">
        <v>54</v>
      </c>
      <c r="F56" s="9" t="s">
        <v>55</v>
      </c>
      <c r="G56" s="10"/>
      <c r="H56" s="10">
        <v>36500</v>
      </c>
      <c r="I56" s="11">
        <v>0</v>
      </c>
      <c r="J56" s="10"/>
      <c r="K56" s="10"/>
      <c r="L56" s="12">
        <v>0</v>
      </c>
      <c r="M56" s="10">
        <v>112000</v>
      </c>
      <c r="N56" s="10">
        <v>24250</v>
      </c>
      <c r="O56" s="11">
        <f t="shared" si="160"/>
        <v>0.21651785714285715</v>
      </c>
      <c r="P56" s="10">
        <v>100000</v>
      </c>
      <c r="Q56" s="10"/>
      <c r="R56" s="11">
        <f t="shared" ref="R56:R69" si="166">Q56/P56</f>
        <v>0</v>
      </c>
      <c r="S56" s="10">
        <v>800000</v>
      </c>
      <c r="T56" s="10">
        <v>414875</v>
      </c>
      <c r="U56" s="11">
        <f t="shared" si="161"/>
        <v>0.51859374999999996</v>
      </c>
      <c r="V56" s="10">
        <v>5000</v>
      </c>
      <c r="W56" s="10"/>
      <c r="X56" s="11">
        <v>0</v>
      </c>
      <c r="Y56" s="10">
        <v>300000</v>
      </c>
      <c r="Z56" s="10">
        <v>12800</v>
      </c>
      <c r="AA56" s="11">
        <f t="shared" ref="AA56:AA67" si="167">Z56/Y56</f>
        <v>4.2666666666666665E-2</v>
      </c>
      <c r="AB56" s="10"/>
      <c r="AC56" s="10"/>
      <c r="AD56" s="11">
        <v>0</v>
      </c>
      <c r="AE56" s="10">
        <v>100000</v>
      </c>
      <c r="AF56" s="10">
        <v>5875</v>
      </c>
      <c r="AG56" s="11">
        <f t="shared" ref="AG56:AG68" si="168">AF56/AE56</f>
        <v>5.8749999999999997E-2</v>
      </c>
      <c r="AH56" s="10"/>
      <c r="AI56" s="10"/>
      <c r="AJ56" s="11">
        <v>0</v>
      </c>
      <c r="AK56" s="10"/>
      <c r="AL56" s="10"/>
      <c r="AM56" s="11">
        <v>0</v>
      </c>
      <c r="AN56" s="10">
        <v>50000</v>
      </c>
      <c r="AO56" s="10"/>
      <c r="AP56" s="11">
        <f t="shared" ref="AP56:AP69" si="169">AO56/AN56</f>
        <v>0</v>
      </c>
      <c r="AQ56" s="10"/>
      <c r="AR56" s="10"/>
      <c r="AS56" s="11">
        <v>0</v>
      </c>
      <c r="AT56" s="10"/>
      <c r="AU56" s="10">
        <v>3890</v>
      </c>
      <c r="AV56" s="11">
        <v>0</v>
      </c>
      <c r="AW56" s="10"/>
      <c r="AX56" s="10"/>
      <c r="AY56" s="11">
        <v>0</v>
      </c>
      <c r="AZ56" s="10"/>
      <c r="BA56" s="10"/>
      <c r="BB56" s="11">
        <v>0</v>
      </c>
      <c r="BC56" s="10"/>
      <c r="BD56" s="10"/>
      <c r="BE56" s="11">
        <v>0</v>
      </c>
      <c r="BF56" s="10">
        <v>1500000</v>
      </c>
      <c r="BG56" s="10">
        <f>VLOOKUP(A:A,'[1]2026 Customer Brand Sales'!$A:$BA,53,0)</f>
        <v>313780</v>
      </c>
      <c r="BH56" s="11">
        <f t="shared" si="155"/>
        <v>0.20918666666666666</v>
      </c>
      <c r="BI56" s="10"/>
      <c r="BJ56" s="10">
        <v>28500</v>
      </c>
      <c r="BK56" s="11">
        <v>0</v>
      </c>
      <c r="BL56" s="10"/>
      <c r="BM56" s="10">
        <v>850</v>
      </c>
      <c r="BN56" s="11">
        <v>0</v>
      </c>
      <c r="BO56" s="10"/>
      <c r="BP56" s="10"/>
      <c r="BQ56" s="11">
        <v>0</v>
      </c>
      <c r="BR56" s="10">
        <v>50000</v>
      </c>
      <c r="BS56" s="10"/>
      <c r="BT56" s="11">
        <f t="shared" si="162"/>
        <v>0</v>
      </c>
      <c r="BU56" s="10">
        <v>100000</v>
      </c>
      <c r="BV56" s="10"/>
      <c r="BW56" s="11">
        <f t="shared" si="163"/>
        <v>0</v>
      </c>
      <c r="BX56" s="10"/>
      <c r="BY56" s="10"/>
      <c r="BZ56" s="11">
        <v>0</v>
      </c>
      <c r="CA56" s="10"/>
      <c r="CB56" s="10"/>
      <c r="CC56" s="11">
        <v>0</v>
      </c>
      <c r="CD56" s="10"/>
      <c r="CE56" s="10"/>
      <c r="CF56" s="11">
        <v>0</v>
      </c>
      <c r="CG56" s="10">
        <v>150000</v>
      </c>
      <c r="CH56" s="10">
        <v>24780</v>
      </c>
      <c r="CI56" s="11">
        <f t="shared" si="157"/>
        <v>0.16520000000000001</v>
      </c>
      <c r="CJ56" s="10"/>
      <c r="CK56" s="10"/>
      <c r="CL56" s="11">
        <v>0</v>
      </c>
      <c r="CM56" s="10"/>
      <c r="CN56" s="10"/>
      <c r="CO56" s="11">
        <v>0</v>
      </c>
      <c r="CP56" s="10"/>
      <c r="CQ56" s="10"/>
      <c r="CR56" s="11">
        <v>0</v>
      </c>
      <c r="CS56" s="10"/>
      <c r="CT56" s="10">
        <v>166000</v>
      </c>
      <c r="CU56" s="11">
        <v>0</v>
      </c>
      <c r="CV56" s="10"/>
      <c r="CW56" s="10">
        <v>51000</v>
      </c>
      <c r="CX56" s="11">
        <v>0</v>
      </c>
      <c r="CY56" s="10">
        <v>100000</v>
      </c>
      <c r="CZ56" s="10"/>
      <c r="DA56" s="11">
        <f t="shared" ref="DA56:DA67" si="170">CZ56/CY56</f>
        <v>0</v>
      </c>
      <c r="DB56" s="10">
        <v>3367000</v>
      </c>
      <c r="DC56" s="10">
        <f t="shared" si="158"/>
        <v>1083100</v>
      </c>
      <c r="DD56" s="13">
        <f t="shared" si="159"/>
        <v>0.32168102168102169</v>
      </c>
      <c r="DE56" s="14"/>
    </row>
    <row r="57" spans="1:109" x14ac:dyDescent="0.35">
      <c r="A57" s="8" t="s">
        <v>171</v>
      </c>
      <c r="B57" s="9" t="s">
        <v>172</v>
      </c>
      <c r="C57" s="9" t="s">
        <v>52</v>
      </c>
      <c r="D57" s="9" t="s">
        <v>173</v>
      </c>
      <c r="E57" s="9" t="s">
        <v>54</v>
      </c>
      <c r="F57" s="9" t="s">
        <v>55</v>
      </c>
      <c r="G57" s="10"/>
      <c r="H57" s="10"/>
      <c r="I57" s="11">
        <v>0</v>
      </c>
      <c r="J57" s="10"/>
      <c r="K57" s="10"/>
      <c r="L57" s="12">
        <v>0</v>
      </c>
      <c r="M57" s="10"/>
      <c r="N57" s="10"/>
      <c r="O57" s="11">
        <v>0</v>
      </c>
      <c r="P57" s="10"/>
      <c r="Q57" s="10"/>
      <c r="R57" s="11">
        <v>0</v>
      </c>
      <c r="S57" s="10"/>
      <c r="T57" s="10"/>
      <c r="U57" s="11">
        <v>0</v>
      </c>
      <c r="V57" s="10"/>
      <c r="W57" s="10"/>
      <c r="X57" s="11">
        <v>0</v>
      </c>
      <c r="Y57" s="10"/>
      <c r="Z57" s="10"/>
      <c r="AA57" s="11"/>
      <c r="AB57" s="10"/>
      <c r="AC57" s="10"/>
      <c r="AD57" s="11">
        <v>0</v>
      </c>
      <c r="AE57" s="10"/>
      <c r="AF57" s="10"/>
      <c r="AG57" s="11">
        <v>0</v>
      </c>
      <c r="AH57" s="10"/>
      <c r="AI57" s="10"/>
      <c r="AJ57" s="11">
        <v>0</v>
      </c>
      <c r="AK57" s="10"/>
      <c r="AL57" s="10"/>
      <c r="AM57" s="11">
        <v>0</v>
      </c>
      <c r="AN57" s="10"/>
      <c r="AO57" s="10"/>
      <c r="AP57" s="11">
        <v>0</v>
      </c>
      <c r="AQ57" s="10"/>
      <c r="AR57" s="10"/>
      <c r="AS57" s="11">
        <v>0</v>
      </c>
      <c r="AT57" s="10"/>
      <c r="AU57" s="10"/>
      <c r="AV57" s="11">
        <v>0</v>
      </c>
      <c r="AW57" s="10"/>
      <c r="AX57" s="10"/>
      <c r="AY57" s="11">
        <v>0</v>
      </c>
      <c r="AZ57" s="10"/>
      <c r="BA57" s="10"/>
      <c r="BB57" s="11">
        <v>0</v>
      </c>
      <c r="BC57" s="10"/>
      <c r="BD57" s="10"/>
      <c r="BE57" s="11">
        <v>0</v>
      </c>
      <c r="BF57" s="10"/>
      <c r="BG57" s="10"/>
      <c r="BH57" s="11">
        <v>0</v>
      </c>
      <c r="BI57" s="10"/>
      <c r="BJ57" s="10"/>
      <c r="BK57" s="11">
        <v>0</v>
      </c>
      <c r="BL57" s="10"/>
      <c r="BM57" s="10"/>
      <c r="BN57" s="11">
        <v>0</v>
      </c>
      <c r="BO57" s="10"/>
      <c r="BP57" s="10"/>
      <c r="BQ57" s="11">
        <v>0</v>
      </c>
      <c r="BR57" s="10"/>
      <c r="BS57" s="10"/>
      <c r="BT57" s="11">
        <v>0</v>
      </c>
      <c r="BU57" s="10"/>
      <c r="BV57" s="10"/>
      <c r="BW57" s="11">
        <v>0</v>
      </c>
      <c r="BX57" s="10"/>
      <c r="BY57" s="10"/>
      <c r="BZ57" s="11">
        <v>0</v>
      </c>
      <c r="CA57" s="10"/>
      <c r="CB57" s="10"/>
      <c r="CC57" s="11">
        <v>0</v>
      </c>
      <c r="CD57" s="10"/>
      <c r="CE57" s="10"/>
      <c r="CF57" s="11">
        <v>0</v>
      </c>
      <c r="CG57" s="10"/>
      <c r="CH57" s="10"/>
      <c r="CI57" s="11">
        <v>0</v>
      </c>
      <c r="CJ57" s="10"/>
      <c r="CK57" s="10"/>
      <c r="CL57" s="11">
        <v>0</v>
      </c>
      <c r="CM57" s="10"/>
      <c r="CN57" s="10"/>
      <c r="CO57" s="11">
        <v>0</v>
      </c>
      <c r="CP57" s="10"/>
      <c r="CQ57" s="10"/>
      <c r="CR57" s="11">
        <v>0</v>
      </c>
      <c r="CS57" s="10"/>
      <c r="CT57" s="10"/>
      <c r="CU57" s="11">
        <v>0</v>
      </c>
      <c r="CV57" s="10"/>
      <c r="CW57" s="10"/>
      <c r="CX57" s="11">
        <v>0</v>
      </c>
      <c r="CY57" s="10"/>
      <c r="CZ57" s="10"/>
      <c r="DA57" s="11">
        <v>0</v>
      </c>
      <c r="DB57" s="10"/>
      <c r="DC57" s="10"/>
      <c r="DD57" s="13">
        <v>0</v>
      </c>
      <c r="DE57" s="14"/>
    </row>
    <row r="58" spans="1:109" x14ac:dyDescent="0.35">
      <c r="A58" s="8" t="s">
        <v>174</v>
      </c>
      <c r="B58" s="9" t="s">
        <v>51</v>
      </c>
      <c r="C58" s="9" t="s">
        <v>52</v>
      </c>
      <c r="D58" s="9" t="s">
        <v>175</v>
      </c>
      <c r="E58" s="9" t="s">
        <v>54</v>
      </c>
      <c r="F58" s="9" t="s">
        <v>55</v>
      </c>
      <c r="G58" s="10">
        <v>500000</v>
      </c>
      <c r="H58" s="10">
        <v>302900</v>
      </c>
      <c r="I58" s="11">
        <f t="shared" ref="I58:I68" si="171">H58/G58</f>
        <v>0.60580000000000001</v>
      </c>
      <c r="J58" s="10">
        <v>300000</v>
      </c>
      <c r="K58" s="10"/>
      <c r="L58" s="11">
        <f t="shared" ref="L58:L68" si="172">K58/J58</f>
        <v>0</v>
      </c>
      <c r="M58" s="10"/>
      <c r="N58" s="10"/>
      <c r="O58" s="11">
        <v>0</v>
      </c>
      <c r="P58" s="10"/>
      <c r="Q58" s="10"/>
      <c r="R58" s="11">
        <v>0</v>
      </c>
      <c r="S58" s="10"/>
      <c r="T58" s="10"/>
      <c r="U58" s="11">
        <v>0</v>
      </c>
      <c r="V58" s="10"/>
      <c r="W58" s="10"/>
      <c r="X58" s="11">
        <v>0</v>
      </c>
      <c r="Y58" s="10"/>
      <c r="Z58" s="10"/>
      <c r="AA58" s="11"/>
      <c r="AB58" s="10"/>
      <c r="AC58" s="10"/>
      <c r="AD58" s="11">
        <v>0</v>
      </c>
      <c r="AE58" s="10">
        <v>200000</v>
      </c>
      <c r="AF58" s="10"/>
      <c r="AG58" s="11">
        <f t="shared" si="168"/>
        <v>0</v>
      </c>
      <c r="AH58" s="10"/>
      <c r="AI58" s="10"/>
      <c r="AJ58" s="11">
        <v>0</v>
      </c>
      <c r="AK58" s="10"/>
      <c r="AL58" s="10"/>
      <c r="AM58" s="11">
        <v>0</v>
      </c>
      <c r="AN58" s="10"/>
      <c r="AO58" s="10"/>
      <c r="AP58" s="11">
        <v>0</v>
      </c>
      <c r="AQ58" s="10"/>
      <c r="AR58" s="10"/>
      <c r="AS58" s="11">
        <v>0</v>
      </c>
      <c r="AT58" s="10"/>
      <c r="AU58" s="10"/>
      <c r="AV58" s="11">
        <v>0</v>
      </c>
      <c r="AW58" s="10"/>
      <c r="AX58" s="10"/>
      <c r="AY58" s="11">
        <v>0</v>
      </c>
      <c r="AZ58" s="10"/>
      <c r="BA58" s="10"/>
      <c r="BB58" s="11">
        <v>0</v>
      </c>
      <c r="BC58" s="10">
        <v>57900</v>
      </c>
      <c r="BD58" s="10"/>
      <c r="BE58" s="11">
        <f t="shared" ref="BE58:BE67" si="173">BD58/BC58</f>
        <v>0</v>
      </c>
      <c r="BF58" s="10">
        <v>1500000</v>
      </c>
      <c r="BG58" s="10">
        <f>VLOOKUP(A:A,'[1]2026 Customer Brand Sales'!$A:$BA,53,0)</f>
        <v>496525</v>
      </c>
      <c r="BH58" s="11">
        <f t="shared" si="155"/>
        <v>0.33101666666666668</v>
      </c>
      <c r="BI58" s="10"/>
      <c r="BJ58" s="10"/>
      <c r="BK58" s="11">
        <v>0</v>
      </c>
      <c r="BL58" s="10"/>
      <c r="BM58" s="10">
        <v>3985</v>
      </c>
      <c r="BN58" s="11">
        <v>0</v>
      </c>
      <c r="BO58" s="10">
        <v>250000</v>
      </c>
      <c r="BP58" s="10">
        <v>16165</v>
      </c>
      <c r="BQ58" s="11">
        <f t="shared" ref="BQ58:BQ68" si="174">BP58/BO58</f>
        <v>6.4659999999999995E-2</v>
      </c>
      <c r="BR58" s="10"/>
      <c r="BS58" s="10"/>
      <c r="BT58" s="11">
        <v>0</v>
      </c>
      <c r="BU58" s="10"/>
      <c r="BV58" s="10"/>
      <c r="BW58" s="11">
        <v>0</v>
      </c>
      <c r="BX58" s="10"/>
      <c r="BY58" s="10"/>
      <c r="BZ58" s="11">
        <v>0</v>
      </c>
      <c r="CA58" s="10"/>
      <c r="CB58" s="10"/>
      <c r="CC58" s="11">
        <v>0</v>
      </c>
      <c r="CD58" s="10"/>
      <c r="CE58" s="10"/>
      <c r="CF58" s="11">
        <v>0</v>
      </c>
      <c r="CG58" s="10"/>
      <c r="CH58" s="10"/>
      <c r="CI58" s="11">
        <v>0</v>
      </c>
      <c r="CJ58" s="10"/>
      <c r="CK58" s="10"/>
      <c r="CL58" s="11">
        <v>0</v>
      </c>
      <c r="CM58" s="10"/>
      <c r="CN58" s="10"/>
      <c r="CO58" s="11">
        <v>0</v>
      </c>
      <c r="CP58" s="10"/>
      <c r="CQ58" s="10"/>
      <c r="CR58" s="11">
        <v>0</v>
      </c>
      <c r="CS58" s="10"/>
      <c r="CT58" s="10"/>
      <c r="CU58" s="11">
        <v>0</v>
      </c>
      <c r="CV58" s="10"/>
      <c r="CW58" s="10"/>
      <c r="CX58" s="11">
        <v>0</v>
      </c>
      <c r="CY58" s="10"/>
      <c r="CZ58" s="10"/>
      <c r="DA58" s="11">
        <v>0</v>
      </c>
      <c r="DB58" s="10">
        <v>2807900</v>
      </c>
      <c r="DC58" s="10">
        <f t="shared" si="158"/>
        <v>819575</v>
      </c>
      <c r="DD58" s="13">
        <f t="shared" si="159"/>
        <v>0.29188183339862533</v>
      </c>
      <c r="DE58" s="14"/>
    </row>
    <row r="59" spans="1:109" x14ac:dyDescent="0.35">
      <c r="A59" s="8" t="s">
        <v>176</v>
      </c>
      <c r="B59" s="9" t="s">
        <v>111</v>
      </c>
      <c r="C59" s="9" t="s">
        <v>52</v>
      </c>
      <c r="D59" s="9" t="s">
        <v>177</v>
      </c>
      <c r="E59" s="9" t="s">
        <v>54</v>
      </c>
      <c r="F59" s="9" t="s">
        <v>55</v>
      </c>
      <c r="G59" s="10"/>
      <c r="H59" s="10">
        <v>2800</v>
      </c>
      <c r="I59" s="11">
        <v>0</v>
      </c>
      <c r="J59" s="10"/>
      <c r="K59" s="10"/>
      <c r="L59" s="12">
        <v>0</v>
      </c>
      <c r="M59" s="10">
        <v>1800000</v>
      </c>
      <c r="N59" s="10">
        <v>1054120</v>
      </c>
      <c r="O59" s="11">
        <f t="shared" si="160"/>
        <v>0.58562222222222227</v>
      </c>
      <c r="P59" s="10"/>
      <c r="Q59" s="10"/>
      <c r="R59" s="11">
        <v>0</v>
      </c>
      <c r="S59" s="10">
        <v>100000</v>
      </c>
      <c r="T59" s="10">
        <v>104250</v>
      </c>
      <c r="U59" s="11">
        <f t="shared" si="161"/>
        <v>1.0425</v>
      </c>
      <c r="V59" s="10"/>
      <c r="W59" s="10"/>
      <c r="X59" s="11">
        <v>0</v>
      </c>
      <c r="Y59" s="10"/>
      <c r="Z59" s="10"/>
      <c r="AA59" s="11"/>
      <c r="AB59" s="10"/>
      <c r="AC59" s="10"/>
      <c r="AD59" s="11">
        <v>0</v>
      </c>
      <c r="AE59" s="10"/>
      <c r="AF59" s="10"/>
      <c r="AG59" s="11">
        <v>0</v>
      </c>
      <c r="AH59" s="10"/>
      <c r="AI59" s="10"/>
      <c r="AJ59" s="11">
        <v>0</v>
      </c>
      <c r="AK59" s="10"/>
      <c r="AL59" s="10"/>
      <c r="AM59" s="11">
        <v>0</v>
      </c>
      <c r="AN59" s="10"/>
      <c r="AO59" s="10"/>
      <c r="AP59" s="11">
        <v>0</v>
      </c>
      <c r="AQ59" s="10"/>
      <c r="AR59" s="10"/>
      <c r="AS59" s="11">
        <v>0</v>
      </c>
      <c r="AT59" s="10"/>
      <c r="AU59" s="10"/>
      <c r="AV59" s="11">
        <v>0</v>
      </c>
      <c r="AW59" s="10"/>
      <c r="AX59" s="10"/>
      <c r="AY59" s="11">
        <v>0</v>
      </c>
      <c r="AZ59" s="10"/>
      <c r="BA59" s="10"/>
      <c r="BB59" s="11">
        <v>0</v>
      </c>
      <c r="BC59" s="10"/>
      <c r="BD59" s="10"/>
      <c r="BE59" s="11">
        <v>0</v>
      </c>
      <c r="BF59" s="10">
        <v>400000</v>
      </c>
      <c r="BG59" s="10">
        <f>VLOOKUP(A:A,'[1]2026 Customer Brand Sales'!$A:$BA,53,0)</f>
        <v>20825</v>
      </c>
      <c r="BH59" s="11">
        <f t="shared" si="155"/>
        <v>5.2062499999999998E-2</v>
      </c>
      <c r="BI59" s="10"/>
      <c r="BJ59" s="10"/>
      <c r="BK59" s="11">
        <v>0</v>
      </c>
      <c r="BL59" s="10"/>
      <c r="BM59" s="10"/>
      <c r="BN59" s="11">
        <v>0</v>
      </c>
      <c r="BO59" s="10">
        <v>150000</v>
      </c>
      <c r="BP59" s="10"/>
      <c r="BQ59" s="11">
        <f t="shared" si="174"/>
        <v>0</v>
      </c>
      <c r="BR59" s="10">
        <v>200000</v>
      </c>
      <c r="BS59" s="10"/>
      <c r="BT59" s="11">
        <f t="shared" si="162"/>
        <v>0</v>
      </c>
      <c r="BU59" s="10">
        <v>200000</v>
      </c>
      <c r="BV59" s="10"/>
      <c r="BW59" s="11">
        <f t="shared" si="163"/>
        <v>0</v>
      </c>
      <c r="BX59" s="10"/>
      <c r="BY59" s="10"/>
      <c r="BZ59" s="11">
        <v>0</v>
      </c>
      <c r="CA59" s="10"/>
      <c r="CB59" s="10"/>
      <c r="CC59" s="11">
        <v>0</v>
      </c>
      <c r="CD59" s="10"/>
      <c r="CE59" s="10"/>
      <c r="CF59" s="11">
        <v>0</v>
      </c>
      <c r="CG59" s="10"/>
      <c r="CH59" s="10"/>
      <c r="CI59" s="11">
        <v>0</v>
      </c>
      <c r="CJ59" s="10"/>
      <c r="CK59" s="10"/>
      <c r="CL59" s="11">
        <v>0</v>
      </c>
      <c r="CM59" s="10"/>
      <c r="CN59" s="10"/>
      <c r="CO59" s="11">
        <v>0</v>
      </c>
      <c r="CP59" s="10"/>
      <c r="CQ59" s="10"/>
      <c r="CR59" s="11">
        <v>0</v>
      </c>
      <c r="CS59" s="10"/>
      <c r="CT59" s="10"/>
      <c r="CU59" s="11">
        <v>0</v>
      </c>
      <c r="CV59" s="10"/>
      <c r="CW59" s="10"/>
      <c r="CX59" s="11">
        <v>0</v>
      </c>
      <c r="CY59" s="10"/>
      <c r="CZ59" s="10"/>
      <c r="DA59" s="11">
        <v>0</v>
      </c>
      <c r="DB59" s="10">
        <v>2850000</v>
      </c>
      <c r="DC59" s="10">
        <f t="shared" si="158"/>
        <v>1181995</v>
      </c>
      <c r="DD59" s="13">
        <f t="shared" si="159"/>
        <v>0.41473508771929823</v>
      </c>
      <c r="DE59" s="14"/>
    </row>
    <row r="60" spans="1:109" x14ac:dyDescent="0.35">
      <c r="A60" s="8" t="s">
        <v>178</v>
      </c>
      <c r="B60" s="9" t="s">
        <v>111</v>
      </c>
      <c r="C60" s="9" t="s">
        <v>52</v>
      </c>
      <c r="D60" s="9" t="s">
        <v>179</v>
      </c>
      <c r="E60" s="9" t="s">
        <v>54</v>
      </c>
      <c r="F60" s="9" t="s">
        <v>55</v>
      </c>
      <c r="G60" s="10">
        <v>1000000</v>
      </c>
      <c r="H60" s="10">
        <v>232750</v>
      </c>
      <c r="I60" s="11">
        <f t="shared" si="171"/>
        <v>0.23275000000000001</v>
      </c>
      <c r="J60" s="10">
        <v>300000</v>
      </c>
      <c r="K60" s="10">
        <v>635000</v>
      </c>
      <c r="L60" s="11">
        <f t="shared" si="172"/>
        <v>2.1166666666666667</v>
      </c>
      <c r="M60" s="10"/>
      <c r="N60" s="10"/>
      <c r="O60" s="11">
        <v>0</v>
      </c>
      <c r="P60" s="10"/>
      <c r="Q60" s="10"/>
      <c r="R60" s="11">
        <v>0</v>
      </c>
      <c r="S60" s="10"/>
      <c r="T60" s="10"/>
      <c r="U60" s="11">
        <v>0</v>
      </c>
      <c r="V60" s="10"/>
      <c r="W60" s="10"/>
      <c r="X60" s="11">
        <v>0</v>
      </c>
      <c r="Y60" s="10"/>
      <c r="Z60" s="10"/>
      <c r="AA60" s="11"/>
      <c r="AB60" s="10"/>
      <c r="AC60" s="10"/>
      <c r="AD60" s="11">
        <v>0</v>
      </c>
      <c r="AE60" s="10"/>
      <c r="AF60" s="10"/>
      <c r="AG60" s="11">
        <v>0</v>
      </c>
      <c r="AH60" s="10"/>
      <c r="AI60" s="10"/>
      <c r="AJ60" s="11">
        <v>0</v>
      </c>
      <c r="AK60" s="10">
        <v>3000000</v>
      </c>
      <c r="AL60" s="10">
        <v>612000</v>
      </c>
      <c r="AM60" s="11">
        <f t="shared" ref="AM60:AM67" si="175">AL60/AK60</f>
        <v>0.20399999999999999</v>
      </c>
      <c r="AN60" s="10"/>
      <c r="AO60" s="10"/>
      <c r="AP60" s="11">
        <v>0</v>
      </c>
      <c r="AQ60" s="10"/>
      <c r="AR60" s="10"/>
      <c r="AS60" s="11">
        <v>0</v>
      </c>
      <c r="AT60" s="10">
        <v>1000000</v>
      </c>
      <c r="AU60" s="10"/>
      <c r="AV60" s="11">
        <f t="shared" ref="AV60:AV68" si="176">AU60/AT60</f>
        <v>0</v>
      </c>
      <c r="AW60" s="10">
        <v>1000000</v>
      </c>
      <c r="AX60" s="10"/>
      <c r="AY60" s="11">
        <f t="shared" ref="AY60" si="177">AX60/AW60</f>
        <v>0</v>
      </c>
      <c r="AZ60" s="10"/>
      <c r="BA60" s="10"/>
      <c r="BB60" s="11">
        <v>0</v>
      </c>
      <c r="BC60" s="10"/>
      <c r="BD60" s="10"/>
      <c r="BE60" s="11">
        <v>0</v>
      </c>
      <c r="BF60" s="10">
        <v>19750000</v>
      </c>
      <c r="BG60" s="10">
        <f>VLOOKUP(A:A,'[1]2026 Customer Brand Sales'!$A:$BA,53,0)</f>
        <v>5494000</v>
      </c>
      <c r="BH60" s="11">
        <f t="shared" si="155"/>
        <v>0.27817721518987343</v>
      </c>
      <c r="BI60" s="10">
        <v>250000</v>
      </c>
      <c r="BJ60" s="10">
        <v>11200</v>
      </c>
      <c r="BK60" s="11">
        <f t="shared" ref="BK60:BK68" si="178">BJ60/BI60</f>
        <v>4.48E-2</v>
      </c>
      <c r="BL60" s="10">
        <v>3000000</v>
      </c>
      <c r="BM60" s="10">
        <v>1449105</v>
      </c>
      <c r="BN60" s="11">
        <f t="shared" si="156"/>
        <v>0.48303499999999999</v>
      </c>
      <c r="BO60" s="10">
        <v>500000</v>
      </c>
      <c r="BP60" s="10">
        <v>202800</v>
      </c>
      <c r="BQ60" s="11">
        <f t="shared" si="174"/>
        <v>0.40560000000000002</v>
      </c>
      <c r="BR60" s="10"/>
      <c r="BS60" s="10"/>
      <c r="BT60" s="11">
        <v>0</v>
      </c>
      <c r="BU60" s="10"/>
      <c r="BV60" s="10"/>
      <c r="BW60" s="11">
        <v>0</v>
      </c>
      <c r="BX60" s="10"/>
      <c r="BY60" s="10"/>
      <c r="BZ60" s="11">
        <v>0</v>
      </c>
      <c r="CA60" s="10"/>
      <c r="CB60" s="10"/>
      <c r="CC60" s="11">
        <v>0</v>
      </c>
      <c r="CD60" s="10"/>
      <c r="CE60" s="10"/>
      <c r="CF60" s="11">
        <v>0</v>
      </c>
      <c r="CG60" s="10"/>
      <c r="CH60" s="10">
        <v>3900</v>
      </c>
      <c r="CI60" s="11">
        <v>0</v>
      </c>
      <c r="CJ60" s="10"/>
      <c r="CK60" s="10"/>
      <c r="CL60" s="11">
        <v>0</v>
      </c>
      <c r="CM60" s="10"/>
      <c r="CN60" s="10"/>
      <c r="CO60" s="11">
        <v>0</v>
      </c>
      <c r="CP60" s="10"/>
      <c r="CQ60" s="10"/>
      <c r="CR60" s="11">
        <v>0</v>
      </c>
      <c r="CS60" s="10"/>
      <c r="CT60" s="10"/>
      <c r="CU60" s="11">
        <v>0</v>
      </c>
      <c r="CV60" s="10"/>
      <c r="CW60" s="10"/>
      <c r="CX60" s="11">
        <v>0</v>
      </c>
      <c r="CY60" s="10"/>
      <c r="CZ60" s="10"/>
      <c r="DA60" s="11">
        <v>0</v>
      </c>
      <c r="DB60" s="10">
        <v>29800000</v>
      </c>
      <c r="DC60" s="10">
        <f t="shared" si="158"/>
        <v>8640755</v>
      </c>
      <c r="DD60" s="13">
        <f t="shared" si="159"/>
        <v>0.28995822147651007</v>
      </c>
      <c r="DE60" s="14"/>
    </row>
    <row r="61" spans="1:109" x14ac:dyDescent="0.35">
      <c r="A61" s="8" t="s">
        <v>180</v>
      </c>
      <c r="B61" s="9" t="s">
        <v>172</v>
      </c>
      <c r="C61" s="9" t="s">
        <v>52</v>
      </c>
      <c r="D61" s="9" t="s">
        <v>181</v>
      </c>
      <c r="E61" s="9" t="s">
        <v>54</v>
      </c>
      <c r="F61" s="9" t="s">
        <v>55</v>
      </c>
      <c r="G61" s="10"/>
      <c r="H61" s="10">
        <v>24200</v>
      </c>
      <c r="I61" s="11">
        <v>0</v>
      </c>
      <c r="J61" s="10"/>
      <c r="K61" s="10"/>
      <c r="L61" s="12">
        <v>0</v>
      </c>
      <c r="M61" s="10">
        <v>50000</v>
      </c>
      <c r="N61" s="10"/>
      <c r="O61" s="11">
        <f t="shared" si="160"/>
        <v>0</v>
      </c>
      <c r="P61" s="10">
        <v>100000</v>
      </c>
      <c r="Q61" s="10"/>
      <c r="R61" s="11">
        <f t="shared" si="166"/>
        <v>0</v>
      </c>
      <c r="S61" s="10"/>
      <c r="T61" s="10"/>
      <c r="U61" s="11">
        <v>0</v>
      </c>
      <c r="V61" s="10">
        <v>350000</v>
      </c>
      <c r="W61" s="10">
        <v>159900</v>
      </c>
      <c r="X61" s="11">
        <v>0.45685714285714285</v>
      </c>
      <c r="Y61" s="10"/>
      <c r="Z61" s="10"/>
      <c r="AA61" s="11"/>
      <c r="AB61" s="10">
        <v>25000</v>
      </c>
      <c r="AC61" s="10"/>
      <c r="AD61" s="11">
        <v>0</v>
      </c>
      <c r="AE61" s="10"/>
      <c r="AF61" s="10"/>
      <c r="AG61" s="11">
        <v>0</v>
      </c>
      <c r="AH61" s="10"/>
      <c r="AI61" s="10"/>
      <c r="AJ61" s="11">
        <v>0</v>
      </c>
      <c r="AK61" s="10"/>
      <c r="AL61" s="10"/>
      <c r="AM61" s="11">
        <v>0</v>
      </c>
      <c r="AN61" s="10"/>
      <c r="AO61" s="10"/>
      <c r="AP61" s="11">
        <v>0</v>
      </c>
      <c r="AQ61" s="10"/>
      <c r="AR61" s="10"/>
      <c r="AS61" s="11">
        <v>0</v>
      </c>
      <c r="AT61" s="10"/>
      <c r="AU61" s="10">
        <v>24900</v>
      </c>
      <c r="AV61" s="11">
        <v>0</v>
      </c>
      <c r="AW61" s="10"/>
      <c r="AX61" s="10"/>
      <c r="AY61" s="11">
        <v>0</v>
      </c>
      <c r="AZ61" s="10"/>
      <c r="BA61" s="10"/>
      <c r="BB61" s="11">
        <v>0</v>
      </c>
      <c r="BC61" s="10"/>
      <c r="BD61" s="10"/>
      <c r="BE61" s="11">
        <v>0</v>
      </c>
      <c r="BF61" s="10"/>
      <c r="BG61" s="10"/>
      <c r="BH61" s="11">
        <v>0</v>
      </c>
      <c r="BI61" s="10"/>
      <c r="BJ61" s="10"/>
      <c r="BK61" s="11">
        <v>0</v>
      </c>
      <c r="BL61" s="10"/>
      <c r="BM61" s="10"/>
      <c r="BN61" s="11">
        <v>0</v>
      </c>
      <c r="BO61" s="10"/>
      <c r="BP61" s="10"/>
      <c r="BQ61" s="11">
        <v>0</v>
      </c>
      <c r="BR61" s="10"/>
      <c r="BS61" s="10"/>
      <c r="BT61" s="11">
        <v>0</v>
      </c>
      <c r="BU61" s="10"/>
      <c r="BV61" s="10"/>
      <c r="BW61" s="11">
        <v>0</v>
      </c>
      <c r="BX61" s="10"/>
      <c r="BY61" s="10"/>
      <c r="BZ61" s="11">
        <v>0</v>
      </c>
      <c r="CA61" s="10"/>
      <c r="CB61" s="10"/>
      <c r="CC61" s="11">
        <v>0</v>
      </c>
      <c r="CD61" s="10"/>
      <c r="CE61" s="10"/>
      <c r="CF61" s="11">
        <v>0</v>
      </c>
      <c r="CG61" s="10"/>
      <c r="CH61" s="10"/>
      <c r="CI61" s="11">
        <v>0</v>
      </c>
      <c r="CJ61" s="10"/>
      <c r="CK61" s="10"/>
      <c r="CL61" s="11">
        <v>0</v>
      </c>
      <c r="CM61" s="10"/>
      <c r="CN61" s="10"/>
      <c r="CO61" s="11">
        <v>0</v>
      </c>
      <c r="CP61" s="10"/>
      <c r="CQ61" s="10"/>
      <c r="CR61" s="11">
        <v>0</v>
      </c>
      <c r="CS61" s="10"/>
      <c r="CT61" s="10"/>
      <c r="CU61" s="11">
        <v>0</v>
      </c>
      <c r="CV61" s="10"/>
      <c r="CW61" s="10"/>
      <c r="CX61" s="11">
        <v>0</v>
      </c>
      <c r="CY61" s="10"/>
      <c r="CZ61" s="10"/>
      <c r="DA61" s="11">
        <v>0</v>
      </c>
      <c r="DB61" s="10">
        <v>525000</v>
      </c>
      <c r="DC61" s="10">
        <f t="shared" si="158"/>
        <v>209000</v>
      </c>
      <c r="DD61" s="13">
        <f t="shared" si="159"/>
        <v>0.39809523809523811</v>
      </c>
      <c r="DE61" s="14"/>
    </row>
    <row r="62" spans="1:109" x14ac:dyDescent="0.35">
      <c r="A62" s="8" t="s">
        <v>182</v>
      </c>
      <c r="B62" s="9" t="s">
        <v>51</v>
      </c>
      <c r="C62" s="9" t="s">
        <v>52</v>
      </c>
      <c r="D62" s="9" t="s">
        <v>183</v>
      </c>
      <c r="E62" s="9" t="s">
        <v>54</v>
      </c>
      <c r="F62" s="9" t="s">
        <v>55</v>
      </c>
      <c r="G62" s="10"/>
      <c r="H62" s="10"/>
      <c r="I62" s="11">
        <v>0</v>
      </c>
      <c r="J62" s="10"/>
      <c r="K62" s="10"/>
      <c r="L62" s="12">
        <v>0</v>
      </c>
      <c r="M62" s="10">
        <v>2800000</v>
      </c>
      <c r="N62" s="10">
        <v>958250</v>
      </c>
      <c r="O62" s="11">
        <f t="shared" si="160"/>
        <v>0.34223214285714287</v>
      </c>
      <c r="P62" s="10"/>
      <c r="Q62" s="10"/>
      <c r="R62" s="11">
        <v>0</v>
      </c>
      <c r="S62" s="10"/>
      <c r="T62" s="10"/>
      <c r="U62" s="11">
        <v>0</v>
      </c>
      <c r="V62" s="10"/>
      <c r="W62" s="10"/>
      <c r="X62" s="11">
        <v>0</v>
      </c>
      <c r="Y62" s="10">
        <v>60000</v>
      </c>
      <c r="Z62" s="10"/>
      <c r="AA62" s="11">
        <f t="shared" si="167"/>
        <v>0</v>
      </c>
      <c r="AB62" s="10"/>
      <c r="AC62" s="10"/>
      <c r="AD62" s="11">
        <v>0</v>
      </c>
      <c r="AE62" s="10"/>
      <c r="AF62" s="10"/>
      <c r="AG62" s="11">
        <v>0</v>
      </c>
      <c r="AH62" s="10"/>
      <c r="AI62" s="10"/>
      <c r="AJ62" s="11">
        <v>0</v>
      </c>
      <c r="AK62" s="10"/>
      <c r="AL62" s="10"/>
      <c r="AM62" s="11">
        <v>0</v>
      </c>
      <c r="AN62" s="10"/>
      <c r="AO62" s="10"/>
      <c r="AP62" s="11">
        <v>0</v>
      </c>
      <c r="AQ62" s="10"/>
      <c r="AR62" s="10"/>
      <c r="AS62" s="11">
        <v>0</v>
      </c>
      <c r="AT62" s="10"/>
      <c r="AU62" s="10"/>
      <c r="AV62" s="11">
        <v>0</v>
      </c>
      <c r="AW62" s="10"/>
      <c r="AX62" s="10"/>
      <c r="AY62" s="11">
        <v>0</v>
      </c>
      <c r="AZ62" s="10"/>
      <c r="BA62" s="10"/>
      <c r="BB62" s="11">
        <v>0</v>
      </c>
      <c r="BC62" s="10"/>
      <c r="BD62" s="10"/>
      <c r="BE62" s="11">
        <v>0</v>
      </c>
      <c r="BF62" s="10">
        <v>1000000</v>
      </c>
      <c r="BG62" s="10">
        <f>VLOOKUP(A:A,'[1]2026 Customer Brand Sales'!$A:$BA,53,0)</f>
        <v>637545</v>
      </c>
      <c r="BH62" s="11">
        <f t="shared" si="155"/>
        <v>0.63754500000000003</v>
      </c>
      <c r="BI62" s="10"/>
      <c r="BJ62" s="10"/>
      <c r="BK62" s="11">
        <v>0</v>
      </c>
      <c r="BL62" s="10"/>
      <c r="BM62" s="10">
        <v>1945</v>
      </c>
      <c r="BN62" s="11">
        <v>0</v>
      </c>
      <c r="BO62" s="10"/>
      <c r="BP62" s="10"/>
      <c r="BQ62" s="11">
        <v>0</v>
      </c>
      <c r="BR62" s="10"/>
      <c r="BS62" s="10">
        <v>295200</v>
      </c>
      <c r="BT62" s="11">
        <v>0</v>
      </c>
      <c r="BU62" s="10"/>
      <c r="BV62" s="10"/>
      <c r="BW62" s="11">
        <v>0</v>
      </c>
      <c r="BX62" s="10"/>
      <c r="BY62" s="10"/>
      <c r="BZ62" s="11">
        <v>0</v>
      </c>
      <c r="CA62" s="10"/>
      <c r="CB62" s="10"/>
      <c r="CC62" s="11">
        <v>0</v>
      </c>
      <c r="CD62" s="10"/>
      <c r="CE62" s="10"/>
      <c r="CF62" s="11">
        <v>0</v>
      </c>
      <c r="CG62" s="10"/>
      <c r="CH62" s="10"/>
      <c r="CI62" s="11">
        <v>0</v>
      </c>
      <c r="CJ62" s="10"/>
      <c r="CK62" s="10"/>
      <c r="CL62" s="11">
        <v>0</v>
      </c>
      <c r="CM62" s="10"/>
      <c r="CN62" s="10"/>
      <c r="CO62" s="11">
        <v>0</v>
      </c>
      <c r="CP62" s="10"/>
      <c r="CQ62" s="10"/>
      <c r="CR62" s="11">
        <v>0</v>
      </c>
      <c r="CS62" s="10"/>
      <c r="CT62" s="10"/>
      <c r="CU62" s="11">
        <v>0</v>
      </c>
      <c r="CV62" s="10"/>
      <c r="CW62" s="10"/>
      <c r="CX62" s="11">
        <v>0</v>
      </c>
      <c r="CY62" s="10"/>
      <c r="CZ62" s="10"/>
      <c r="DA62" s="11">
        <v>0</v>
      </c>
      <c r="DB62" s="10">
        <v>3860000</v>
      </c>
      <c r="DC62" s="10">
        <f t="shared" si="158"/>
        <v>1892940</v>
      </c>
      <c r="DD62" s="13">
        <f t="shared" si="159"/>
        <v>0.49039896373056996</v>
      </c>
      <c r="DE62" s="14"/>
    </row>
    <row r="63" spans="1:109" x14ac:dyDescent="0.35">
      <c r="A63" s="8" t="s">
        <v>184</v>
      </c>
      <c r="B63" s="9" t="s">
        <v>51</v>
      </c>
      <c r="C63" s="9" t="s">
        <v>52</v>
      </c>
      <c r="D63" s="9" t="s">
        <v>185</v>
      </c>
      <c r="E63" s="9" t="s">
        <v>54</v>
      </c>
      <c r="F63" s="9" t="s">
        <v>55</v>
      </c>
      <c r="G63" s="10"/>
      <c r="H63" s="10"/>
      <c r="I63" s="11">
        <v>0</v>
      </c>
      <c r="J63" s="10"/>
      <c r="K63" s="10"/>
      <c r="L63" s="12">
        <v>0</v>
      </c>
      <c r="M63" s="10"/>
      <c r="N63" s="10">
        <v>57000</v>
      </c>
      <c r="O63" s="11">
        <v>0</v>
      </c>
      <c r="P63" s="10"/>
      <c r="Q63" s="10"/>
      <c r="R63" s="11">
        <v>0</v>
      </c>
      <c r="S63" s="10">
        <v>8000000</v>
      </c>
      <c r="T63" s="10">
        <v>696000</v>
      </c>
      <c r="U63" s="11">
        <f t="shared" si="161"/>
        <v>8.6999999999999994E-2</v>
      </c>
      <c r="V63" s="10"/>
      <c r="W63" s="10"/>
      <c r="X63" s="11">
        <v>0</v>
      </c>
      <c r="Y63" s="10"/>
      <c r="Z63" s="10"/>
      <c r="AA63" s="11"/>
      <c r="AB63" s="10">
        <v>100000</v>
      </c>
      <c r="AC63" s="10"/>
      <c r="AD63" s="11">
        <v>0</v>
      </c>
      <c r="AE63" s="10">
        <v>1200000</v>
      </c>
      <c r="AF63" s="10"/>
      <c r="AG63" s="11">
        <f t="shared" si="168"/>
        <v>0</v>
      </c>
      <c r="AH63" s="10"/>
      <c r="AI63" s="10"/>
      <c r="AJ63" s="11">
        <v>0</v>
      </c>
      <c r="AK63" s="10">
        <v>200000</v>
      </c>
      <c r="AL63" s="10"/>
      <c r="AM63" s="11">
        <f t="shared" si="175"/>
        <v>0</v>
      </c>
      <c r="AN63" s="10"/>
      <c r="AO63" s="10"/>
      <c r="AP63" s="11">
        <v>0</v>
      </c>
      <c r="AQ63" s="10"/>
      <c r="AR63" s="10"/>
      <c r="AS63" s="11">
        <v>0</v>
      </c>
      <c r="AT63" s="10"/>
      <c r="AU63" s="10"/>
      <c r="AV63" s="11">
        <v>0</v>
      </c>
      <c r="AW63" s="10"/>
      <c r="AX63" s="10"/>
      <c r="AY63" s="11">
        <v>0</v>
      </c>
      <c r="AZ63" s="10"/>
      <c r="BA63" s="10">
        <v>230000</v>
      </c>
      <c r="BB63" s="11">
        <v>0</v>
      </c>
      <c r="BC63" s="10"/>
      <c r="BD63" s="10"/>
      <c r="BE63" s="11">
        <v>0</v>
      </c>
      <c r="BF63" s="10">
        <v>6200000</v>
      </c>
      <c r="BG63" s="10">
        <f>VLOOKUP(A:A,'[1]2026 Customer Brand Sales'!$A:$BA,53,0)</f>
        <v>52625</v>
      </c>
      <c r="BH63" s="11">
        <f t="shared" si="155"/>
        <v>8.4879032258064514E-3</v>
      </c>
      <c r="BI63" s="10">
        <v>300000</v>
      </c>
      <c r="BJ63" s="10"/>
      <c r="BK63" s="11">
        <f t="shared" si="178"/>
        <v>0</v>
      </c>
      <c r="BL63" s="10">
        <v>600000</v>
      </c>
      <c r="BM63" s="10">
        <v>850</v>
      </c>
      <c r="BN63" s="11">
        <f t="shared" si="156"/>
        <v>1.4166666666666668E-3</v>
      </c>
      <c r="BO63" s="10"/>
      <c r="BP63" s="10"/>
      <c r="BQ63" s="11">
        <v>0</v>
      </c>
      <c r="BR63" s="10">
        <v>700000</v>
      </c>
      <c r="BS63" s="10">
        <v>332700</v>
      </c>
      <c r="BT63" s="11">
        <f t="shared" si="162"/>
        <v>0.47528571428571431</v>
      </c>
      <c r="BU63" s="10">
        <v>500000</v>
      </c>
      <c r="BV63" s="10"/>
      <c r="BW63" s="11">
        <f t="shared" si="163"/>
        <v>0</v>
      </c>
      <c r="BX63" s="10"/>
      <c r="BY63" s="10"/>
      <c r="BZ63" s="11">
        <v>0</v>
      </c>
      <c r="CA63" s="10"/>
      <c r="CB63" s="10"/>
      <c r="CC63" s="11">
        <v>0</v>
      </c>
      <c r="CD63" s="10"/>
      <c r="CE63" s="10"/>
      <c r="CF63" s="11">
        <v>0</v>
      </c>
      <c r="CG63" s="10">
        <v>1500000</v>
      </c>
      <c r="CH63" s="10">
        <v>184800</v>
      </c>
      <c r="CI63" s="11">
        <f t="shared" si="157"/>
        <v>0.1232</v>
      </c>
      <c r="CJ63" s="10"/>
      <c r="CK63" s="10"/>
      <c r="CL63" s="11">
        <v>0</v>
      </c>
      <c r="CM63" s="10"/>
      <c r="CN63" s="10"/>
      <c r="CO63" s="11">
        <v>0</v>
      </c>
      <c r="CP63" s="10"/>
      <c r="CQ63" s="10"/>
      <c r="CR63" s="11">
        <v>0</v>
      </c>
      <c r="CS63" s="10"/>
      <c r="CT63" s="10"/>
      <c r="CU63" s="11">
        <v>0</v>
      </c>
      <c r="CV63" s="10"/>
      <c r="CW63" s="10"/>
      <c r="CX63" s="11">
        <v>0</v>
      </c>
      <c r="CY63" s="10">
        <v>400000</v>
      </c>
      <c r="CZ63" s="10"/>
      <c r="DA63" s="11">
        <f t="shared" si="170"/>
        <v>0</v>
      </c>
      <c r="DB63" s="10">
        <v>19700000</v>
      </c>
      <c r="DC63" s="10">
        <f t="shared" si="158"/>
        <v>1553975</v>
      </c>
      <c r="DD63" s="13">
        <f t="shared" si="159"/>
        <v>7.8881979695431467E-2</v>
      </c>
      <c r="DE63" s="14"/>
    </row>
    <row r="64" spans="1:109" x14ac:dyDescent="0.35">
      <c r="A64" s="8" t="s">
        <v>186</v>
      </c>
      <c r="B64" s="9" t="s">
        <v>42</v>
      </c>
      <c r="C64" s="9" t="s">
        <v>43</v>
      </c>
      <c r="D64" s="9" t="s">
        <v>187</v>
      </c>
      <c r="E64" s="9" t="s">
        <v>45</v>
      </c>
      <c r="F64" s="9" t="s">
        <v>46</v>
      </c>
      <c r="G64" s="10">
        <v>3000000</v>
      </c>
      <c r="H64" s="10">
        <v>4620950</v>
      </c>
      <c r="I64" s="11">
        <f t="shared" si="171"/>
        <v>1.5403166666666666</v>
      </c>
      <c r="J64" s="10">
        <v>1000000</v>
      </c>
      <c r="K64" s="10"/>
      <c r="L64" s="11">
        <f t="shared" si="172"/>
        <v>0</v>
      </c>
      <c r="M64" s="10"/>
      <c r="N64" s="10"/>
      <c r="O64" s="11">
        <v>0</v>
      </c>
      <c r="P64" s="10"/>
      <c r="Q64" s="10"/>
      <c r="R64" s="11">
        <v>0</v>
      </c>
      <c r="S64" s="10"/>
      <c r="T64" s="10"/>
      <c r="U64" s="11">
        <v>0</v>
      </c>
      <c r="V64" s="10"/>
      <c r="W64" s="10"/>
      <c r="X64" s="11">
        <v>0</v>
      </c>
      <c r="Y64" s="10"/>
      <c r="Z64" s="10"/>
      <c r="AA64" s="11"/>
      <c r="AB64" s="10"/>
      <c r="AC64" s="10"/>
      <c r="AD64" s="11">
        <v>0</v>
      </c>
      <c r="AE64" s="10"/>
      <c r="AF64" s="10"/>
      <c r="AG64" s="11">
        <v>0</v>
      </c>
      <c r="AH64" s="10"/>
      <c r="AI64" s="10"/>
      <c r="AJ64" s="11">
        <v>0</v>
      </c>
      <c r="AK64" s="10"/>
      <c r="AL64" s="10"/>
      <c r="AM64" s="11">
        <v>0</v>
      </c>
      <c r="AN64" s="10"/>
      <c r="AO64" s="10"/>
      <c r="AP64" s="11">
        <v>0</v>
      </c>
      <c r="AQ64" s="10"/>
      <c r="AR64" s="10"/>
      <c r="AS64" s="11">
        <v>0</v>
      </c>
      <c r="AT64" s="10"/>
      <c r="AU64" s="10">
        <v>53690</v>
      </c>
      <c r="AV64" s="11">
        <v>0</v>
      </c>
      <c r="AW64" s="10"/>
      <c r="AX64" s="10">
        <v>60400</v>
      </c>
      <c r="AY64" s="11">
        <v>0</v>
      </c>
      <c r="AZ64" s="10"/>
      <c r="BA64" s="10"/>
      <c r="BB64" s="11">
        <v>0</v>
      </c>
      <c r="BC64" s="10"/>
      <c r="BD64" s="10"/>
      <c r="BE64" s="11">
        <v>0</v>
      </c>
      <c r="BF64" s="10"/>
      <c r="BG64" s="10"/>
      <c r="BH64" s="11">
        <v>0</v>
      </c>
      <c r="BI64" s="10"/>
      <c r="BJ64" s="10"/>
      <c r="BK64" s="11">
        <v>0</v>
      </c>
      <c r="BL64" s="10"/>
      <c r="BM64" s="10"/>
      <c r="BN64" s="11">
        <v>0</v>
      </c>
      <c r="BO64" s="10"/>
      <c r="BP64" s="10"/>
      <c r="BQ64" s="11">
        <v>0</v>
      </c>
      <c r="BR64" s="10"/>
      <c r="BS64" s="10"/>
      <c r="BT64" s="11">
        <v>0</v>
      </c>
      <c r="BU64" s="10"/>
      <c r="BV64" s="10"/>
      <c r="BW64" s="11">
        <v>0</v>
      </c>
      <c r="BX64" s="10"/>
      <c r="BY64" s="10"/>
      <c r="BZ64" s="11">
        <v>0</v>
      </c>
      <c r="CA64" s="10"/>
      <c r="CB64" s="10"/>
      <c r="CC64" s="11">
        <v>0</v>
      </c>
      <c r="CD64" s="10"/>
      <c r="CE64" s="10"/>
      <c r="CF64" s="11">
        <v>0</v>
      </c>
      <c r="CG64" s="10"/>
      <c r="CH64" s="10"/>
      <c r="CI64" s="11">
        <v>0</v>
      </c>
      <c r="CJ64" s="10"/>
      <c r="CK64" s="10"/>
      <c r="CL64" s="11">
        <v>0</v>
      </c>
      <c r="CM64" s="10"/>
      <c r="CN64" s="10"/>
      <c r="CO64" s="11">
        <v>0</v>
      </c>
      <c r="CP64" s="10"/>
      <c r="CQ64" s="10"/>
      <c r="CR64" s="11">
        <v>0</v>
      </c>
      <c r="CS64" s="10"/>
      <c r="CT64" s="10"/>
      <c r="CU64" s="11">
        <v>0</v>
      </c>
      <c r="CV64" s="10"/>
      <c r="CW64" s="10"/>
      <c r="CX64" s="11">
        <v>0</v>
      </c>
      <c r="CY64" s="10"/>
      <c r="CZ64" s="10"/>
      <c r="DA64" s="11">
        <v>0</v>
      </c>
      <c r="DB64" s="10">
        <v>4000000</v>
      </c>
      <c r="DC64" s="10">
        <f t="shared" si="158"/>
        <v>4735040</v>
      </c>
      <c r="DD64" s="13">
        <f t="shared" si="159"/>
        <v>1.1837599999999999</v>
      </c>
      <c r="DE64" s="14"/>
    </row>
    <row r="65" spans="1:109" x14ac:dyDescent="0.35">
      <c r="A65" s="8" t="s">
        <v>188</v>
      </c>
      <c r="B65" s="9" t="s">
        <v>42</v>
      </c>
      <c r="C65" s="9" t="s">
        <v>43</v>
      </c>
      <c r="D65" s="9" t="s">
        <v>189</v>
      </c>
      <c r="E65" s="9" t="s">
        <v>45</v>
      </c>
      <c r="F65" s="9" t="s">
        <v>46</v>
      </c>
      <c r="G65" s="10"/>
      <c r="H65" s="10"/>
      <c r="I65" s="11">
        <v>0</v>
      </c>
      <c r="J65" s="10"/>
      <c r="K65" s="10"/>
      <c r="L65" s="12">
        <v>0</v>
      </c>
      <c r="M65" s="10"/>
      <c r="N65" s="10"/>
      <c r="O65" s="11">
        <v>0</v>
      </c>
      <c r="P65" s="10">
        <v>25000</v>
      </c>
      <c r="Q65" s="10"/>
      <c r="R65" s="11">
        <f t="shared" si="166"/>
        <v>0</v>
      </c>
      <c r="S65" s="10"/>
      <c r="T65" s="10">
        <v>30000</v>
      </c>
      <c r="U65" s="11">
        <v>0</v>
      </c>
      <c r="V65" s="10"/>
      <c r="W65" s="10"/>
      <c r="X65" s="11">
        <v>0</v>
      </c>
      <c r="Y65" s="10"/>
      <c r="Z65" s="10">
        <v>25600</v>
      </c>
      <c r="AA65" s="11"/>
      <c r="AB65" s="10"/>
      <c r="AC65" s="10"/>
      <c r="AD65" s="11">
        <v>0</v>
      </c>
      <c r="AE65" s="10">
        <v>200000</v>
      </c>
      <c r="AF65" s="10"/>
      <c r="AG65" s="11">
        <f t="shared" si="168"/>
        <v>0</v>
      </c>
      <c r="AH65" s="10"/>
      <c r="AI65" s="10"/>
      <c r="AJ65" s="11">
        <v>0</v>
      </c>
      <c r="AK65" s="10"/>
      <c r="AL65" s="10"/>
      <c r="AM65" s="11">
        <v>0</v>
      </c>
      <c r="AN65" s="10"/>
      <c r="AO65" s="10"/>
      <c r="AP65" s="11">
        <v>0</v>
      </c>
      <c r="AQ65" s="10">
        <v>300000</v>
      </c>
      <c r="AR65" s="10"/>
      <c r="AS65" s="11">
        <f t="shared" si="154"/>
        <v>0</v>
      </c>
      <c r="AT65" s="10"/>
      <c r="AU65" s="10"/>
      <c r="AV65" s="11">
        <v>0</v>
      </c>
      <c r="AW65" s="10"/>
      <c r="AX65" s="10"/>
      <c r="AY65" s="11">
        <v>0</v>
      </c>
      <c r="AZ65" s="10"/>
      <c r="BA65" s="10"/>
      <c r="BB65" s="11">
        <v>0</v>
      </c>
      <c r="BC65" s="10"/>
      <c r="BD65" s="10"/>
      <c r="BE65" s="11">
        <v>0</v>
      </c>
      <c r="BF65" s="10"/>
      <c r="BG65" s="10"/>
      <c r="BH65" s="11">
        <v>0</v>
      </c>
      <c r="BI65" s="10"/>
      <c r="BJ65" s="10"/>
      <c r="BK65" s="11">
        <v>0</v>
      </c>
      <c r="BL65" s="10"/>
      <c r="BM65" s="10"/>
      <c r="BN65" s="11">
        <v>0</v>
      </c>
      <c r="BO65" s="10"/>
      <c r="BP65" s="10"/>
      <c r="BQ65" s="11">
        <v>0</v>
      </c>
      <c r="BR65" s="10"/>
      <c r="BS65" s="10"/>
      <c r="BT65" s="11">
        <v>0</v>
      </c>
      <c r="BU65" s="10"/>
      <c r="BV65" s="10"/>
      <c r="BW65" s="11">
        <v>0</v>
      </c>
      <c r="BX65" s="10"/>
      <c r="BY65" s="10"/>
      <c r="BZ65" s="11">
        <v>0</v>
      </c>
      <c r="CA65" s="10"/>
      <c r="CB65" s="10"/>
      <c r="CC65" s="11">
        <v>0</v>
      </c>
      <c r="CD65" s="10"/>
      <c r="CE65" s="10"/>
      <c r="CF65" s="11">
        <v>0</v>
      </c>
      <c r="CG65" s="10"/>
      <c r="CH65" s="10"/>
      <c r="CI65" s="11">
        <v>0</v>
      </c>
      <c r="CJ65" s="10"/>
      <c r="CK65" s="10"/>
      <c r="CL65" s="11">
        <v>0</v>
      </c>
      <c r="CM65" s="10"/>
      <c r="CN65" s="10"/>
      <c r="CO65" s="11">
        <v>0</v>
      </c>
      <c r="CP65" s="10"/>
      <c r="CQ65" s="10"/>
      <c r="CR65" s="11">
        <v>0</v>
      </c>
      <c r="CS65" s="10"/>
      <c r="CT65" s="10"/>
      <c r="CU65" s="11">
        <v>0</v>
      </c>
      <c r="CV65" s="10"/>
      <c r="CW65" s="10"/>
      <c r="CX65" s="11">
        <v>0</v>
      </c>
      <c r="CY65" s="10"/>
      <c r="CZ65" s="10"/>
      <c r="DA65" s="11">
        <v>0</v>
      </c>
      <c r="DB65" s="10">
        <v>525000</v>
      </c>
      <c r="DC65" s="10">
        <f t="shared" si="158"/>
        <v>55600</v>
      </c>
      <c r="DD65" s="13">
        <f t="shared" si="159"/>
        <v>0.1059047619047619</v>
      </c>
      <c r="DE65" s="14"/>
    </row>
    <row r="66" spans="1:109" x14ac:dyDescent="0.35">
      <c r="A66" s="8" t="s">
        <v>190</v>
      </c>
      <c r="B66" s="9" t="s">
        <v>172</v>
      </c>
      <c r="C66" s="9" t="s">
        <v>52</v>
      </c>
      <c r="D66" s="9" t="s">
        <v>191</v>
      </c>
      <c r="E66" s="9" t="s">
        <v>54</v>
      </c>
      <c r="F66" s="9" t="s">
        <v>55</v>
      </c>
      <c r="G66" s="10"/>
      <c r="H66" s="10">
        <v>36500</v>
      </c>
      <c r="I66" s="11">
        <v>0</v>
      </c>
      <c r="J66" s="10"/>
      <c r="K66" s="10"/>
      <c r="L66" s="12">
        <v>0</v>
      </c>
      <c r="M66" s="10"/>
      <c r="N66" s="10"/>
      <c r="O66" s="11">
        <v>0</v>
      </c>
      <c r="P66" s="10"/>
      <c r="Q66" s="10"/>
      <c r="R66" s="11">
        <v>0</v>
      </c>
      <c r="S66" s="10"/>
      <c r="T66" s="10"/>
      <c r="U66" s="11">
        <v>0</v>
      </c>
      <c r="V66" s="10">
        <v>500000</v>
      </c>
      <c r="W66" s="10">
        <v>249000</v>
      </c>
      <c r="X66" s="11">
        <v>0.498</v>
      </c>
      <c r="Y66" s="10"/>
      <c r="Z66" s="10">
        <v>19200</v>
      </c>
      <c r="AA66" s="11"/>
      <c r="AB66" s="10"/>
      <c r="AC66" s="10"/>
      <c r="AD66" s="11">
        <v>0</v>
      </c>
      <c r="AE66" s="10"/>
      <c r="AF66" s="10"/>
      <c r="AG66" s="11">
        <v>0</v>
      </c>
      <c r="AH66" s="10"/>
      <c r="AI66" s="10"/>
      <c r="AJ66" s="11">
        <v>0</v>
      </c>
      <c r="AK66" s="10">
        <v>1000000</v>
      </c>
      <c r="AL66" s="10"/>
      <c r="AM66" s="11">
        <f t="shared" si="175"/>
        <v>0</v>
      </c>
      <c r="AN66" s="10"/>
      <c r="AO66" s="10"/>
      <c r="AP66" s="11">
        <v>0</v>
      </c>
      <c r="AQ66" s="10"/>
      <c r="AR66" s="10"/>
      <c r="AS66" s="11">
        <v>0</v>
      </c>
      <c r="AT66" s="10">
        <v>1000000</v>
      </c>
      <c r="AU66" s="10">
        <v>239700</v>
      </c>
      <c r="AV66" s="11">
        <f t="shared" si="176"/>
        <v>0.2397</v>
      </c>
      <c r="AW66" s="10"/>
      <c r="AX66" s="10"/>
      <c r="AY66" s="11">
        <v>0</v>
      </c>
      <c r="AZ66" s="10"/>
      <c r="BA66" s="10"/>
      <c r="BB66" s="11">
        <v>0</v>
      </c>
      <c r="BC66" s="10"/>
      <c r="BD66" s="10"/>
      <c r="BE66" s="11">
        <v>0</v>
      </c>
      <c r="BF66" s="10">
        <v>56750000</v>
      </c>
      <c r="BG66" s="10">
        <f>VLOOKUP(A:A,'[1]2026 Customer Brand Sales'!$A:$BA,53,0)</f>
        <v>19072510</v>
      </c>
      <c r="BH66" s="11">
        <f t="shared" si="155"/>
        <v>0.33607947136563876</v>
      </c>
      <c r="BI66" s="10">
        <v>750000</v>
      </c>
      <c r="BJ66" s="10"/>
      <c r="BK66" s="11">
        <f t="shared" si="178"/>
        <v>0</v>
      </c>
      <c r="BL66" s="10">
        <v>7000000</v>
      </c>
      <c r="BM66" s="10">
        <v>1585270</v>
      </c>
      <c r="BN66" s="11">
        <f t="shared" si="156"/>
        <v>0.22646714285714287</v>
      </c>
      <c r="BO66" s="10">
        <v>200000</v>
      </c>
      <c r="BP66" s="10">
        <v>217565</v>
      </c>
      <c r="BQ66" s="11">
        <f t="shared" si="174"/>
        <v>1.087825</v>
      </c>
      <c r="BR66" s="10"/>
      <c r="BS66" s="10"/>
      <c r="BT66" s="11">
        <v>0</v>
      </c>
      <c r="BU66" s="10"/>
      <c r="BV66" s="10"/>
      <c r="BW66" s="11">
        <v>0</v>
      </c>
      <c r="BX66" s="10"/>
      <c r="BY66" s="10"/>
      <c r="BZ66" s="11">
        <v>0</v>
      </c>
      <c r="CA66" s="10"/>
      <c r="CB66" s="10"/>
      <c r="CC66" s="11">
        <v>0</v>
      </c>
      <c r="CD66" s="10"/>
      <c r="CE66" s="10"/>
      <c r="CF66" s="11">
        <v>0</v>
      </c>
      <c r="CG66" s="10"/>
      <c r="CH66" s="10"/>
      <c r="CI66" s="11">
        <v>0</v>
      </c>
      <c r="CJ66" s="10"/>
      <c r="CK66" s="10"/>
      <c r="CL66" s="11">
        <v>0</v>
      </c>
      <c r="CM66" s="10"/>
      <c r="CN66" s="10"/>
      <c r="CO66" s="11">
        <v>0</v>
      </c>
      <c r="CP66" s="10"/>
      <c r="CQ66" s="10"/>
      <c r="CR66" s="11">
        <v>0</v>
      </c>
      <c r="CS66" s="10"/>
      <c r="CT66" s="10"/>
      <c r="CU66" s="11">
        <v>0</v>
      </c>
      <c r="CV66" s="10"/>
      <c r="CW66" s="10"/>
      <c r="CX66" s="11">
        <v>0</v>
      </c>
      <c r="CY66" s="10"/>
      <c r="CZ66" s="10"/>
      <c r="DA66" s="11">
        <v>0</v>
      </c>
      <c r="DB66" s="10">
        <v>67200000</v>
      </c>
      <c r="DC66" s="10">
        <f t="shared" si="158"/>
        <v>21419745</v>
      </c>
      <c r="DD66" s="13">
        <f t="shared" si="159"/>
        <v>0.31874620535714288</v>
      </c>
      <c r="DE66" s="14"/>
    </row>
    <row r="67" spans="1:109" x14ac:dyDescent="0.35">
      <c r="A67" s="8" t="s">
        <v>192</v>
      </c>
      <c r="B67" s="9" t="s">
        <v>51</v>
      </c>
      <c r="C67" s="9" t="s">
        <v>52</v>
      </c>
      <c r="D67" s="9" t="s">
        <v>193</v>
      </c>
      <c r="E67" s="9" t="s">
        <v>54</v>
      </c>
      <c r="F67" s="9" t="s">
        <v>55</v>
      </c>
      <c r="G67" s="10"/>
      <c r="H67" s="10">
        <v>156000</v>
      </c>
      <c r="I67" s="11">
        <v>0</v>
      </c>
      <c r="J67" s="10"/>
      <c r="K67" s="10">
        <v>22000</v>
      </c>
      <c r="L67" s="12">
        <v>0</v>
      </c>
      <c r="M67" s="10">
        <v>7840000</v>
      </c>
      <c r="N67" s="10">
        <v>2723400</v>
      </c>
      <c r="O67" s="11">
        <f t="shared" si="160"/>
        <v>0.34737244897959185</v>
      </c>
      <c r="P67" s="10">
        <v>100000</v>
      </c>
      <c r="Q67" s="10"/>
      <c r="R67" s="11">
        <f t="shared" si="166"/>
        <v>0</v>
      </c>
      <c r="S67" s="10"/>
      <c r="T67" s="10">
        <v>546650</v>
      </c>
      <c r="U67" s="11">
        <v>0</v>
      </c>
      <c r="V67" s="10">
        <v>25000</v>
      </c>
      <c r="W67" s="10">
        <v>3850</v>
      </c>
      <c r="X67" s="11">
        <v>0.154</v>
      </c>
      <c r="Y67" s="10">
        <v>90000</v>
      </c>
      <c r="Z67" s="10">
        <v>65000</v>
      </c>
      <c r="AA67" s="11">
        <f t="shared" si="167"/>
        <v>0.72222222222222221</v>
      </c>
      <c r="AB67" s="10">
        <v>50000</v>
      </c>
      <c r="AC67" s="10"/>
      <c r="AD67" s="11">
        <v>0</v>
      </c>
      <c r="AE67" s="10">
        <v>100000</v>
      </c>
      <c r="AF67" s="10">
        <v>167000</v>
      </c>
      <c r="AG67" s="11">
        <f t="shared" si="168"/>
        <v>1.67</v>
      </c>
      <c r="AH67" s="10"/>
      <c r="AI67" s="10"/>
      <c r="AJ67" s="11">
        <v>0</v>
      </c>
      <c r="AK67" s="10">
        <v>200000</v>
      </c>
      <c r="AL67" s="10"/>
      <c r="AM67" s="11">
        <f t="shared" si="175"/>
        <v>0</v>
      </c>
      <c r="AN67" s="10"/>
      <c r="AO67" s="10"/>
      <c r="AP67" s="11">
        <v>0</v>
      </c>
      <c r="AQ67" s="10"/>
      <c r="AR67" s="10">
        <v>18800</v>
      </c>
      <c r="AS67" s="11">
        <v>0</v>
      </c>
      <c r="AT67" s="10"/>
      <c r="AU67" s="10">
        <v>212000</v>
      </c>
      <c r="AV67" s="11">
        <v>0</v>
      </c>
      <c r="AW67" s="10"/>
      <c r="AX67" s="10"/>
      <c r="AY67" s="11">
        <v>0</v>
      </c>
      <c r="AZ67" s="10"/>
      <c r="BA67" s="10"/>
      <c r="BB67" s="11">
        <v>0</v>
      </c>
      <c r="BC67" s="10">
        <v>23932</v>
      </c>
      <c r="BD67" s="10"/>
      <c r="BE67" s="11">
        <f t="shared" si="173"/>
        <v>0</v>
      </c>
      <c r="BF67" s="10">
        <v>10000000</v>
      </c>
      <c r="BG67" s="10">
        <f>VLOOKUP(A:A,'[1]2026 Customer Brand Sales'!$A:$BA,53,0)</f>
        <v>8169880</v>
      </c>
      <c r="BH67" s="11">
        <f t="shared" si="155"/>
        <v>0.81698800000000005</v>
      </c>
      <c r="BI67" s="10"/>
      <c r="BJ67" s="10">
        <v>14000</v>
      </c>
      <c r="BK67" s="11">
        <v>0</v>
      </c>
      <c r="BL67" s="10">
        <v>600000</v>
      </c>
      <c r="BM67" s="10">
        <v>605135</v>
      </c>
      <c r="BN67" s="11">
        <f t="shared" si="156"/>
        <v>1.0085583333333332</v>
      </c>
      <c r="BO67" s="10"/>
      <c r="BP67" s="10"/>
      <c r="BQ67" s="11">
        <v>0</v>
      </c>
      <c r="BR67" s="10">
        <v>1000000</v>
      </c>
      <c r="BS67" s="10">
        <v>618700</v>
      </c>
      <c r="BT67" s="11">
        <f t="shared" si="162"/>
        <v>0.61870000000000003</v>
      </c>
      <c r="BU67" s="10">
        <v>500000</v>
      </c>
      <c r="BV67" s="10">
        <v>25850</v>
      </c>
      <c r="BW67" s="11">
        <f t="shared" si="163"/>
        <v>5.1700000000000003E-2</v>
      </c>
      <c r="BX67" s="10"/>
      <c r="BY67" s="10"/>
      <c r="BZ67" s="11">
        <v>0</v>
      </c>
      <c r="CA67" s="10"/>
      <c r="CB67" s="10"/>
      <c r="CC67" s="11">
        <v>0</v>
      </c>
      <c r="CD67" s="10"/>
      <c r="CE67" s="10"/>
      <c r="CF67" s="11">
        <v>0</v>
      </c>
      <c r="CG67" s="10">
        <v>250000</v>
      </c>
      <c r="CH67" s="10">
        <v>7800</v>
      </c>
      <c r="CI67" s="11">
        <f t="shared" si="157"/>
        <v>3.1199999999999999E-2</v>
      </c>
      <c r="CJ67" s="10"/>
      <c r="CK67" s="10"/>
      <c r="CL67" s="11">
        <v>0</v>
      </c>
      <c r="CM67" s="10"/>
      <c r="CN67" s="10"/>
      <c r="CO67" s="11">
        <v>0</v>
      </c>
      <c r="CP67" s="10"/>
      <c r="CQ67" s="10"/>
      <c r="CR67" s="11">
        <v>0</v>
      </c>
      <c r="CS67" s="10"/>
      <c r="CT67" s="10">
        <v>66800</v>
      </c>
      <c r="CU67" s="11">
        <v>0</v>
      </c>
      <c r="CV67" s="10"/>
      <c r="CW67" s="10"/>
      <c r="CX67" s="11">
        <v>0</v>
      </c>
      <c r="CY67" s="10">
        <v>50000</v>
      </c>
      <c r="CZ67" s="10"/>
      <c r="DA67" s="11">
        <f t="shared" si="170"/>
        <v>0</v>
      </c>
      <c r="DB67" s="10">
        <v>20828932</v>
      </c>
      <c r="DC67" s="10">
        <f t="shared" si="158"/>
        <v>13422865</v>
      </c>
      <c r="DD67" s="13">
        <f t="shared" si="159"/>
        <v>0.64443366563393645</v>
      </c>
      <c r="DE67" s="14"/>
    </row>
    <row r="68" spans="1:109" x14ac:dyDescent="0.35">
      <c r="A68" s="8" t="s">
        <v>194</v>
      </c>
      <c r="B68" s="9" t="s">
        <v>48</v>
      </c>
      <c r="C68" s="9" t="s">
        <v>43</v>
      </c>
      <c r="D68" s="9" t="s">
        <v>195</v>
      </c>
      <c r="E68" s="9" t="s">
        <v>45</v>
      </c>
      <c r="F68" s="9" t="s">
        <v>46</v>
      </c>
      <c r="G68" s="10">
        <v>2000000</v>
      </c>
      <c r="H68" s="10">
        <v>789375</v>
      </c>
      <c r="I68" s="11">
        <f t="shared" si="171"/>
        <v>0.39468750000000002</v>
      </c>
      <c r="J68" s="10">
        <v>1700000</v>
      </c>
      <c r="K68" s="10">
        <v>764150</v>
      </c>
      <c r="L68" s="11">
        <f t="shared" si="172"/>
        <v>0.44950000000000001</v>
      </c>
      <c r="M68" s="10"/>
      <c r="N68" s="10"/>
      <c r="O68" s="11">
        <v>0</v>
      </c>
      <c r="P68" s="10"/>
      <c r="Q68" s="10"/>
      <c r="R68" s="11">
        <v>0</v>
      </c>
      <c r="S68" s="10">
        <v>500000</v>
      </c>
      <c r="T68" s="10"/>
      <c r="U68" s="11">
        <f t="shared" si="161"/>
        <v>0</v>
      </c>
      <c r="V68" s="10"/>
      <c r="W68" s="10"/>
      <c r="X68" s="11">
        <v>0</v>
      </c>
      <c r="Y68" s="10"/>
      <c r="Z68" s="10"/>
      <c r="AA68" s="11"/>
      <c r="AB68" s="10"/>
      <c r="AC68" s="10"/>
      <c r="AD68" s="11">
        <v>0</v>
      </c>
      <c r="AE68" s="10">
        <v>200000</v>
      </c>
      <c r="AF68" s="10"/>
      <c r="AG68" s="11">
        <f t="shared" si="168"/>
        <v>0</v>
      </c>
      <c r="AH68" s="10"/>
      <c r="AI68" s="10"/>
      <c r="AJ68" s="11">
        <v>0</v>
      </c>
      <c r="AK68" s="10"/>
      <c r="AL68" s="10"/>
      <c r="AM68" s="11">
        <v>0</v>
      </c>
      <c r="AN68" s="10">
        <v>100000</v>
      </c>
      <c r="AO68" s="10"/>
      <c r="AP68" s="11">
        <f t="shared" si="169"/>
        <v>0</v>
      </c>
      <c r="AQ68" s="10"/>
      <c r="AR68" s="10"/>
      <c r="AS68" s="11">
        <v>0</v>
      </c>
      <c r="AT68" s="10">
        <v>1000000</v>
      </c>
      <c r="AU68" s="10"/>
      <c r="AV68" s="11">
        <f t="shared" si="176"/>
        <v>0</v>
      </c>
      <c r="AW68" s="10"/>
      <c r="AX68" s="10"/>
      <c r="AY68" s="11">
        <v>0</v>
      </c>
      <c r="AZ68" s="10"/>
      <c r="BA68" s="10"/>
      <c r="BB68" s="11">
        <v>0</v>
      </c>
      <c r="BC68" s="10"/>
      <c r="BD68" s="10"/>
      <c r="BE68" s="11">
        <v>0</v>
      </c>
      <c r="BF68" s="10">
        <v>-500000</v>
      </c>
      <c r="BG68" s="10"/>
      <c r="BH68" s="11">
        <f t="shared" si="155"/>
        <v>0</v>
      </c>
      <c r="BI68" s="10">
        <v>500000</v>
      </c>
      <c r="BJ68" s="10"/>
      <c r="BK68" s="11">
        <f t="shared" si="178"/>
        <v>0</v>
      </c>
      <c r="BL68" s="10"/>
      <c r="BM68" s="10"/>
      <c r="BN68" s="11">
        <v>0</v>
      </c>
      <c r="BO68" s="10">
        <v>600000</v>
      </c>
      <c r="BP68" s="10"/>
      <c r="BQ68" s="11">
        <f t="shared" si="174"/>
        <v>0</v>
      </c>
      <c r="BR68" s="10">
        <v>150000</v>
      </c>
      <c r="BS68" s="10"/>
      <c r="BT68" s="11">
        <f t="shared" si="162"/>
        <v>0</v>
      </c>
      <c r="BU68" s="10">
        <v>50000</v>
      </c>
      <c r="BV68" s="10"/>
      <c r="BW68" s="11">
        <f t="shared" si="163"/>
        <v>0</v>
      </c>
      <c r="BX68" s="10"/>
      <c r="BY68" s="10"/>
      <c r="BZ68" s="11">
        <v>0</v>
      </c>
      <c r="CA68" s="10"/>
      <c r="CB68" s="10"/>
      <c r="CC68" s="11">
        <v>0</v>
      </c>
      <c r="CD68" s="10"/>
      <c r="CE68" s="10"/>
      <c r="CF68" s="11">
        <v>0</v>
      </c>
      <c r="CG68" s="10"/>
      <c r="CH68" s="10"/>
      <c r="CI68" s="11">
        <v>0</v>
      </c>
      <c r="CJ68" s="10"/>
      <c r="CK68" s="10"/>
      <c r="CL68" s="11">
        <v>0</v>
      </c>
      <c r="CM68" s="10"/>
      <c r="CN68" s="10"/>
      <c r="CO68" s="11">
        <v>0</v>
      </c>
      <c r="CP68" s="10"/>
      <c r="CQ68" s="10"/>
      <c r="CR68" s="11">
        <v>0</v>
      </c>
      <c r="CS68" s="10"/>
      <c r="CT68" s="10"/>
      <c r="CU68" s="11">
        <v>0</v>
      </c>
      <c r="CV68" s="10"/>
      <c r="CW68" s="10"/>
      <c r="CX68" s="11">
        <v>0</v>
      </c>
      <c r="CY68" s="10"/>
      <c r="CZ68" s="10"/>
      <c r="DA68" s="11">
        <v>0</v>
      </c>
      <c r="DB68" s="10">
        <v>6300000</v>
      </c>
      <c r="DC68" s="10">
        <f t="shared" si="158"/>
        <v>1553525</v>
      </c>
      <c r="DD68" s="13">
        <f t="shared" si="159"/>
        <v>0.24659126984126983</v>
      </c>
      <c r="DE68" s="14"/>
    </row>
    <row r="69" spans="1:109" x14ac:dyDescent="0.35">
      <c r="A69" s="8" t="s">
        <v>196</v>
      </c>
      <c r="B69" s="9" t="s">
        <v>42</v>
      </c>
      <c r="C69" s="9" t="s">
        <v>43</v>
      </c>
      <c r="D69" s="9" t="s">
        <v>197</v>
      </c>
      <c r="E69" s="9" t="s">
        <v>45</v>
      </c>
      <c r="F69" s="9" t="s">
        <v>46</v>
      </c>
      <c r="G69" s="10"/>
      <c r="H69" s="10"/>
      <c r="I69" s="11">
        <v>0</v>
      </c>
      <c r="J69" s="10"/>
      <c r="K69" s="10"/>
      <c r="L69" s="12">
        <v>0</v>
      </c>
      <c r="M69" s="10">
        <v>376000</v>
      </c>
      <c r="N69" s="10"/>
      <c r="O69" s="11">
        <f t="shared" si="160"/>
        <v>0</v>
      </c>
      <c r="P69" s="10">
        <v>25000</v>
      </c>
      <c r="Q69" s="10"/>
      <c r="R69" s="11">
        <f t="shared" si="166"/>
        <v>0</v>
      </c>
      <c r="S69" s="10">
        <v>500000</v>
      </c>
      <c r="T69" s="10"/>
      <c r="U69" s="11">
        <f t="shared" si="161"/>
        <v>0</v>
      </c>
      <c r="V69" s="10"/>
      <c r="W69" s="10"/>
      <c r="X69" s="11">
        <v>0</v>
      </c>
      <c r="Y69" s="10"/>
      <c r="Z69" s="10"/>
      <c r="AA69" s="11"/>
      <c r="AB69" s="10"/>
      <c r="AC69" s="10"/>
      <c r="AD69" s="11">
        <v>0</v>
      </c>
      <c r="AE69" s="10"/>
      <c r="AF69" s="10"/>
      <c r="AG69" s="11">
        <v>0</v>
      </c>
      <c r="AH69" s="10"/>
      <c r="AI69" s="10"/>
      <c r="AJ69" s="11">
        <v>0</v>
      </c>
      <c r="AK69" s="10"/>
      <c r="AL69" s="10"/>
      <c r="AM69" s="11">
        <v>0</v>
      </c>
      <c r="AN69" s="10">
        <v>100000</v>
      </c>
      <c r="AO69" s="10"/>
      <c r="AP69" s="11">
        <f t="shared" si="169"/>
        <v>0</v>
      </c>
      <c r="AQ69" s="10"/>
      <c r="AR69" s="10"/>
      <c r="AS69" s="11">
        <v>0</v>
      </c>
      <c r="AT69" s="10"/>
      <c r="AU69" s="10"/>
      <c r="AV69" s="11">
        <v>0</v>
      </c>
      <c r="AW69" s="10"/>
      <c r="AX69" s="10"/>
      <c r="AY69" s="11">
        <v>0</v>
      </c>
      <c r="AZ69" s="10"/>
      <c r="BA69" s="10"/>
      <c r="BB69" s="11">
        <v>0</v>
      </c>
      <c r="BC69" s="10"/>
      <c r="BD69" s="10"/>
      <c r="BE69" s="11">
        <v>0</v>
      </c>
      <c r="BF69" s="10"/>
      <c r="BG69" s="10"/>
      <c r="BH69" s="11">
        <v>0</v>
      </c>
      <c r="BI69" s="10"/>
      <c r="BJ69" s="10"/>
      <c r="BK69" s="11">
        <v>0</v>
      </c>
      <c r="BL69" s="10"/>
      <c r="BM69" s="10"/>
      <c r="BN69" s="11">
        <v>0</v>
      </c>
      <c r="BO69" s="10"/>
      <c r="BP69" s="10"/>
      <c r="BQ69" s="11">
        <v>0</v>
      </c>
      <c r="BR69" s="10"/>
      <c r="BS69" s="10"/>
      <c r="BT69" s="11">
        <v>0</v>
      </c>
      <c r="BU69" s="10"/>
      <c r="BV69" s="10"/>
      <c r="BW69" s="11">
        <v>0</v>
      </c>
      <c r="BX69" s="10"/>
      <c r="BY69" s="10"/>
      <c r="BZ69" s="11">
        <v>0</v>
      </c>
      <c r="CA69" s="10"/>
      <c r="CB69" s="10"/>
      <c r="CC69" s="11">
        <v>0</v>
      </c>
      <c r="CD69" s="10"/>
      <c r="CE69" s="10"/>
      <c r="CF69" s="11">
        <v>0</v>
      </c>
      <c r="CG69" s="10">
        <v>100000</v>
      </c>
      <c r="CH69" s="10"/>
      <c r="CI69" s="11">
        <f t="shared" si="157"/>
        <v>0</v>
      </c>
      <c r="CJ69" s="10"/>
      <c r="CK69" s="10"/>
      <c r="CL69" s="11">
        <v>0</v>
      </c>
      <c r="CM69" s="10"/>
      <c r="CN69" s="10"/>
      <c r="CO69" s="11">
        <v>0</v>
      </c>
      <c r="CP69" s="10"/>
      <c r="CQ69" s="10"/>
      <c r="CR69" s="11">
        <v>0</v>
      </c>
      <c r="CS69" s="10"/>
      <c r="CT69" s="10"/>
      <c r="CU69" s="11">
        <v>0</v>
      </c>
      <c r="CV69" s="10"/>
      <c r="CW69" s="10"/>
      <c r="CX69" s="11">
        <v>0</v>
      </c>
      <c r="CY69" s="10"/>
      <c r="CZ69" s="10"/>
      <c r="DA69" s="11">
        <v>0</v>
      </c>
      <c r="DB69" s="10">
        <v>1101000</v>
      </c>
      <c r="DC69" s="10"/>
      <c r="DD69" s="15">
        <f t="shared" si="159"/>
        <v>0</v>
      </c>
      <c r="DE69" s="16"/>
    </row>
    <row r="70" spans="1:109" x14ac:dyDescent="0.35">
      <c r="A70" s="8" t="s">
        <v>198</v>
      </c>
      <c r="B70" s="9" t="s">
        <v>77</v>
      </c>
      <c r="C70" s="9" t="s">
        <v>43</v>
      </c>
      <c r="D70" s="9" t="s">
        <v>199</v>
      </c>
      <c r="E70" s="9" t="s">
        <v>61</v>
      </c>
      <c r="F70" s="9" t="s">
        <v>62</v>
      </c>
      <c r="G70" s="10"/>
      <c r="H70" s="10"/>
      <c r="I70" s="11">
        <v>0</v>
      </c>
      <c r="J70" s="10"/>
      <c r="K70" s="10"/>
      <c r="L70" s="12">
        <v>0</v>
      </c>
      <c r="M70" s="10"/>
      <c r="N70" s="10"/>
      <c r="O70" s="11">
        <v>0</v>
      </c>
      <c r="P70" s="10"/>
      <c r="Q70" s="10"/>
      <c r="R70" s="11">
        <v>0</v>
      </c>
      <c r="S70" s="10"/>
      <c r="T70" s="10"/>
      <c r="U70" s="11">
        <v>0</v>
      </c>
      <c r="V70" s="10">
        <v>2200000</v>
      </c>
      <c r="W70" s="10">
        <v>493700</v>
      </c>
      <c r="X70" s="11">
        <v>0.22440909090909092</v>
      </c>
      <c r="Y70" s="10"/>
      <c r="Z70" s="10"/>
      <c r="AA70" s="11"/>
      <c r="AB70" s="10"/>
      <c r="AC70" s="10"/>
      <c r="AD70" s="11">
        <v>0</v>
      </c>
      <c r="AE70" s="10"/>
      <c r="AF70" s="10"/>
      <c r="AG70" s="11">
        <v>0</v>
      </c>
      <c r="AH70" s="10"/>
      <c r="AI70" s="10"/>
      <c r="AJ70" s="11">
        <v>0</v>
      </c>
      <c r="AK70" s="10"/>
      <c r="AL70" s="10"/>
      <c r="AM70" s="11">
        <v>0</v>
      </c>
      <c r="AN70" s="10"/>
      <c r="AO70" s="10"/>
      <c r="AP70" s="11">
        <v>0</v>
      </c>
      <c r="AQ70" s="10"/>
      <c r="AR70" s="10"/>
      <c r="AS70" s="11">
        <v>0</v>
      </c>
      <c r="AT70" s="10"/>
      <c r="AU70" s="10"/>
      <c r="AV70" s="11">
        <v>0</v>
      </c>
      <c r="AW70" s="10"/>
      <c r="AX70" s="10"/>
      <c r="AY70" s="11">
        <v>0</v>
      </c>
      <c r="AZ70" s="10"/>
      <c r="BA70" s="10"/>
      <c r="BB70" s="11">
        <v>0</v>
      </c>
      <c r="BC70" s="10"/>
      <c r="BD70" s="10"/>
      <c r="BE70" s="11">
        <v>0</v>
      </c>
      <c r="BF70" s="10"/>
      <c r="BG70" s="10"/>
      <c r="BH70" s="11">
        <v>0</v>
      </c>
      <c r="BI70" s="10"/>
      <c r="BJ70" s="10"/>
      <c r="BK70" s="11">
        <v>0</v>
      </c>
      <c r="BL70" s="10"/>
      <c r="BM70" s="10"/>
      <c r="BN70" s="11">
        <v>0</v>
      </c>
      <c r="BO70" s="10"/>
      <c r="BP70" s="10"/>
      <c r="BQ70" s="11">
        <v>0</v>
      </c>
      <c r="BR70" s="10"/>
      <c r="BS70" s="10"/>
      <c r="BT70" s="11">
        <v>0</v>
      </c>
      <c r="BU70" s="10"/>
      <c r="BV70" s="10"/>
      <c r="BW70" s="11">
        <v>0</v>
      </c>
      <c r="BX70" s="10"/>
      <c r="BY70" s="10"/>
      <c r="BZ70" s="11">
        <v>0</v>
      </c>
      <c r="CA70" s="10"/>
      <c r="CB70" s="10"/>
      <c r="CC70" s="11">
        <v>0</v>
      </c>
      <c r="CD70" s="10"/>
      <c r="CE70" s="10"/>
      <c r="CF70" s="11">
        <v>0</v>
      </c>
      <c r="CG70" s="10"/>
      <c r="CH70" s="10"/>
      <c r="CI70" s="11">
        <v>0</v>
      </c>
      <c r="CJ70" s="10"/>
      <c r="CK70" s="10"/>
      <c r="CL70" s="11">
        <v>0</v>
      </c>
      <c r="CM70" s="10"/>
      <c r="CN70" s="10"/>
      <c r="CO70" s="11">
        <v>0</v>
      </c>
      <c r="CP70" s="10"/>
      <c r="CQ70" s="10"/>
      <c r="CR70" s="11">
        <v>0</v>
      </c>
      <c r="CS70" s="10"/>
      <c r="CT70" s="10"/>
      <c r="CU70" s="11">
        <v>0</v>
      </c>
      <c r="CV70" s="10"/>
      <c r="CW70" s="10"/>
      <c r="CX70" s="11">
        <v>0</v>
      </c>
      <c r="CY70" s="10"/>
      <c r="CZ70" s="10"/>
      <c r="DA70" s="11">
        <v>0</v>
      </c>
      <c r="DB70" s="10">
        <v>2200000</v>
      </c>
      <c r="DC70" s="10">
        <f t="shared" si="158"/>
        <v>493700</v>
      </c>
      <c r="DD70" s="13">
        <f t="shared" si="159"/>
        <v>0.22440909090909092</v>
      </c>
      <c r="DE70" s="14"/>
    </row>
    <row r="71" spans="1:109" x14ac:dyDescent="0.35">
      <c r="A71" s="8" t="s">
        <v>200</v>
      </c>
      <c r="B71" s="9" t="s">
        <v>42</v>
      </c>
      <c r="C71" s="9" t="s">
        <v>43</v>
      </c>
      <c r="D71" s="9" t="s">
        <v>201</v>
      </c>
      <c r="E71" s="9" t="s">
        <v>45</v>
      </c>
      <c r="F71" s="9" t="s">
        <v>46</v>
      </c>
      <c r="G71" s="10"/>
      <c r="H71" s="10"/>
      <c r="I71" s="11">
        <v>0</v>
      </c>
      <c r="J71" s="10"/>
      <c r="K71" s="10"/>
      <c r="L71" s="12">
        <v>0</v>
      </c>
      <c r="M71" s="10">
        <v>560000</v>
      </c>
      <c r="N71" s="10">
        <v>547500</v>
      </c>
      <c r="O71" s="11">
        <f t="shared" si="160"/>
        <v>0.9776785714285714</v>
      </c>
      <c r="P71" s="10"/>
      <c r="Q71" s="10"/>
      <c r="R71" s="11">
        <v>0</v>
      </c>
      <c r="S71" s="10"/>
      <c r="T71" s="10"/>
      <c r="U71" s="11">
        <v>0</v>
      </c>
      <c r="V71" s="10"/>
      <c r="W71" s="10"/>
      <c r="X71" s="11">
        <v>0</v>
      </c>
      <c r="Y71" s="10"/>
      <c r="Z71" s="10"/>
      <c r="AA71" s="11"/>
      <c r="AB71" s="10"/>
      <c r="AC71" s="10"/>
      <c r="AD71" s="11">
        <v>0</v>
      </c>
      <c r="AE71" s="10"/>
      <c r="AF71" s="10"/>
      <c r="AG71" s="11">
        <v>0</v>
      </c>
      <c r="AH71" s="10"/>
      <c r="AI71" s="10"/>
      <c r="AJ71" s="11">
        <v>0</v>
      </c>
      <c r="AK71" s="10"/>
      <c r="AL71" s="10"/>
      <c r="AM71" s="11">
        <v>0</v>
      </c>
      <c r="AN71" s="10"/>
      <c r="AO71" s="10"/>
      <c r="AP71" s="11">
        <v>0</v>
      </c>
      <c r="AQ71" s="10"/>
      <c r="AR71" s="10"/>
      <c r="AS71" s="11">
        <v>0</v>
      </c>
      <c r="AT71" s="10"/>
      <c r="AU71" s="10"/>
      <c r="AV71" s="11">
        <v>0</v>
      </c>
      <c r="AW71" s="10"/>
      <c r="AX71" s="10"/>
      <c r="AY71" s="11">
        <v>0</v>
      </c>
      <c r="AZ71" s="10"/>
      <c r="BA71" s="10"/>
      <c r="BB71" s="11">
        <v>0</v>
      </c>
      <c r="BC71" s="10"/>
      <c r="BD71" s="10"/>
      <c r="BE71" s="11">
        <v>0</v>
      </c>
      <c r="BF71" s="10"/>
      <c r="BG71" s="10"/>
      <c r="BH71" s="11">
        <v>0</v>
      </c>
      <c r="BI71" s="10"/>
      <c r="BJ71" s="10"/>
      <c r="BK71" s="11">
        <v>0</v>
      </c>
      <c r="BL71" s="10"/>
      <c r="BM71" s="10"/>
      <c r="BN71" s="11">
        <v>0</v>
      </c>
      <c r="BO71" s="10"/>
      <c r="BP71" s="10"/>
      <c r="BQ71" s="11">
        <v>0</v>
      </c>
      <c r="BR71" s="10">
        <v>200000</v>
      </c>
      <c r="BS71" s="10">
        <v>304100</v>
      </c>
      <c r="BT71" s="11">
        <f t="shared" si="162"/>
        <v>1.5205</v>
      </c>
      <c r="BU71" s="10">
        <v>100000</v>
      </c>
      <c r="BV71" s="10"/>
      <c r="BW71" s="11">
        <f t="shared" si="163"/>
        <v>0</v>
      </c>
      <c r="BX71" s="10"/>
      <c r="BY71" s="10"/>
      <c r="BZ71" s="11">
        <v>0</v>
      </c>
      <c r="CA71" s="10"/>
      <c r="CB71" s="10"/>
      <c r="CC71" s="11">
        <v>0</v>
      </c>
      <c r="CD71" s="10"/>
      <c r="CE71" s="10"/>
      <c r="CF71" s="11">
        <v>0</v>
      </c>
      <c r="CG71" s="10"/>
      <c r="CH71" s="10"/>
      <c r="CI71" s="11">
        <v>0</v>
      </c>
      <c r="CJ71" s="10"/>
      <c r="CK71" s="10"/>
      <c r="CL71" s="11">
        <v>0</v>
      </c>
      <c r="CM71" s="10"/>
      <c r="CN71" s="10"/>
      <c r="CO71" s="11">
        <v>0</v>
      </c>
      <c r="CP71" s="10"/>
      <c r="CQ71" s="10"/>
      <c r="CR71" s="11">
        <v>0</v>
      </c>
      <c r="CS71" s="10"/>
      <c r="CT71" s="10"/>
      <c r="CU71" s="11">
        <v>0</v>
      </c>
      <c r="CV71" s="10"/>
      <c r="CW71" s="10"/>
      <c r="CX71" s="11">
        <v>0</v>
      </c>
      <c r="CY71" s="10"/>
      <c r="CZ71" s="10"/>
      <c r="DA71" s="11">
        <v>0</v>
      </c>
      <c r="DB71" s="10">
        <v>860000</v>
      </c>
      <c r="DC71" s="10">
        <f t="shared" si="158"/>
        <v>851600</v>
      </c>
      <c r="DD71" s="13">
        <f t="shared" si="159"/>
        <v>0.99023255813953492</v>
      </c>
      <c r="DE71" s="14"/>
    </row>
    <row r="72" spans="1:109" x14ac:dyDescent="0.35">
      <c r="A72" s="8" t="s">
        <v>202</v>
      </c>
      <c r="B72" s="9" t="s">
        <v>74</v>
      </c>
      <c r="C72" s="9" t="s">
        <v>52</v>
      </c>
      <c r="D72" s="9" t="s">
        <v>203</v>
      </c>
      <c r="E72" s="9" t="s">
        <v>54</v>
      </c>
      <c r="F72" s="9" t="s">
        <v>55</v>
      </c>
      <c r="G72" s="10"/>
      <c r="H72" s="10"/>
      <c r="I72" s="11">
        <v>0</v>
      </c>
      <c r="J72" s="10"/>
      <c r="K72" s="10"/>
      <c r="L72" s="12">
        <v>0</v>
      </c>
      <c r="M72" s="10">
        <v>56000</v>
      </c>
      <c r="N72" s="10"/>
      <c r="O72" s="11">
        <f t="shared" ref="O72:O89" si="179">N72/M72</f>
        <v>0</v>
      </c>
      <c r="P72" s="10"/>
      <c r="Q72" s="10"/>
      <c r="R72" s="11">
        <v>0</v>
      </c>
      <c r="S72" s="10"/>
      <c r="T72" s="10"/>
      <c r="U72" s="11">
        <v>0</v>
      </c>
      <c r="V72" s="10"/>
      <c r="W72" s="10"/>
      <c r="X72" s="11">
        <v>0</v>
      </c>
      <c r="Y72" s="10"/>
      <c r="Z72" s="10"/>
      <c r="AA72" s="11"/>
      <c r="AB72" s="10"/>
      <c r="AC72" s="10"/>
      <c r="AD72" s="11">
        <v>0</v>
      </c>
      <c r="AE72" s="10">
        <v>400000</v>
      </c>
      <c r="AF72" s="10"/>
      <c r="AG72" s="11">
        <f t="shared" ref="AG72:AG91" si="180">AF72/AE72</f>
        <v>0</v>
      </c>
      <c r="AH72" s="10"/>
      <c r="AI72" s="10"/>
      <c r="AJ72" s="11">
        <v>0</v>
      </c>
      <c r="AK72" s="10"/>
      <c r="AL72" s="10"/>
      <c r="AM72" s="11">
        <v>0</v>
      </c>
      <c r="AN72" s="10"/>
      <c r="AO72" s="10"/>
      <c r="AP72" s="11">
        <v>0</v>
      </c>
      <c r="AQ72" s="10"/>
      <c r="AR72" s="10"/>
      <c r="AS72" s="11">
        <v>0</v>
      </c>
      <c r="AT72" s="10"/>
      <c r="AU72" s="10"/>
      <c r="AV72" s="11">
        <v>0</v>
      </c>
      <c r="AW72" s="10"/>
      <c r="AX72" s="10"/>
      <c r="AY72" s="11">
        <v>0</v>
      </c>
      <c r="AZ72" s="10"/>
      <c r="BA72" s="10"/>
      <c r="BB72" s="11">
        <v>0</v>
      </c>
      <c r="BC72" s="10"/>
      <c r="BD72" s="10"/>
      <c r="BE72" s="11">
        <v>0</v>
      </c>
      <c r="BF72" s="10">
        <v>400000</v>
      </c>
      <c r="BG72" s="10"/>
      <c r="BH72" s="11">
        <f t="shared" ref="BH72:BH91" si="181">BG72/BF72</f>
        <v>0</v>
      </c>
      <c r="BI72" s="10"/>
      <c r="BJ72" s="10"/>
      <c r="BK72" s="11">
        <v>0</v>
      </c>
      <c r="BL72" s="10"/>
      <c r="BM72" s="10"/>
      <c r="BN72" s="11">
        <v>0</v>
      </c>
      <c r="BO72" s="10"/>
      <c r="BP72" s="10"/>
      <c r="BQ72" s="11">
        <v>0</v>
      </c>
      <c r="BR72" s="10"/>
      <c r="BS72" s="10"/>
      <c r="BT72" s="11">
        <v>0</v>
      </c>
      <c r="BU72" s="10"/>
      <c r="BV72" s="10"/>
      <c r="BW72" s="11">
        <v>0</v>
      </c>
      <c r="BX72" s="10"/>
      <c r="BY72" s="10"/>
      <c r="BZ72" s="11">
        <v>0</v>
      </c>
      <c r="CA72" s="10"/>
      <c r="CB72" s="10"/>
      <c r="CC72" s="11">
        <v>0</v>
      </c>
      <c r="CD72" s="10"/>
      <c r="CE72" s="10"/>
      <c r="CF72" s="11">
        <v>0</v>
      </c>
      <c r="CG72" s="10">
        <v>80000</v>
      </c>
      <c r="CH72" s="10"/>
      <c r="CI72" s="11">
        <f t="shared" ref="CI72:CI89" si="182">CH72/CG72</f>
        <v>0</v>
      </c>
      <c r="CJ72" s="10"/>
      <c r="CK72" s="10">
        <v>275000</v>
      </c>
      <c r="CL72" s="11">
        <v>0</v>
      </c>
      <c r="CM72" s="10">
        <v>25000</v>
      </c>
      <c r="CN72" s="10"/>
      <c r="CO72" s="11">
        <v>0</v>
      </c>
      <c r="CP72" s="10"/>
      <c r="CQ72" s="10"/>
      <c r="CR72" s="11">
        <v>0</v>
      </c>
      <c r="CS72" s="10"/>
      <c r="CT72" s="10">
        <v>165000</v>
      </c>
      <c r="CU72" s="11">
        <v>0</v>
      </c>
      <c r="CV72" s="10"/>
      <c r="CW72" s="10"/>
      <c r="CX72" s="11">
        <v>0</v>
      </c>
      <c r="CY72" s="10"/>
      <c r="CZ72" s="10"/>
      <c r="DA72" s="11">
        <v>0</v>
      </c>
      <c r="DB72" s="10">
        <v>961000</v>
      </c>
      <c r="DC72" s="10">
        <f t="shared" ref="DC72:DC91" si="183">SUM(H72,K72,N72,Q72,T72,W72,Z72,AC72,AF72,AI72,AL72,AO72,AR72,AU72,AX72,BA72,BD72,BG72,BJ72,BM72,BP72,BS72,BV72,BY72,CB72,CE72,CH72,CK72,CN72,CQ72,CT72,CW72,CZ72)</f>
        <v>440000</v>
      </c>
      <c r="DD72" s="13">
        <f t="shared" ref="DD72:DD91" si="184">DC72/DB72</f>
        <v>0.45785639958376689</v>
      </c>
      <c r="DE72" s="14"/>
    </row>
    <row r="73" spans="1:109" x14ac:dyDescent="0.35">
      <c r="A73" s="8" t="s">
        <v>204</v>
      </c>
      <c r="B73" s="9" t="s">
        <v>140</v>
      </c>
      <c r="C73" s="9" t="s">
        <v>43</v>
      </c>
      <c r="D73" s="9" t="s">
        <v>205</v>
      </c>
      <c r="E73" s="9" t="s">
        <v>45</v>
      </c>
      <c r="F73" s="9" t="s">
        <v>46</v>
      </c>
      <c r="G73" s="10"/>
      <c r="H73" s="10"/>
      <c r="I73" s="11">
        <v>0</v>
      </c>
      <c r="J73" s="10"/>
      <c r="K73" s="10"/>
      <c r="L73" s="12">
        <v>0</v>
      </c>
      <c r="M73" s="10">
        <v>1800000</v>
      </c>
      <c r="N73" s="10">
        <v>522500</v>
      </c>
      <c r="O73" s="11">
        <f t="shared" si="179"/>
        <v>0.2902777777777778</v>
      </c>
      <c r="P73" s="10"/>
      <c r="Q73" s="10"/>
      <c r="R73" s="11">
        <v>0</v>
      </c>
      <c r="S73" s="10"/>
      <c r="T73" s="10"/>
      <c r="U73" s="11">
        <v>0</v>
      </c>
      <c r="V73" s="10"/>
      <c r="W73" s="10"/>
      <c r="X73" s="11">
        <v>0</v>
      </c>
      <c r="Y73" s="10"/>
      <c r="Z73" s="10">
        <v>69500</v>
      </c>
      <c r="AA73" s="11"/>
      <c r="AB73" s="10"/>
      <c r="AC73" s="10"/>
      <c r="AD73" s="11">
        <v>0</v>
      </c>
      <c r="AE73" s="10"/>
      <c r="AF73" s="10"/>
      <c r="AG73" s="11">
        <v>0</v>
      </c>
      <c r="AH73" s="10"/>
      <c r="AI73" s="10"/>
      <c r="AJ73" s="11">
        <v>0</v>
      </c>
      <c r="AK73" s="10"/>
      <c r="AL73" s="10"/>
      <c r="AM73" s="11">
        <v>0</v>
      </c>
      <c r="AN73" s="10"/>
      <c r="AO73" s="10"/>
      <c r="AP73" s="11">
        <v>0</v>
      </c>
      <c r="AQ73" s="10"/>
      <c r="AR73" s="10"/>
      <c r="AS73" s="11">
        <v>0</v>
      </c>
      <c r="AT73" s="10"/>
      <c r="AU73" s="10"/>
      <c r="AV73" s="11">
        <v>0</v>
      </c>
      <c r="AW73" s="10"/>
      <c r="AX73" s="10"/>
      <c r="AY73" s="11">
        <v>0</v>
      </c>
      <c r="AZ73" s="10"/>
      <c r="BA73" s="10"/>
      <c r="BB73" s="11">
        <v>0</v>
      </c>
      <c r="BC73" s="10"/>
      <c r="BD73" s="10"/>
      <c r="BE73" s="11">
        <v>0</v>
      </c>
      <c r="BF73" s="10"/>
      <c r="BG73" s="10"/>
      <c r="BH73" s="11">
        <v>0</v>
      </c>
      <c r="BI73" s="10"/>
      <c r="BJ73" s="10"/>
      <c r="BK73" s="11">
        <v>0</v>
      </c>
      <c r="BL73" s="10"/>
      <c r="BM73" s="10"/>
      <c r="BN73" s="11">
        <v>0</v>
      </c>
      <c r="BO73" s="10"/>
      <c r="BP73" s="10"/>
      <c r="BQ73" s="11">
        <v>0</v>
      </c>
      <c r="BR73" s="10">
        <v>1000000</v>
      </c>
      <c r="BS73" s="10"/>
      <c r="BT73" s="11">
        <f t="shared" ref="BT73:BT77" si="185">BS73/BR73</f>
        <v>0</v>
      </c>
      <c r="BU73" s="10">
        <v>200000</v>
      </c>
      <c r="BV73" s="10"/>
      <c r="BW73" s="11">
        <f t="shared" ref="BW73:BW77" si="186">BV73/BU73</f>
        <v>0</v>
      </c>
      <c r="BX73" s="10"/>
      <c r="BY73" s="10"/>
      <c r="BZ73" s="11">
        <v>0</v>
      </c>
      <c r="CA73" s="10"/>
      <c r="CB73" s="10"/>
      <c r="CC73" s="11">
        <v>0</v>
      </c>
      <c r="CD73" s="10"/>
      <c r="CE73" s="10"/>
      <c r="CF73" s="11">
        <v>0</v>
      </c>
      <c r="CG73" s="10"/>
      <c r="CH73" s="10"/>
      <c r="CI73" s="11">
        <v>0</v>
      </c>
      <c r="CJ73" s="10"/>
      <c r="CK73" s="10"/>
      <c r="CL73" s="11">
        <v>0</v>
      </c>
      <c r="CM73" s="10"/>
      <c r="CN73" s="10"/>
      <c r="CO73" s="11">
        <v>0</v>
      </c>
      <c r="CP73" s="10"/>
      <c r="CQ73" s="10"/>
      <c r="CR73" s="11">
        <v>0</v>
      </c>
      <c r="CS73" s="10"/>
      <c r="CT73" s="10"/>
      <c r="CU73" s="11">
        <v>0</v>
      </c>
      <c r="CV73" s="10"/>
      <c r="CW73" s="10"/>
      <c r="CX73" s="11">
        <v>0</v>
      </c>
      <c r="CY73" s="10"/>
      <c r="CZ73" s="10"/>
      <c r="DA73" s="11">
        <v>0</v>
      </c>
      <c r="DB73" s="10">
        <v>3000000</v>
      </c>
      <c r="DC73" s="10">
        <f t="shared" si="183"/>
        <v>592000</v>
      </c>
      <c r="DD73" s="13">
        <f t="shared" si="184"/>
        <v>0.19733333333333333</v>
      </c>
      <c r="DE73" s="14"/>
    </row>
    <row r="74" spans="1:109" x14ac:dyDescent="0.35">
      <c r="A74" s="8" t="s">
        <v>206</v>
      </c>
      <c r="B74" s="9" t="s">
        <v>108</v>
      </c>
      <c r="C74" s="9" t="s">
        <v>52</v>
      </c>
      <c r="D74" s="9" t="s">
        <v>207</v>
      </c>
      <c r="E74" s="9" t="s">
        <v>54</v>
      </c>
      <c r="F74" s="9" t="s">
        <v>55</v>
      </c>
      <c r="G74" s="10"/>
      <c r="H74" s="10"/>
      <c r="I74" s="11">
        <v>0</v>
      </c>
      <c r="J74" s="10"/>
      <c r="K74" s="10"/>
      <c r="L74" s="12">
        <v>0</v>
      </c>
      <c r="M74" s="10"/>
      <c r="N74" s="10"/>
      <c r="O74" s="11">
        <v>0</v>
      </c>
      <c r="P74" s="10"/>
      <c r="Q74" s="10">
        <v>91000</v>
      </c>
      <c r="R74" s="11">
        <v>0</v>
      </c>
      <c r="S74" s="10"/>
      <c r="T74" s="10"/>
      <c r="U74" s="11">
        <v>0</v>
      </c>
      <c r="V74" s="10"/>
      <c r="W74" s="10">
        <v>9900</v>
      </c>
      <c r="X74" s="11">
        <v>0</v>
      </c>
      <c r="Y74" s="10"/>
      <c r="Z74" s="10"/>
      <c r="AA74" s="11"/>
      <c r="AB74" s="10"/>
      <c r="AC74" s="10"/>
      <c r="AD74" s="11">
        <v>0</v>
      </c>
      <c r="AE74" s="10"/>
      <c r="AF74" s="10"/>
      <c r="AG74" s="11">
        <v>0</v>
      </c>
      <c r="AH74" s="10"/>
      <c r="AI74" s="10"/>
      <c r="AJ74" s="11">
        <v>0</v>
      </c>
      <c r="AK74" s="10"/>
      <c r="AL74" s="10"/>
      <c r="AM74" s="11">
        <v>0</v>
      </c>
      <c r="AN74" s="10"/>
      <c r="AO74" s="10"/>
      <c r="AP74" s="11">
        <v>0</v>
      </c>
      <c r="AQ74" s="10"/>
      <c r="AR74" s="10"/>
      <c r="AS74" s="11">
        <v>0</v>
      </c>
      <c r="AT74" s="10"/>
      <c r="AU74" s="10">
        <v>20000</v>
      </c>
      <c r="AV74" s="11">
        <v>0</v>
      </c>
      <c r="AW74" s="10"/>
      <c r="AX74" s="10"/>
      <c r="AY74" s="11">
        <v>0</v>
      </c>
      <c r="AZ74" s="10"/>
      <c r="BA74" s="10"/>
      <c r="BB74" s="11">
        <v>0</v>
      </c>
      <c r="BC74" s="10"/>
      <c r="BD74" s="10"/>
      <c r="BE74" s="11">
        <v>0</v>
      </c>
      <c r="BF74" s="10">
        <v>1800000</v>
      </c>
      <c r="BG74" s="10">
        <f>VLOOKUP(A:A,'[1]2026 Customer Brand Sales'!$A:$BA,53,0)</f>
        <v>924110</v>
      </c>
      <c r="BH74" s="11">
        <f t="shared" si="181"/>
        <v>0.51339444444444449</v>
      </c>
      <c r="BI74" s="10"/>
      <c r="BJ74" s="10"/>
      <c r="BK74" s="11">
        <v>0</v>
      </c>
      <c r="BL74" s="10">
        <v>400000</v>
      </c>
      <c r="BM74" s="10">
        <v>81355</v>
      </c>
      <c r="BN74" s="11">
        <f t="shared" ref="BN74:BN88" si="187">BM74/BL74</f>
        <v>0.2033875</v>
      </c>
      <c r="BO74" s="10"/>
      <c r="BP74" s="10"/>
      <c r="BQ74" s="11">
        <v>0</v>
      </c>
      <c r="BR74" s="10"/>
      <c r="BS74" s="10"/>
      <c r="BT74" s="11">
        <v>0</v>
      </c>
      <c r="BU74" s="10"/>
      <c r="BV74" s="10"/>
      <c r="BW74" s="11">
        <v>0</v>
      </c>
      <c r="BX74" s="10"/>
      <c r="BY74" s="10"/>
      <c r="BZ74" s="11">
        <v>0</v>
      </c>
      <c r="CA74" s="10"/>
      <c r="CB74" s="10"/>
      <c r="CC74" s="11">
        <v>0</v>
      </c>
      <c r="CD74" s="10"/>
      <c r="CE74" s="10"/>
      <c r="CF74" s="11">
        <v>0</v>
      </c>
      <c r="CG74" s="10"/>
      <c r="CH74" s="10"/>
      <c r="CI74" s="11">
        <v>0</v>
      </c>
      <c r="CJ74" s="10"/>
      <c r="CK74" s="10"/>
      <c r="CL74" s="11">
        <v>0</v>
      </c>
      <c r="CM74" s="10"/>
      <c r="CN74" s="10"/>
      <c r="CO74" s="11">
        <v>0</v>
      </c>
      <c r="CP74" s="10"/>
      <c r="CQ74" s="10"/>
      <c r="CR74" s="11">
        <v>0</v>
      </c>
      <c r="CS74" s="10"/>
      <c r="CT74" s="10"/>
      <c r="CU74" s="11">
        <v>0</v>
      </c>
      <c r="CV74" s="10"/>
      <c r="CW74" s="10"/>
      <c r="CX74" s="11">
        <v>0</v>
      </c>
      <c r="CY74" s="10"/>
      <c r="CZ74" s="10"/>
      <c r="DA74" s="11">
        <v>0</v>
      </c>
      <c r="DB74" s="10">
        <v>2200000</v>
      </c>
      <c r="DC74" s="10">
        <f t="shared" si="183"/>
        <v>1126365</v>
      </c>
      <c r="DD74" s="13">
        <f t="shared" si="184"/>
        <v>0.51198409090909092</v>
      </c>
      <c r="DE74" s="14"/>
    </row>
    <row r="75" spans="1:109" x14ac:dyDescent="0.35">
      <c r="A75" s="8" t="s">
        <v>208</v>
      </c>
      <c r="B75" s="9" t="s">
        <v>172</v>
      </c>
      <c r="C75" s="9" t="s">
        <v>52</v>
      </c>
      <c r="D75" s="9" t="s">
        <v>209</v>
      </c>
      <c r="E75" s="9" t="s">
        <v>54</v>
      </c>
      <c r="F75" s="9" t="s">
        <v>55</v>
      </c>
      <c r="G75" s="10"/>
      <c r="H75" s="10"/>
      <c r="I75" s="11">
        <v>0</v>
      </c>
      <c r="J75" s="10"/>
      <c r="K75" s="10"/>
      <c r="L75" s="12">
        <v>0</v>
      </c>
      <c r="M75" s="10"/>
      <c r="N75" s="10"/>
      <c r="O75" s="11">
        <v>0</v>
      </c>
      <c r="P75" s="10"/>
      <c r="Q75" s="10"/>
      <c r="R75" s="11">
        <v>0</v>
      </c>
      <c r="S75" s="10"/>
      <c r="T75" s="10"/>
      <c r="U75" s="11">
        <v>0</v>
      </c>
      <c r="V75" s="10">
        <v>1000000</v>
      </c>
      <c r="W75" s="10">
        <v>109350</v>
      </c>
      <c r="X75" s="11">
        <v>0.10935</v>
      </c>
      <c r="Y75" s="10"/>
      <c r="Z75" s="10"/>
      <c r="AA75" s="11"/>
      <c r="AB75" s="10"/>
      <c r="AC75" s="10"/>
      <c r="AD75" s="11">
        <v>0</v>
      </c>
      <c r="AE75" s="10"/>
      <c r="AF75" s="10"/>
      <c r="AG75" s="11">
        <v>0</v>
      </c>
      <c r="AH75" s="10"/>
      <c r="AI75" s="10"/>
      <c r="AJ75" s="11">
        <v>0</v>
      </c>
      <c r="AK75" s="10"/>
      <c r="AL75" s="10"/>
      <c r="AM75" s="11">
        <v>0</v>
      </c>
      <c r="AN75" s="10"/>
      <c r="AO75" s="10"/>
      <c r="AP75" s="11">
        <v>0</v>
      </c>
      <c r="AQ75" s="10"/>
      <c r="AR75" s="10"/>
      <c r="AS75" s="11">
        <v>0</v>
      </c>
      <c r="AT75" s="10"/>
      <c r="AU75" s="10"/>
      <c r="AV75" s="11">
        <v>0</v>
      </c>
      <c r="AW75" s="10"/>
      <c r="AX75" s="10"/>
      <c r="AY75" s="11">
        <v>0</v>
      </c>
      <c r="AZ75" s="10"/>
      <c r="BA75" s="10"/>
      <c r="BB75" s="11">
        <v>0</v>
      </c>
      <c r="BC75" s="10"/>
      <c r="BD75" s="10"/>
      <c r="BE75" s="11">
        <v>0</v>
      </c>
      <c r="BF75" s="10"/>
      <c r="BG75" s="10"/>
      <c r="BH75" s="11">
        <v>0</v>
      </c>
      <c r="BI75" s="10"/>
      <c r="BJ75" s="10"/>
      <c r="BK75" s="11">
        <v>0</v>
      </c>
      <c r="BL75" s="10"/>
      <c r="BM75" s="10"/>
      <c r="BN75" s="11">
        <v>0</v>
      </c>
      <c r="BO75" s="10"/>
      <c r="BP75" s="10"/>
      <c r="BQ75" s="11">
        <v>0</v>
      </c>
      <c r="BR75" s="10"/>
      <c r="BS75" s="10"/>
      <c r="BT75" s="11">
        <v>0</v>
      </c>
      <c r="BU75" s="10"/>
      <c r="BV75" s="10"/>
      <c r="BW75" s="11">
        <v>0</v>
      </c>
      <c r="BX75" s="10"/>
      <c r="BY75" s="10"/>
      <c r="BZ75" s="11">
        <v>0</v>
      </c>
      <c r="CA75" s="10"/>
      <c r="CB75" s="10"/>
      <c r="CC75" s="11">
        <v>0</v>
      </c>
      <c r="CD75" s="10"/>
      <c r="CE75" s="10"/>
      <c r="CF75" s="11">
        <v>0</v>
      </c>
      <c r="CG75" s="10"/>
      <c r="CH75" s="10"/>
      <c r="CI75" s="11">
        <v>0</v>
      </c>
      <c r="CJ75" s="10"/>
      <c r="CK75" s="10"/>
      <c r="CL75" s="11">
        <v>0</v>
      </c>
      <c r="CM75" s="10"/>
      <c r="CN75" s="10"/>
      <c r="CO75" s="11">
        <v>0</v>
      </c>
      <c r="CP75" s="10"/>
      <c r="CQ75" s="10"/>
      <c r="CR75" s="11">
        <v>0</v>
      </c>
      <c r="CS75" s="10"/>
      <c r="CT75" s="10"/>
      <c r="CU75" s="11">
        <v>0</v>
      </c>
      <c r="CV75" s="10"/>
      <c r="CW75" s="10"/>
      <c r="CX75" s="11">
        <v>0</v>
      </c>
      <c r="CY75" s="10"/>
      <c r="CZ75" s="10"/>
      <c r="DA75" s="11">
        <v>0</v>
      </c>
      <c r="DB75" s="10">
        <v>1000000</v>
      </c>
      <c r="DC75" s="10">
        <f t="shared" si="183"/>
        <v>109350</v>
      </c>
      <c r="DD75" s="13">
        <f t="shared" si="184"/>
        <v>0.10935</v>
      </c>
      <c r="DE75" s="14"/>
    </row>
    <row r="76" spans="1:109" x14ac:dyDescent="0.35">
      <c r="A76" s="8" t="s">
        <v>210</v>
      </c>
      <c r="B76" s="9" t="s">
        <v>42</v>
      </c>
      <c r="C76" s="9" t="s">
        <v>43</v>
      </c>
      <c r="D76" s="9" t="s">
        <v>211</v>
      </c>
      <c r="E76" s="9" t="s">
        <v>45</v>
      </c>
      <c r="F76" s="9" t="s">
        <v>46</v>
      </c>
      <c r="G76" s="10"/>
      <c r="H76" s="10">
        <v>700000</v>
      </c>
      <c r="I76" s="11">
        <v>0</v>
      </c>
      <c r="J76" s="10"/>
      <c r="K76" s="10"/>
      <c r="L76" s="12">
        <v>0</v>
      </c>
      <c r="M76" s="10">
        <v>2240000</v>
      </c>
      <c r="N76" s="10">
        <v>187500</v>
      </c>
      <c r="O76" s="11">
        <f t="shared" si="179"/>
        <v>8.3705357142857137E-2</v>
      </c>
      <c r="P76" s="10">
        <v>100000</v>
      </c>
      <c r="Q76" s="10"/>
      <c r="R76" s="11">
        <f t="shared" ref="R76" si="188">Q76/P76</f>
        <v>0</v>
      </c>
      <c r="S76" s="10"/>
      <c r="T76" s="10"/>
      <c r="U76" s="11">
        <v>0</v>
      </c>
      <c r="V76" s="10"/>
      <c r="W76" s="10"/>
      <c r="X76" s="11">
        <v>0</v>
      </c>
      <c r="Y76" s="10">
        <v>400000</v>
      </c>
      <c r="Z76" s="10">
        <v>346500</v>
      </c>
      <c r="AA76" s="11">
        <f t="shared" ref="AA76:AA89" si="189">Z76/Y76</f>
        <v>0.86624999999999996</v>
      </c>
      <c r="AB76" s="10"/>
      <c r="AC76" s="10"/>
      <c r="AD76" s="11">
        <v>0</v>
      </c>
      <c r="AE76" s="10"/>
      <c r="AF76" s="10"/>
      <c r="AG76" s="11">
        <v>0</v>
      </c>
      <c r="AH76" s="10"/>
      <c r="AI76" s="10"/>
      <c r="AJ76" s="11">
        <v>0</v>
      </c>
      <c r="AK76" s="10"/>
      <c r="AL76" s="10"/>
      <c r="AM76" s="11">
        <v>0</v>
      </c>
      <c r="AN76" s="10"/>
      <c r="AO76" s="10"/>
      <c r="AP76" s="11">
        <v>0</v>
      </c>
      <c r="AQ76" s="10">
        <v>500000</v>
      </c>
      <c r="AR76" s="10"/>
      <c r="AS76" s="11">
        <f t="shared" ref="AS76" si="190">AR76/AQ76</f>
        <v>0</v>
      </c>
      <c r="AT76" s="10"/>
      <c r="AU76" s="10"/>
      <c r="AV76" s="11">
        <v>0</v>
      </c>
      <c r="AW76" s="10"/>
      <c r="AX76" s="10"/>
      <c r="AY76" s="11">
        <v>0</v>
      </c>
      <c r="AZ76" s="10"/>
      <c r="BA76" s="10">
        <v>255000</v>
      </c>
      <c r="BB76" s="11">
        <v>0</v>
      </c>
      <c r="BC76" s="10"/>
      <c r="BD76" s="10"/>
      <c r="BE76" s="11">
        <v>0</v>
      </c>
      <c r="BF76" s="10"/>
      <c r="BG76" s="10">
        <f>VLOOKUP(A:A,'[1]2026 Customer Brand Sales'!$A:$BA,53,0)</f>
        <v>8000</v>
      </c>
      <c r="BH76" s="11">
        <v>0</v>
      </c>
      <c r="BI76" s="10"/>
      <c r="BJ76" s="10"/>
      <c r="BK76" s="11">
        <v>0</v>
      </c>
      <c r="BL76" s="10"/>
      <c r="BM76" s="10"/>
      <c r="BN76" s="11">
        <v>0</v>
      </c>
      <c r="BO76" s="10"/>
      <c r="BP76" s="10"/>
      <c r="BQ76" s="11">
        <v>0</v>
      </c>
      <c r="BR76" s="10"/>
      <c r="BS76" s="10"/>
      <c r="BT76" s="11">
        <v>0</v>
      </c>
      <c r="BU76" s="10"/>
      <c r="BV76" s="10"/>
      <c r="BW76" s="11">
        <v>0</v>
      </c>
      <c r="BX76" s="10">
        <v>2966820</v>
      </c>
      <c r="BY76" s="10">
        <v>305000</v>
      </c>
      <c r="BZ76" s="11">
        <f t="shared" ref="BZ76:BZ90" si="191">BY76/BX76</f>
        <v>0.10280367531565784</v>
      </c>
      <c r="CA76" s="10"/>
      <c r="CB76" s="10"/>
      <c r="CC76" s="11">
        <v>0</v>
      </c>
      <c r="CD76" s="10"/>
      <c r="CE76" s="10"/>
      <c r="CF76" s="11">
        <v>0</v>
      </c>
      <c r="CG76" s="10">
        <v>4400000</v>
      </c>
      <c r="CH76" s="10">
        <v>452500</v>
      </c>
      <c r="CI76" s="11">
        <f t="shared" si="182"/>
        <v>0.10284090909090909</v>
      </c>
      <c r="CJ76" s="10"/>
      <c r="CK76" s="10"/>
      <c r="CL76" s="11">
        <v>0</v>
      </c>
      <c r="CM76" s="10">
        <v>50000</v>
      </c>
      <c r="CN76" s="10"/>
      <c r="CO76" s="11">
        <v>0</v>
      </c>
      <c r="CP76" s="10"/>
      <c r="CQ76" s="10"/>
      <c r="CR76" s="11">
        <v>0</v>
      </c>
      <c r="CS76" s="10"/>
      <c r="CT76" s="10">
        <v>225000</v>
      </c>
      <c r="CU76" s="11">
        <v>0</v>
      </c>
      <c r="CV76" s="10">
        <v>100000</v>
      </c>
      <c r="CW76" s="10"/>
      <c r="CX76" s="11">
        <f t="shared" ref="CX76" si="192">CW76/CV76</f>
        <v>0</v>
      </c>
      <c r="CY76" s="10"/>
      <c r="CZ76" s="10"/>
      <c r="DA76" s="11">
        <v>0</v>
      </c>
      <c r="DB76" s="10">
        <v>10756820</v>
      </c>
      <c r="DC76" s="10">
        <f t="shared" si="183"/>
        <v>2479500</v>
      </c>
      <c r="DD76" s="13">
        <f t="shared" si="184"/>
        <v>0.23050492617706719</v>
      </c>
      <c r="DE76" s="14"/>
    </row>
    <row r="77" spans="1:109" x14ac:dyDescent="0.35">
      <c r="A77" s="8" t="s">
        <v>212</v>
      </c>
      <c r="B77" s="9" t="s">
        <v>140</v>
      </c>
      <c r="C77" s="9" t="s">
        <v>43</v>
      </c>
      <c r="D77" s="9" t="s">
        <v>213</v>
      </c>
      <c r="E77" s="9" t="s">
        <v>45</v>
      </c>
      <c r="F77" s="9" t="s">
        <v>46</v>
      </c>
      <c r="G77" s="10"/>
      <c r="H77" s="10"/>
      <c r="I77" s="11">
        <v>0</v>
      </c>
      <c r="J77" s="10"/>
      <c r="K77" s="10"/>
      <c r="L77" s="12">
        <v>0</v>
      </c>
      <c r="M77" s="10">
        <v>6720000</v>
      </c>
      <c r="N77" s="10">
        <v>1199000</v>
      </c>
      <c r="O77" s="11">
        <f t="shared" si="179"/>
        <v>0.17842261904761905</v>
      </c>
      <c r="P77" s="10"/>
      <c r="Q77" s="10"/>
      <c r="R77" s="11">
        <v>0</v>
      </c>
      <c r="S77" s="10"/>
      <c r="T77" s="10"/>
      <c r="U77" s="11">
        <v>0</v>
      </c>
      <c r="V77" s="10"/>
      <c r="W77" s="10"/>
      <c r="X77" s="11">
        <v>0</v>
      </c>
      <c r="Y77" s="10"/>
      <c r="Z77" s="10"/>
      <c r="AA77" s="11"/>
      <c r="AB77" s="10"/>
      <c r="AC77" s="10"/>
      <c r="AD77" s="11">
        <v>0</v>
      </c>
      <c r="AE77" s="10"/>
      <c r="AF77" s="10"/>
      <c r="AG77" s="11">
        <v>0</v>
      </c>
      <c r="AH77" s="10"/>
      <c r="AI77" s="10"/>
      <c r="AJ77" s="11">
        <v>0</v>
      </c>
      <c r="AK77" s="10"/>
      <c r="AL77" s="10"/>
      <c r="AM77" s="11">
        <v>0</v>
      </c>
      <c r="AN77" s="10"/>
      <c r="AO77" s="10"/>
      <c r="AP77" s="11">
        <v>0</v>
      </c>
      <c r="AQ77" s="10"/>
      <c r="AR77" s="10"/>
      <c r="AS77" s="11">
        <v>0</v>
      </c>
      <c r="AT77" s="10"/>
      <c r="AU77" s="10"/>
      <c r="AV77" s="11">
        <v>0</v>
      </c>
      <c r="AW77" s="10"/>
      <c r="AX77" s="10"/>
      <c r="AY77" s="11">
        <v>0</v>
      </c>
      <c r="AZ77" s="10"/>
      <c r="BA77" s="10"/>
      <c r="BB77" s="11">
        <v>0</v>
      </c>
      <c r="BC77" s="10"/>
      <c r="BD77" s="10"/>
      <c r="BE77" s="11">
        <v>0</v>
      </c>
      <c r="BF77" s="10"/>
      <c r="BG77" s="10"/>
      <c r="BH77" s="11">
        <v>0</v>
      </c>
      <c r="BI77" s="10"/>
      <c r="BJ77" s="10"/>
      <c r="BK77" s="11">
        <v>0</v>
      </c>
      <c r="BL77" s="10"/>
      <c r="BM77" s="10"/>
      <c r="BN77" s="11">
        <v>0</v>
      </c>
      <c r="BO77" s="10"/>
      <c r="BP77" s="10"/>
      <c r="BQ77" s="11">
        <v>0</v>
      </c>
      <c r="BR77" s="10">
        <v>500000</v>
      </c>
      <c r="BS77" s="10"/>
      <c r="BT77" s="11">
        <f t="shared" si="185"/>
        <v>0</v>
      </c>
      <c r="BU77" s="10">
        <v>200000</v>
      </c>
      <c r="BV77" s="10"/>
      <c r="BW77" s="11">
        <f t="shared" si="186"/>
        <v>0</v>
      </c>
      <c r="BX77" s="10"/>
      <c r="BY77" s="10"/>
      <c r="BZ77" s="11">
        <v>0</v>
      </c>
      <c r="CA77" s="10"/>
      <c r="CB77" s="10"/>
      <c r="CC77" s="11">
        <v>0</v>
      </c>
      <c r="CD77" s="10"/>
      <c r="CE77" s="10"/>
      <c r="CF77" s="11">
        <v>0</v>
      </c>
      <c r="CG77" s="10"/>
      <c r="CH77" s="10"/>
      <c r="CI77" s="11">
        <v>0</v>
      </c>
      <c r="CJ77" s="10"/>
      <c r="CK77" s="10"/>
      <c r="CL77" s="11">
        <v>0</v>
      </c>
      <c r="CM77" s="10"/>
      <c r="CN77" s="10"/>
      <c r="CO77" s="11">
        <v>0</v>
      </c>
      <c r="CP77" s="10"/>
      <c r="CQ77" s="10"/>
      <c r="CR77" s="11">
        <v>0</v>
      </c>
      <c r="CS77" s="10"/>
      <c r="CT77" s="10"/>
      <c r="CU77" s="11">
        <v>0</v>
      </c>
      <c r="CV77" s="10"/>
      <c r="CW77" s="10"/>
      <c r="CX77" s="11">
        <v>0</v>
      </c>
      <c r="CY77" s="10"/>
      <c r="CZ77" s="10"/>
      <c r="DA77" s="11">
        <v>0</v>
      </c>
      <c r="DB77" s="10">
        <v>7420000</v>
      </c>
      <c r="DC77" s="10">
        <f t="shared" si="183"/>
        <v>1199000</v>
      </c>
      <c r="DD77" s="13">
        <f t="shared" si="184"/>
        <v>0.16159029649595688</v>
      </c>
      <c r="DE77" s="14"/>
    </row>
    <row r="78" spans="1:109" x14ac:dyDescent="0.35">
      <c r="A78" s="8" t="s">
        <v>214</v>
      </c>
      <c r="B78" s="9" t="s">
        <v>77</v>
      </c>
      <c r="C78" s="9" t="s">
        <v>43</v>
      </c>
      <c r="D78" s="9" t="s">
        <v>215</v>
      </c>
      <c r="E78" s="9" t="s">
        <v>61</v>
      </c>
      <c r="F78" s="9" t="s">
        <v>62</v>
      </c>
      <c r="G78" s="10"/>
      <c r="H78" s="10"/>
      <c r="I78" s="11">
        <v>0</v>
      </c>
      <c r="J78" s="10"/>
      <c r="K78" s="10"/>
      <c r="L78" s="12">
        <v>0</v>
      </c>
      <c r="M78" s="10"/>
      <c r="N78" s="10"/>
      <c r="O78" s="11">
        <v>0</v>
      </c>
      <c r="P78" s="10"/>
      <c r="Q78" s="10"/>
      <c r="R78" s="11">
        <v>0</v>
      </c>
      <c r="S78" s="10"/>
      <c r="T78" s="10"/>
      <c r="U78" s="11">
        <v>0</v>
      </c>
      <c r="V78" s="10">
        <v>5000000</v>
      </c>
      <c r="W78" s="10">
        <v>378400</v>
      </c>
      <c r="X78" s="11">
        <v>7.5679999999999997E-2</v>
      </c>
      <c r="Y78" s="10"/>
      <c r="Z78" s="10"/>
      <c r="AA78" s="11"/>
      <c r="AB78" s="10"/>
      <c r="AC78" s="10"/>
      <c r="AD78" s="11">
        <v>0</v>
      </c>
      <c r="AE78" s="10"/>
      <c r="AF78" s="10"/>
      <c r="AG78" s="11">
        <v>0</v>
      </c>
      <c r="AH78" s="10"/>
      <c r="AI78" s="10"/>
      <c r="AJ78" s="11">
        <v>0</v>
      </c>
      <c r="AK78" s="10"/>
      <c r="AL78" s="10"/>
      <c r="AM78" s="11">
        <v>0</v>
      </c>
      <c r="AN78" s="10"/>
      <c r="AO78" s="10"/>
      <c r="AP78" s="11">
        <v>0</v>
      </c>
      <c r="AQ78" s="10"/>
      <c r="AR78" s="10"/>
      <c r="AS78" s="11">
        <v>0</v>
      </c>
      <c r="AT78" s="10"/>
      <c r="AU78" s="10"/>
      <c r="AV78" s="11">
        <v>0</v>
      </c>
      <c r="AW78" s="10"/>
      <c r="AX78" s="10"/>
      <c r="AY78" s="11">
        <v>0</v>
      </c>
      <c r="AZ78" s="10"/>
      <c r="BA78" s="10"/>
      <c r="BB78" s="11">
        <v>0</v>
      </c>
      <c r="BC78" s="10"/>
      <c r="BD78" s="10"/>
      <c r="BE78" s="11">
        <v>0</v>
      </c>
      <c r="BF78" s="10"/>
      <c r="BG78" s="10"/>
      <c r="BH78" s="11">
        <v>0</v>
      </c>
      <c r="BI78" s="10"/>
      <c r="BJ78" s="10"/>
      <c r="BK78" s="11">
        <v>0</v>
      </c>
      <c r="BL78" s="10"/>
      <c r="BM78" s="10"/>
      <c r="BN78" s="11">
        <v>0</v>
      </c>
      <c r="BO78" s="10"/>
      <c r="BP78" s="10"/>
      <c r="BQ78" s="11">
        <v>0</v>
      </c>
      <c r="BR78" s="10"/>
      <c r="BS78" s="10"/>
      <c r="BT78" s="11">
        <v>0</v>
      </c>
      <c r="BU78" s="10"/>
      <c r="BV78" s="10"/>
      <c r="BW78" s="11">
        <v>0</v>
      </c>
      <c r="BX78" s="10"/>
      <c r="BY78" s="10"/>
      <c r="BZ78" s="11">
        <v>0</v>
      </c>
      <c r="CA78" s="10"/>
      <c r="CB78" s="10"/>
      <c r="CC78" s="11">
        <v>0</v>
      </c>
      <c r="CD78" s="10"/>
      <c r="CE78" s="10"/>
      <c r="CF78" s="11">
        <v>0</v>
      </c>
      <c r="CG78" s="10"/>
      <c r="CH78" s="10"/>
      <c r="CI78" s="11">
        <v>0</v>
      </c>
      <c r="CJ78" s="10"/>
      <c r="CK78" s="10"/>
      <c r="CL78" s="11">
        <v>0</v>
      </c>
      <c r="CM78" s="10"/>
      <c r="CN78" s="10"/>
      <c r="CO78" s="11">
        <v>0</v>
      </c>
      <c r="CP78" s="10"/>
      <c r="CQ78" s="10"/>
      <c r="CR78" s="11">
        <v>0</v>
      </c>
      <c r="CS78" s="10"/>
      <c r="CT78" s="10"/>
      <c r="CU78" s="11">
        <v>0</v>
      </c>
      <c r="CV78" s="10"/>
      <c r="CW78" s="10"/>
      <c r="CX78" s="11">
        <v>0</v>
      </c>
      <c r="CY78" s="10"/>
      <c r="CZ78" s="10"/>
      <c r="DA78" s="11">
        <v>0</v>
      </c>
      <c r="DB78" s="10">
        <v>5000000</v>
      </c>
      <c r="DC78" s="10">
        <f t="shared" si="183"/>
        <v>378400</v>
      </c>
      <c r="DD78" s="13">
        <f t="shared" si="184"/>
        <v>7.5679999999999997E-2</v>
      </c>
      <c r="DE78" s="14"/>
    </row>
    <row r="79" spans="1:109" x14ac:dyDescent="0.35">
      <c r="A79" s="8" t="s">
        <v>216</v>
      </c>
      <c r="B79" s="9" t="s">
        <v>118</v>
      </c>
      <c r="C79" s="9" t="s">
        <v>43</v>
      </c>
      <c r="D79" s="9" t="s">
        <v>217</v>
      </c>
      <c r="E79" s="9" t="s">
        <v>61</v>
      </c>
      <c r="F79" s="9" t="s">
        <v>62</v>
      </c>
      <c r="G79" s="10"/>
      <c r="H79" s="10"/>
      <c r="I79" s="11">
        <v>0</v>
      </c>
      <c r="J79" s="10"/>
      <c r="K79" s="10"/>
      <c r="L79" s="12">
        <v>0</v>
      </c>
      <c r="M79" s="10"/>
      <c r="N79" s="10"/>
      <c r="O79" s="11">
        <v>0</v>
      </c>
      <c r="P79" s="10"/>
      <c r="Q79" s="10"/>
      <c r="R79" s="11">
        <v>0</v>
      </c>
      <c r="S79" s="10"/>
      <c r="T79" s="10"/>
      <c r="U79" s="11">
        <v>0</v>
      </c>
      <c r="V79" s="10">
        <v>1000000</v>
      </c>
      <c r="W79" s="10">
        <v>352250</v>
      </c>
      <c r="X79" s="11">
        <v>0.35225000000000001</v>
      </c>
      <c r="Y79" s="10"/>
      <c r="Z79" s="10"/>
      <c r="AA79" s="11"/>
      <c r="AB79" s="10"/>
      <c r="AC79" s="10"/>
      <c r="AD79" s="11">
        <v>0</v>
      </c>
      <c r="AE79" s="10"/>
      <c r="AF79" s="10"/>
      <c r="AG79" s="11">
        <v>0</v>
      </c>
      <c r="AH79" s="10"/>
      <c r="AI79" s="10"/>
      <c r="AJ79" s="11">
        <v>0</v>
      </c>
      <c r="AK79" s="10"/>
      <c r="AL79" s="10"/>
      <c r="AM79" s="11">
        <v>0</v>
      </c>
      <c r="AN79" s="10"/>
      <c r="AO79" s="10"/>
      <c r="AP79" s="11">
        <v>0</v>
      </c>
      <c r="AQ79" s="10"/>
      <c r="AR79" s="10"/>
      <c r="AS79" s="11">
        <v>0</v>
      </c>
      <c r="AT79" s="10"/>
      <c r="AU79" s="10"/>
      <c r="AV79" s="11">
        <v>0</v>
      </c>
      <c r="AW79" s="10"/>
      <c r="AX79" s="10"/>
      <c r="AY79" s="11">
        <v>0</v>
      </c>
      <c r="AZ79" s="10"/>
      <c r="BA79" s="10"/>
      <c r="BB79" s="11">
        <v>0</v>
      </c>
      <c r="BC79" s="10"/>
      <c r="BD79" s="10"/>
      <c r="BE79" s="11">
        <v>0</v>
      </c>
      <c r="BF79" s="10"/>
      <c r="BG79" s="10"/>
      <c r="BH79" s="11">
        <v>0</v>
      </c>
      <c r="BI79" s="10"/>
      <c r="BJ79" s="10"/>
      <c r="BK79" s="11">
        <v>0</v>
      </c>
      <c r="BL79" s="10"/>
      <c r="BM79" s="10"/>
      <c r="BN79" s="11">
        <v>0</v>
      </c>
      <c r="BO79" s="10"/>
      <c r="BP79" s="10"/>
      <c r="BQ79" s="11">
        <v>0</v>
      </c>
      <c r="BR79" s="10"/>
      <c r="BS79" s="10"/>
      <c r="BT79" s="11">
        <v>0</v>
      </c>
      <c r="BU79" s="10"/>
      <c r="BV79" s="10"/>
      <c r="BW79" s="11">
        <v>0</v>
      </c>
      <c r="BX79" s="10"/>
      <c r="BY79" s="10"/>
      <c r="BZ79" s="11">
        <v>0</v>
      </c>
      <c r="CA79" s="10"/>
      <c r="CB79" s="10"/>
      <c r="CC79" s="11">
        <v>0</v>
      </c>
      <c r="CD79" s="10"/>
      <c r="CE79" s="10"/>
      <c r="CF79" s="11">
        <v>0</v>
      </c>
      <c r="CG79" s="10"/>
      <c r="CH79" s="10"/>
      <c r="CI79" s="11">
        <v>0</v>
      </c>
      <c r="CJ79" s="10"/>
      <c r="CK79" s="10"/>
      <c r="CL79" s="11">
        <v>0</v>
      </c>
      <c r="CM79" s="10"/>
      <c r="CN79" s="10"/>
      <c r="CO79" s="11">
        <v>0</v>
      </c>
      <c r="CP79" s="10"/>
      <c r="CQ79" s="10"/>
      <c r="CR79" s="11">
        <v>0</v>
      </c>
      <c r="CS79" s="10"/>
      <c r="CT79" s="10"/>
      <c r="CU79" s="11">
        <v>0</v>
      </c>
      <c r="CV79" s="10"/>
      <c r="CW79" s="10"/>
      <c r="CX79" s="11">
        <v>0</v>
      </c>
      <c r="CY79" s="10"/>
      <c r="CZ79" s="10"/>
      <c r="DA79" s="11">
        <v>0</v>
      </c>
      <c r="DB79" s="10">
        <v>1000000</v>
      </c>
      <c r="DC79" s="10">
        <f t="shared" si="183"/>
        <v>352250</v>
      </c>
      <c r="DD79" s="13">
        <f t="shared" si="184"/>
        <v>0.35225000000000001</v>
      </c>
      <c r="DE79" s="14"/>
    </row>
    <row r="80" spans="1:109" x14ac:dyDescent="0.35">
      <c r="A80" s="8" t="s">
        <v>218</v>
      </c>
      <c r="B80" s="9" t="s">
        <v>77</v>
      </c>
      <c r="C80" s="9" t="s">
        <v>43</v>
      </c>
      <c r="D80" s="9" t="s">
        <v>219</v>
      </c>
      <c r="E80" s="9" t="s">
        <v>61</v>
      </c>
      <c r="F80" s="9" t="s">
        <v>62</v>
      </c>
      <c r="G80" s="10"/>
      <c r="H80" s="10"/>
      <c r="I80" s="11">
        <v>0</v>
      </c>
      <c r="J80" s="10"/>
      <c r="K80" s="10"/>
      <c r="L80" s="12">
        <v>0</v>
      </c>
      <c r="M80" s="10"/>
      <c r="N80" s="10"/>
      <c r="O80" s="11">
        <v>0</v>
      </c>
      <c r="P80" s="10"/>
      <c r="Q80" s="10"/>
      <c r="R80" s="11">
        <v>0</v>
      </c>
      <c r="S80" s="10"/>
      <c r="T80" s="10"/>
      <c r="U80" s="11">
        <v>0</v>
      </c>
      <c r="V80" s="10">
        <v>1000000</v>
      </c>
      <c r="W80" s="10">
        <v>425600</v>
      </c>
      <c r="X80" s="11">
        <v>0.42559999999999998</v>
      </c>
      <c r="Y80" s="10"/>
      <c r="Z80" s="10"/>
      <c r="AA80" s="11"/>
      <c r="AB80" s="10"/>
      <c r="AC80" s="10"/>
      <c r="AD80" s="11">
        <v>0</v>
      </c>
      <c r="AE80" s="10"/>
      <c r="AF80" s="10"/>
      <c r="AG80" s="11">
        <v>0</v>
      </c>
      <c r="AH80" s="10"/>
      <c r="AI80" s="10"/>
      <c r="AJ80" s="11">
        <v>0</v>
      </c>
      <c r="AK80" s="10"/>
      <c r="AL80" s="10"/>
      <c r="AM80" s="11">
        <v>0</v>
      </c>
      <c r="AN80" s="10"/>
      <c r="AO80" s="10"/>
      <c r="AP80" s="11">
        <v>0</v>
      </c>
      <c r="AQ80" s="10"/>
      <c r="AR80" s="10"/>
      <c r="AS80" s="11">
        <v>0</v>
      </c>
      <c r="AT80" s="10"/>
      <c r="AU80" s="10"/>
      <c r="AV80" s="11">
        <v>0</v>
      </c>
      <c r="AW80" s="10"/>
      <c r="AX80" s="10"/>
      <c r="AY80" s="11">
        <v>0</v>
      </c>
      <c r="AZ80" s="10"/>
      <c r="BA80" s="10"/>
      <c r="BB80" s="11">
        <v>0</v>
      </c>
      <c r="BC80" s="10"/>
      <c r="BD80" s="10"/>
      <c r="BE80" s="11">
        <v>0</v>
      </c>
      <c r="BF80" s="10"/>
      <c r="BG80" s="10"/>
      <c r="BH80" s="11">
        <v>0</v>
      </c>
      <c r="BI80" s="10"/>
      <c r="BJ80" s="10"/>
      <c r="BK80" s="11">
        <v>0</v>
      </c>
      <c r="BL80" s="10"/>
      <c r="BM80" s="10"/>
      <c r="BN80" s="11">
        <v>0</v>
      </c>
      <c r="BO80" s="10"/>
      <c r="BP80" s="10"/>
      <c r="BQ80" s="11">
        <v>0</v>
      </c>
      <c r="BR80" s="10"/>
      <c r="BS80" s="10"/>
      <c r="BT80" s="11">
        <v>0</v>
      </c>
      <c r="BU80" s="10"/>
      <c r="BV80" s="10"/>
      <c r="BW80" s="11">
        <v>0</v>
      </c>
      <c r="BX80" s="10"/>
      <c r="BY80" s="10"/>
      <c r="BZ80" s="11">
        <v>0</v>
      </c>
      <c r="CA80" s="10"/>
      <c r="CB80" s="10"/>
      <c r="CC80" s="11">
        <v>0</v>
      </c>
      <c r="CD80" s="10"/>
      <c r="CE80" s="10"/>
      <c r="CF80" s="11">
        <v>0</v>
      </c>
      <c r="CG80" s="10"/>
      <c r="CH80" s="10"/>
      <c r="CI80" s="11">
        <v>0</v>
      </c>
      <c r="CJ80" s="10"/>
      <c r="CK80" s="10"/>
      <c r="CL80" s="11">
        <v>0</v>
      </c>
      <c r="CM80" s="10"/>
      <c r="CN80" s="10"/>
      <c r="CO80" s="11">
        <v>0</v>
      </c>
      <c r="CP80" s="10"/>
      <c r="CQ80" s="10"/>
      <c r="CR80" s="11">
        <v>0</v>
      </c>
      <c r="CS80" s="10"/>
      <c r="CT80" s="10"/>
      <c r="CU80" s="11">
        <v>0</v>
      </c>
      <c r="CV80" s="10"/>
      <c r="CW80" s="10"/>
      <c r="CX80" s="11">
        <v>0</v>
      </c>
      <c r="CY80" s="10"/>
      <c r="CZ80" s="10"/>
      <c r="DA80" s="11">
        <v>0</v>
      </c>
      <c r="DB80" s="10">
        <v>1000000</v>
      </c>
      <c r="DC80" s="10">
        <f t="shared" si="183"/>
        <v>425600</v>
      </c>
      <c r="DD80" s="13">
        <f t="shared" si="184"/>
        <v>0.42559999999999998</v>
      </c>
      <c r="DE80" s="14"/>
    </row>
    <row r="81" spans="1:109" x14ac:dyDescent="0.35">
      <c r="A81" s="8" t="s">
        <v>220</v>
      </c>
      <c r="B81" s="9" t="s">
        <v>59</v>
      </c>
      <c r="C81" s="9" t="s">
        <v>43</v>
      </c>
      <c r="D81" s="9" t="s">
        <v>221</v>
      </c>
      <c r="E81" s="9" t="s">
        <v>61</v>
      </c>
      <c r="F81" s="9" t="s">
        <v>62</v>
      </c>
      <c r="G81" s="10"/>
      <c r="H81" s="10"/>
      <c r="I81" s="11">
        <v>0</v>
      </c>
      <c r="J81" s="10"/>
      <c r="K81" s="10"/>
      <c r="L81" s="12">
        <v>0</v>
      </c>
      <c r="M81" s="10"/>
      <c r="N81" s="10"/>
      <c r="O81" s="11">
        <v>0</v>
      </c>
      <c r="P81" s="10"/>
      <c r="Q81" s="10"/>
      <c r="R81" s="11">
        <v>0</v>
      </c>
      <c r="S81" s="10"/>
      <c r="T81" s="10"/>
      <c r="U81" s="11">
        <v>0</v>
      </c>
      <c r="V81" s="10">
        <v>1200000</v>
      </c>
      <c r="W81" s="10">
        <v>369300</v>
      </c>
      <c r="X81" s="11">
        <v>0.30775000000000002</v>
      </c>
      <c r="Y81" s="10"/>
      <c r="Z81" s="10"/>
      <c r="AA81" s="11"/>
      <c r="AB81" s="10"/>
      <c r="AC81" s="10"/>
      <c r="AD81" s="11">
        <v>0</v>
      </c>
      <c r="AE81" s="10"/>
      <c r="AF81" s="10"/>
      <c r="AG81" s="11">
        <v>0</v>
      </c>
      <c r="AH81" s="10"/>
      <c r="AI81" s="10"/>
      <c r="AJ81" s="11">
        <v>0</v>
      </c>
      <c r="AK81" s="10"/>
      <c r="AL81" s="10"/>
      <c r="AM81" s="11">
        <v>0</v>
      </c>
      <c r="AN81" s="10"/>
      <c r="AO81" s="10"/>
      <c r="AP81" s="11">
        <v>0</v>
      </c>
      <c r="AQ81" s="10"/>
      <c r="AR81" s="10"/>
      <c r="AS81" s="11">
        <v>0</v>
      </c>
      <c r="AT81" s="10"/>
      <c r="AU81" s="10"/>
      <c r="AV81" s="11">
        <v>0</v>
      </c>
      <c r="AW81" s="10"/>
      <c r="AX81" s="10"/>
      <c r="AY81" s="11">
        <v>0</v>
      </c>
      <c r="AZ81" s="10"/>
      <c r="BA81" s="10"/>
      <c r="BB81" s="11">
        <v>0</v>
      </c>
      <c r="BC81" s="10"/>
      <c r="BD81" s="10"/>
      <c r="BE81" s="11">
        <v>0</v>
      </c>
      <c r="BF81" s="10"/>
      <c r="BG81" s="10"/>
      <c r="BH81" s="11">
        <v>0</v>
      </c>
      <c r="BI81" s="10"/>
      <c r="BJ81" s="10"/>
      <c r="BK81" s="11">
        <v>0</v>
      </c>
      <c r="BL81" s="10"/>
      <c r="BM81" s="10"/>
      <c r="BN81" s="11">
        <v>0</v>
      </c>
      <c r="BO81" s="10"/>
      <c r="BP81" s="10"/>
      <c r="BQ81" s="11">
        <v>0</v>
      </c>
      <c r="BR81" s="10"/>
      <c r="BS81" s="10"/>
      <c r="BT81" s="11">
        <v>0</v>
      </c>
      <c r="BU81" s="10"/>
      <c r="BV81" s="10"/>
      <c r="BW81" s="11">
        <v>0</v>
      </c>
      <c r="BX81" s="10"/>
      <c r="BY81" s="10"/>
      <c r="BZ81" s="11">
        <v>0</v>
      </c>
      <c r="CA81" s="10"/>
      <c r="CB81" s="10"/>
      <c r="CC81" s="11">
        <v>0</v>
      </c>
      <c r="CD81" s="10"/>
      <c r="CE81" s="10"/>
      <c r="CF81" s="11">
        <v>0</v>
      </c>
      <c r="CG81" s="10"/>
      <c r="CH81" s="10"/>
      <c r="CI81" s="11">
        <v>0</v>
      </c>
      <c r="CJ81" s="10"/>
      <c r="CK81" s="10"/>
      <c r="CL81" s="11">
        <v>0</v>
      </c>
      <c r="CM81" s="10"/>
      <c r="CN81" s="10"/>
      <c r="CO81" s="11">
        <v>0</v>
      </c>
      <c r="CP81" s="10"/>
      <c r="CQ81" s="10"/>
      <c r="CR81" s="11">
        <v>0</v>
      </c>
      <c r="CS81" s="10"/>
      <c r="CT81" s="10"/>
      <c r="CU81" s="11">
        <v>0</v>
      </c>
      <c r="CV81" s="10"/>
      <c r="CW81" s="10"/>
      <c r="CX81" s="11">
        <v>0</v>
      </c>
      <c r="CY81" s="10"/>
      <c r="CZ81" s="10"/>
      <c r="DA81" s="11">
        <v>0</v>
      </c>
      <c r="DB81" s="10">
        <v>1200000</v>
      </c>
      <c r="DC81" s="10">
        <f t="shared" si="183"/>
        <v>369300</v>
      </c>
      <c r="DD81" s="13">
        <f t="shared" si="184"/>
        <v>0.30775000000000002</v>
      </c>
      <c r="DE81" s="14"/>
    </row>
    <row r="82" spans="1:109" x14ac:dyDescent="0.35">
      <c r="A82" s="8" t="s">
        <v>222</v>
      </c>
      <c r="B82" s="9" t="s">
        <v>59</v>
      </c>
      <c r="C82" s="9" t="s">
        <v>43</v>
      </c>
      <c r="D82" s="9" t="s">
        <v>223</v>
      </c>
      <c r="E82" s="9" t="s">
        <v>61</v>
      </c>
      <c r="F82" s="9" t="s">
        <v>62</v>
      </c>
      <c r="G82" s="10"/>
      <c r="H82" s="10"/>
      <c r="I82" s="11">
        <v>0</v>
      </c>
      <c r="J82" s="10"/>
      <c r="K82" s="10"/>
      <c r="L82" s="12">
        <v>0</v>
      </c>
      <c r="M82" s="10"/>
      <c r="N82" s="10"/>
      <c r="O82" s="11">
        <v>0</v>
      </c>
      <c r="P82" s="10"/>
      <c r="Q82" s="10"/>
      <c r="R82" s="11">
        <v>0</v>
      </c>
      <c r="S82" s="10"/>
      <c r="T82" s="10"/>
      <c r="U82" s="11">
        <v>0</v>
      </c>
      <c r="V82" s="10">
        <v>3500000</v>
      </c>
      <c r="W82" s="10">
        <v>664800</v>
      </c>
      <c r="X82" s="11">
        <v>0.18994285714285714</v>
      </c>
      <c r="Y82" s="10"/>
      <c r="Z82" s="10"/>
      <c r="AA82" s="11"/>
      <c r="AB82" s="10"/>
      <c r="AC82" s="10"/>
      <c r="AD82" s="11">
        <v>0</v>
      </c>
      <c r="AE82" s="10"/>
      <c r="AF82" s="10"/>
      <c r="AG82" s="11">
        <v>0</v>
      </c>
      <c r="AH82" s="10"/>
      <c r="AI82" s="10"/>
      <c r="AJ82" s="11">
        <v>0</v>
      </c>
      <c r="AK82" s="10"/>
      <c r="AL82" s="10"/>
      <c r="AM82" s="11">
        <v>0</v>
      </c>
      <c r="AN82" s="10"/>
      <c r="AO82" s="10"/>
      <c r="AP82" s="11">
        <v>0</v>
      </c>
      <c r="AQ82" s="10"/>
      <c r="AR82" s="10"/>
      <c r="AS82" s="11">
        <v>0</v>
      </c>
      <c r="AT82" s="10"/>
      <c r="AU82" s="10"/>
      <c r="AV82" s="11">
        <v>0</v>
      </c>
      <c r="AW82" s="10"/>
      <c r="AX82" s="10"/>
      <c r="AY82" s="11">
        <v>0</v>
      </c>
      <c r="AZ82" s="10"/>
      <c r="BA82" s="10"/>
      <c r="BB82" s="11">
        <v>0</v>
      </c>
      <c r="BC82" s="10"/>
      <c r="BD82" s="10"/>
      <c r="BE82" s="11">
        <v>0</v>
      </c>
      <c r="BF82" s="10"/>
      <c r="BG82" s="10"/>
      <c r="BH82" s="11">
        <v>0</v>
      </c>
      <c r="BI82" s="10"/>
      <c r="BJ82" s="10"/>
      <c r="BK82" s="11">
        <v>0</v>
      </c>
      <c r="BL82" s="10"/>
      <c r="BM82" s="10"/>
      <c r="BN82" s="11">
        <v>0</v>
      </c>
      <c r="BO82" s="10"/>
      <c r="BP82" s="10"/>
      <c r="BQ82" s="11">
        <v>0</v>
      </c>
      <c r="BR82" s="10"/>
      <c r="BS82" s="10"/>
      <c r="BT82" s="11">
        <v>0</v>
      </c>
      <c r="BU82" s="10"/>
      <c r="BV82" s="10"/>
      <c r="BW82" s="11">
        <v>0</v>
      </c>
      <c r="BX82" s="10"/>
      <c r="BY82" s="10"/>
      <c r="BZ82" s="11">
        <v>0</v>
      </c>
      <c r="CA82" s="10"/>
      <c r="CB82" s="10"/>
      <c r="CC82" s="11">
        <v>0</v>
      </c>
      <c r="CD82" s="10"/>
      <c r="CE82" s="10"/>
      <c r="CF82" s="11">
        <v>0</v>
      </c>
      <c r="CG82" s="10"/>
      <c r="CH82" s="10"/>
      <c r="CI82" s="11">
        <v>0</v>
      </c>
      <c r="CJ82" s="10"/>
      <c r="CK82" s="10"/>
      <c r="CL82" s="11">
        <v>0</v>
      </c>
      <c r="CM82" s="10"/>
      <c r="CN82" s="10"/>
      <c r="CO82" s="11">
        <v>0</v>
      </c>
      <c r="CP82" s="10"/>
      <c r="CQ82" s="10"/>
      <c r="CR82" s="11">
        <v>0</v>
      </c>
      <c r="CS82" s="10"/>
      <c r="CT82" s="10"/>
      <c r="CU82" s="11">
        <v>0</v>
      </c>
      <c r="CV82" s="10"/>
      <c r="CW82" s="10"/>
      <c r="CX82" s="11">
        <v>0</v>
      </c>
      <c r="CY82" s="10"/>
      <c r="CZ82" s="10"/>
      <c r="DA82" s="11">
        <v>0</v>
      </c>
      <c r="DB82" s="10">
        <v>3500000</v>
      </c>
      <c r="DC82" s="10">
        <f t="shared" si="183"/>
        <v>664800</v>
      </c>
      <c r="DD82" s="13">
        <f t="shared" si="184"/>
        <v>0.18994285714285714</v>
      </c>
      <c r="DE82" s="14"/>
    </row>
    <row r="83" spans="1:109" x14ac:dyDescent="0.35">
      <c r="A83" s="8" t="s">
        <v>224</v>
      </c>
      <c r="B83" s="9" t="s">
        <v>59</v>
      </c>
      <c r="C83" s="9" t="s">
        <v>43</v>
      </c>
      <c r="D83" s="9" t="s">
        <v>225</v>
      </c>
      <c r="E83" s="9" t="s">
        <v>61</v>
      </c>
      <c r="F83" s="9" t="s">
        <v>62</v>
      </c>
      <c r="G83" s="10"/>
      <c r="H83" s="10"/>
      <c r="I83" s="11">
        <v>0</v>
      </c>
      <c r="J83" s="10"/>
      <c r="K83" s="10"/>
      <c r="L83" s="12">
        <v>0</v>
      </c>
      <c r="M83" s="10"/>
      <c r="N83" s="10"/>
      <c r="O83" s="11">
        <v>0</v>
      </c>
      <c r="P83" s="10"/>
      <c r="Q83" s="10"/>
      <c r="R83" s="11">
        <v>0</v>
      </c>
      <c r="S83" s="10"/>
      <c r="T83" s="10"/>
      <c r="U83" s="11">
        <v>0</v>
      </c>
      <c r="V83" s="10">
        <v>1500000</v>
      </c>
      <c r="W83" s="10">
        <v>650500</v>
      </c>
      <c r="X83" s="11">
        <v>0.43366666666666664</v>
      </c>
      <c r="Y83" s="10"/>
      <c r="Z83" s="10"/>
      <c r="AA83" s="11"/>
      <c r="AB83" s="10"/>
      <c r="AC83" s="10"/>
      <c r="AD83" s="11">
        <v>0</v>
      </c>
      <c r="AE83" s="10"/>
      <c r="AF83" s="10"/>
      <c r="AG83" s="11">
        <v>0</v>
      </c>
      <c r="AH83" s="10"/>
      <c r="AI83" s="10"/>
      <c r="AJ83" s="11">
        <v>0</v>
      </c>
      <c r="AK83" s="10"/>
      <c r="AL83" s="10"/>
      <c r="AM83" s="11">
        <v>0</v>
      </c>
      <c r="AN83" s="10"/>
      <c r="AO83" s="10"/>
      <c r="AP83" s="11">
        <v>0</v>
      </c>
      <c r="AQ83" s="10"/>
      <c r="AR83" s="10"/>
      <c r="AS83" s="11">
        <v>0</v>
      </c>
      <c r="AT83" s="10"/>
      <c r="AU83" s="10"/>
      <c r="AV83" s="11">
        <v>0</v>
      </c>
      <c r="AW83" s="10"/>
      <c r="AX83" s="10"/>
      <c r="AY83" s="11">
        <v>0</v>
      </c>
      <c r="AZ83" s="10"/>
      <c r="BA83" s="10"/>
      <c r="BB83" s="11">
        <v>0</v>
      </c>
      <c r="BC83" s="10"/>
      <c r="BD83" s="10"/>
      <c r="BE83" s="11">
        <v>0</v>
      </c>
      <c r="BF83" s="10"/>
      <c r="BG83" s="10"/>
      <c r="BH83" s="11">
        <v>0</v>
      </c>
      <c r="BI83" s="10"/>
      <c r="BJ83" s="10"/>
      <c r="BK83" s="11">
        <v>0</v>
      </c>
      <c r="BL83" s="10"/>
      <c r="BM83" s="10"/>
      <c r="BN83" s="11">
        <v>0</v>
      </c>
      <c r="BO83" s="10"/>
      <c r="BP83" s="10"/>
      <c r="BQ83" s="11">
        <v>0</v>
      </c>
      <c r="BR83" s="10"/>
      <c r="BS83" s="10"/>
      <c r="BT83" s="11">
        <v>0</v>
      </c>
      <c r="BU83" s="10"/>
      <c r="BV83" s="10"/>
      <c r="BW83" s="11">
        <v>0</v>
      </c>
      <c r="BX83" s="10"/>
      <c r="BY83" s="10"/>
      <c r="BZ83" s="11">
        <v>0</v>
      </c>
      <c r="CA83" s="10"/>
      <c r="CB83" s="10"/>
      <c r="CC83" s="11">
        <v>0</v>
      </c>
      <c r="CD83" s="10"/>
      <c r="CE83" s="10"/>
      <c r="CF83" s="11">
        <v>0</v>
      </c>
      <c r="CG83" s="10"/>
      <c r="CH83" s="10"/>
      <c r="CI83" s="11">
        <v>0</v>
      </c>
      <c r="CJ83" s="10"/>
      <c r="CK83" s="10"/>
      <c r="CL83" s="11">
        <v>0</v>
      </c>
      <c r="CM83" s="10"/>
      <c r="CN83" s="10"/>
      <c r="CO83" s="11">
        <v>0</v>
      </c>
      <c r="CP83" s="10"/>
      <c r="CQ83" s="10"/>
      <c r="CR83" s="11">
        <v>0</v>
      </c>
      <c r="CS83" s="10"/>
      <c r="CT83" s="10"/>
      <c r="CU83" s="11">
        <v>0</v>
      </c>
      <c r="CV83" s="10"/>
      <c r="CW83" s="10"/>
      <c r="CX83" s="11">
        <v>0</v>
      </c>
      <c r="CY83" s="10"/>
      <c r="CZ83" s="10"/>
      <c r="DA83" s="11">
        <v>0</v>
      </c>
      <c r="DB83" s="10">
        <v>1500000</v>
      </c>
      <c r="DC83" s="10">
        <f t="shared" si="183"/>
        <v>650500</v>
      </c>
      <c r="DD83" s="13">
        <f t="shared" si="184"/>
        <v>0.43366666666666664</v>
      </c>
      <c r="DE83" s="14"/>
    </row>
    <row r="84" spans="1:109" x14ac:dyDescent="0.35">
      <c r="A84" s="8" t="s">
        <v>226</v>
      </c>
      <c r="B84" s="9" t="s">
        <v>77</v>
      </c>
      <c r="C84" s="9" t="s">
        <v>43</v>
      </c>
      <c r="D84" s="9" t="s">
        <v>227</v>
      </c>
      <c r="E84" s="9" t="s">
        <v>61</v>
      </c>
      <c r="F84" s="9" t="s">
        <v>62</v>
      </c>
      <c r="G84" s="10"/>
      <c r="H84" s="10"/>
      <c r="I84" s="11">
        <v>0</v>
      </c>
      <c r="J84" s="10"/>
      <c r="K84" s="10"/>
      <c r="L84" s="12">
        <v>0</v>
      </c>
      <c r="M84" s="10"/>
      <c r="N84" s="10"/>
      <c r="O84" s="11">
        <v>0</v>
      </c>
      <c r="P84" s="10"/>
      <c r="Q84" s="10"/>
      <c r="R84" s="11">
        <v>0</v>
      </c>
      <c r="S84" s="10"/>
      <c r="T84" s="10"/>
      <c r="U84" s="11">
        <v>0</v>
      </c>
      <c r="V84" s="10">
        <v>2500000</v>
      </c>
      <c r="W84" s="10">
        <v>433550</v>
      </c>
      <c r="X84" s="11">
        <v>0.17341999999999999</v>
      </c>
      <c r="Y84" s="10"/>
      <c r="Z84" s="10"/>
      <c r="AA84" s="11"/>
      <c r="AB84" s="10"/>
      <c r="AC84" s="10"/>
      <c r="AD84" s="11">
        <v>0</v>
      </c>
      <c r="AE84" s="10"/>
      <c r="AF84" s="10"/>
      <c r="AG84" s="11">
        <v>0</v>
      </c>
      <c r="AH84" s="10"/>
      <c r="AI84" s="10"/>
      <c r="AJ84" s="11">
        <v>0</v>
      </c>
      <c r="AK84" s="10"/>
      <c r="AL84" s="10"/>
      <c r="AM84" s="11">
        <v>0</v>
      </c>
      <c r="AN84" s="10"/>
      <c r="AO84" s="10"/>
      <c r="AP84" s="11">
        <v>0</v>
      </c>
      <c r="AQ84" s="10"/>
      <c r="AR84" s="10"/>
      <c r="AS84" s="11">
        <v>0</v>
      </c>
      <c r="AT84" s="10"/>
      <c r="AU84" s="10"/>
      <c r="AV84" s="11">
        <v>0</v>
      </c>
      <c r="AW84" s="10"/>
      <c r="AX84" s="10"/>
      <c r="AY84" s="11">
        <v>0</v>
      </c>
      <c r="AZ84" s="10"/>
      <c r="BA84" s="10"/>
      <c r="BB84" s="11">
        <v>0</v>
      </c>
      <c r="BC84" s="10"/>
      <c r="BD84" s="10"/>
      <c r="BE84" s="11">
        <v>0</v>
      </c>
      <c r="BF84" s="10"/>
      <c r="BG84" s="10"/>
      <c r="BH84" s="11">
        <v>0</v>
      </c>
      <c r="BI84" s="10"/>
      <c r="BJ84" s="10"/>
      <c r="BK84" s="11">
        <v>0</v>
      </c>
      <c r="BL84" s="10"/>
      <c r="BM84" s="10"/>
      <c r="BN84" s="11">
        <v>0</v>
      </c>
      <c r="BO84" s="10"/>
      <c r="BP84" s="10"/>
      <c r="BQ84" s="11">
        <v>0</v>
      </c>
      <c r="BR84" s="10"/>
      <c r="BS84" s="10"/>
      <c r="BT84" s="11">
        <v>0</v>
      </c>
      <c r="BU84" s="10"/>
      <c r="BV84" s="10"/>
      <c r="BW84" s="11">
        <v>0</v>
      </c>
      <c r="BX84" s="10"/>
      <c r="BY84" s="10"/>
      <c r="BZ84" s="11">
        <v>0</v>
      </c>
      <c r="CA84" s="10"/>
      <c r="CB84" s="10"/>
      <c r="CC84" s="11">
        <v>0</v>
      </c>
      <c r="CD84" s="10"/>
      <c r="CE84" s="10"/>
      <c r="CF84" s="11">
        <v>0</v>
      </c>
      <c r="CG84" s="10"/>
      <c r="CH84" s="10"/>
      <c r="CI84" s="11">
        <v>0</v>
      </c>
      <c r="CJ84" s="10"/>
      <c r="CK84" s="10"/>
      <c r="CL84" s="11">
        <v>0</v>
      </c>
      <c r="CM84" s="10"/>
      <c r="CN84" s="10"/>
      <c r="CO84" s="11">
        <v>0</v>
      </c>
      <c r="CP84" s="10"/>
      <c r="CQ84" s="10"/>
      <c r="CR84" s="11">
        <v>0</v>
      </c>
      <c r="CS84" s="10"/>
      <c r="CT84" s="10"/>
      <c r="CU84" s="11">
        <v>0</v>
      </c>
      <c r="CV84" s="10"/>
      <c r="CW84" s="10"/>
      <c r="CX84" s="11">
        <v>0</v>
      </c>
      <c r="CY84" s="10"/>
      <c r="CZ84" s="10"/>
      <c r="DA84" s="11">
        <v>0</v>
      </c>
      <c r="DB84" s="10">
        <v>2500000</v>
      </c>
      <c r="DC84" s="10">
        <f t="shared" si="183"/>
        <v>433550</v>
      </c>
      <c r="DD84" s="13">
        <f t="shared" si="184"/>
        <v>0.17341999999999999</v>
      </c>
      <c r="DE84" s="14"/>
    </row>
    <row r="85" spans="1:109" x14ac:dyDescent="0.35">
      <c r="A85" s="8" t="s">
        <v>228</v>
      </c>
      <c r="B85" s="9" t="s">
        <v>42</v>
      </c>
      <c r="C85" s="9" t="s">
        <v>43</v>
      </c>
      <c r="D85" s="9" t="s">
        <v>229</v>
      </c>
      <c r="E85" s="9" t="s">
        <v>45</v>
      </c>
      <c r="F85" s="9" t="s">
        <v>46</v>
      </c>
      <c r="G85" s="10"/>
      <c r="H85" s="10"/>
      <c r="I85" s="11">
        <v>0</v>
      </c>
      <c r="J85" s="10"/>
      <c r="K85" s="10">
        <v>1484300</v>
      </c>
      <c r="L85" s="12">
        <v>0</v>
      </c>
      <c r="M85" s="10"/>
      <c r="N85" s="10"/>
      <c r="O85" s="11">
        <v>0</v>
      </c>
      <c r="P85" s="10"/>
      <c r="Q85" s="10"/>
      <c r="R85" s="11">
        <v>0</v>
      </c>
      <c r="S85" s="10"/>
      <c r="T85" s="10"/>
      <c r="U85" s="11">
        <v>0</v>
      </c>
      <c r="V85" s="10"/>
      <c r="W85" s="10"/>
      <c r="X85" s="11">
        <v>0</v>
      </c>
      <c r="Y85" s="10"/>
      <c r="Z85" s="10"/>
      <c r="AA85" s="11"/>
      <c r="AB85" s="10"/>
      <c r="AC85" s="10"/>
      <c r="AD85" s="11">
        <v>0</v>
      </c>
      <c r="AE85" s="10"/>
      <c r="AF85" s="10"/>
      <c r="AG85" s="11">
        <v>0</v>
      </c>
      <c r="AH85" s="10"/>
      <c r="AI85" s="10"/>
      <c r="AJ85" s="11">
        <v>0</v>
      </c>
      <c r="AK85" s="10"/>
      <c r="AL85" s="10"/>
      <c r="AM85" s="11">
        <v>0</v>
      </c>
      <c r="AN85" s="10"/>
      <c r="AO85" s="10"/>
      <c r="AP85" s="11">
        <v>0</v>
      </c>
      <c r="AQ85" s="10"/>
      <c r="AR85" s="10"/>
      <c r="AS85" s="11">
        <v>0</v>
      </c>
      <c r="AT85" s="10">
        <v>500000</v>
      </c>
      <c r="AU85" s="10"/>
      <c r="AV85" s="11">
        <f t="shared" ref="AV85:AV86" si="193">AU85/AT85</f>
        <v>0</v>
      </c>
      <c r="AW85" s="10"/>
      <c r="AX85" s="10"/>
      <c r="AY85" s="11">
        <v>0</v>
      </c>
      <c r="AZ85" s="10"/>
      <c r="BA85" s="10"/>
      <c r="BB85" s="11">
        <v>0</v>
      </c>
      <c r="BC85" s="10"/>
      <c r="BD85" s="10"/>
      <c r="BE85" s="11">
        <v>0</v>
      </c>
      <c r="BF85" s="10"/>
      <c r="BG85" s="10">
        <f>VLOOKUP(A:A,'[1]2026 Customer Brand Sales'!$A:$BA,53,0)</f>
        <v>3500</v>
      </c>
      <c r="BH85" s="11">
        <v>0</v>
      </c>
      <c r="BI85" s="10"/>
      <c r="BJ85" s="10">
        <v>179000</v>
      </c>
      <c r="BK85" s="11">
        <v>0</v>
      </c>
      <c r="BL85" s="10"/>
      <c r="BM85" s="10"/>
      <c r="BN85" s="11">
        <v>0</v>
      </c>
      <c r="BO85" s="10"/>
      <c r="BP85" s="10"/>
      <c r="BQ85" s="11">
        <v>0</v>
      </c>
      <c r="BR85" s="10"/>
      <c r="BS85" s="10"/>
      <c r="BT85" s="11">
        <v>0</v>
      </c>
      <c r="BU85" s="10"/>
      <c r="BV85" s="10"/>
      <c r="BW85" s="11">
        <v>0</v>
      </c>
      <c r="BX85" s="10"/>
      <c r="BY85" s="10"/>
      <c r="BZ85" s="11">
        <v>0</v>
      </c>
      <c r="CA85" s="10"/>
      <c r="CB85" s="10"/>
      <c r="CC85" s="11">
        <v>0</v>
      </c>
      <c r="CD85" s="10"/>
      <c r="CE85" s="10"/>
      <c r="CF85" s="11">
        <v>0</v>
      </c>
      <c r="CG85" s="10"/>
      <c r="CH85" s="10">
        <v>337300</v>
      </c>
      <c r="CI85" s="11">
        <v>0</v>
      </c>
      <c r="CJ85" s="10"/>
      <c r="CK85" s="10"/>
      <c r="CL85" s="11">
        <v>0</v>
      </c>
      <c r="CM85" s="10"/>
      <c r="CN85" s="10"/>
      <c r="CO85" s="11">
        <v>0</v>
      </c>
      <c r="CP85" s="10"/>
      <c r="CQ85" s="10"/>
      <c r="CR85" s="11">
        <v>0</v>
      </c>
      <c r="CS85" s="10"/>
      <c r="CT85" s="10"/>
      <c r="CU85" s="11">
        <v>0</v>
      </c>
      <c r="CV85" s="10"/>
      <c r="CW85" s="10"/>
      <c r="CX85" s="11">
        <v>0</v>
      </c>
      <c r="CY85" s="10"/>
      <c r="CZ85" s="10"/>
      <c r="DA85" s="11">
        <v>0</v>
      </c>
      <c r="DB85" s="10">
        <v>500000</v>
      </c>
      <c r="DC85" s="10">
        <f t="shared" si="183"/>
        <v>2004100</v>
      </c>
      <c r="DD85" s="13">
        <f t="shared" si="184"/>
        <v>4.0082000000000004</v>
      </c>
      <c r="DE85" s="14"/>
    </row>
    <row r="86" spans="1:109" x14ac:dyDescent="0.35">
      <c r="A86" s="8" t="s">
        <v>230</v>
      </c>
      <c r="B86" s="9" t="s">
        <v>42</v>
      </c>
      <c r="C86" s="9" t="s">
        <v>43</v>
      </c>
      <c r="D86" s="9" t="s">
        <v>231</v>
      </c>
      <c r="E86" s="9" t="s">
        <v>45</v>
      </c>
      <c r="F86" s="9" t="s">
        <v>46</v>
      </c>
      <c r="G86" s="10">
        <v>1000000</v>
      </c>
      <c r="H86" s="10">
        <v>6503955</v>
      </c>
      <c r="I86" s="11">
        <f t="shared" ref="I86" si="194">H86/G86</f>
        <v>6.5039550000000004</v>
      </c>
      <c r="J86" s="10">
        <v>1000000</v>
      </c>
      <c r="K86" s="10">
        <v>417600</v>
      </c>
      <c r="L86" s="11">
        <f t="shared" ref="L86" si="195">K86/J86</f>
        <v>0.41760000000000003</v>
      </c>
      <c r="M86" s="10"/>
      <c r="N86" s="10"/>
      <c r="O86" s="11">
        <v>0</v>
      </c>
      <c r="P86" s="10"/>
      <c r="Q86" s="10"/>
      <c r="R86" s="11">
        <v>0</v>
      </c>
      <c r="S86" s="10"/>
      <c r="T86" s="10"/>
      <c r="U86" s="11">
        <v>0</v>
      </c>
      <c r="V86" s="10"/>
      <c r="W86" s="10"/>
      <c r="X86" s="11">
        <v>0</v>
      </c>
      <c r="Y86" s="10"/>
      <c r="Z86" s="10"/>
      <c r="AA86" s="11"/>
      <c r="AB86" s="10"/>
      <c r="AC86" s="10"/>
      <c r="AD86" s="11">
        <v>0</v>
      </c>
      <c r="AE86" s="10"/>
      <c r="AF86" s="10"/>
      <c r="AG86" s="11">
        <v>0</v>
      </c>
      <c r="AH86" s="10"/>
      <c r="AI86" s="10"/>
      <c r="AJ86" s="11">
        <v>0</v>
      </c>
      <c r="AK86" s="10"/>
      <c r="AL86" s="10"/>
      <c r="AM86" s="11">
        <v>0</v>
      </c>
      <c r="AN86" s="10"/>
      <c r="AO86" s="10"/>
      <c r="AP86" s="11">
        <v>0</v>
      </c>
      <c r="AQ86" s="10"/>
      <c r="AR86" s="10"/>
      <c r="AS86" s="11">
        <v>0</v>
      </c>
      <c r="AT86" s="10">
        <v>500000</v>
      </c>
      <c r="AU86" s="10"/>
      <c r="AV86" s="11">
        <f t="shared" si="193"/>
        <v>0</v>
      </c>
      <c r="AW86" s="10">
        <v>500000</v>
      </c>
      <c r="AX86" s="10"/>
      <c r="AY86" s="11">
        <f t="shared" ref="AY86" si="196">AX86/AW86</f>
        <v>0</v>
      </c>
      <c r="AZ86" s="10">
        <v>787200</v>
      </c>
      <c r="BA86" s="10"/>
      <c r="BB86" s="11">
        <f t="shared" ref="BB86" si="197">BA86/AZ86</f>
        <v>0</v>
      </c>
      <c r="BC86" s="10"/>
      <c r="BD86" s="10"/>
      <c r="BE86" s="11">
        <v>0</v>
      </c>
      <c r="BF86" s="10"/>
      <c r="BG86" s="10">
        <f>VLOOKUP(A:A,'[1]2026 Customer Brand Sales'!$A:$BA,53,0)</f>
        <v>10600</v>
      </c>
      <c r="BH86" s="11">
        <v>0</v>
      </c>
      <c r="BI86" s="10"/>
      <c r="BJ86" s="10"/>
      <c r="BK86" s="11">
        <v>0</v>
      </c>
      <c r="BL86" s="10"/>
      <c r="BM86" s="10"/>
      <c r="BN86" s="11">
        <v>0</v>
      </c>
      <c r="BO86" s="10"/>
      <c r="BP86" s="10"/>
      <c r="BQ86" s="11">
        <v>0</v>
      </c>
      <c r="BR86" s="10"/>
      <c r="BS86" s="10"/>
      <c r="BT86" s="11">
        <v>0</v>
      </c>
      <c r="BU86" s="10"/>
      <c r="BV86" s="10"/>
      <c r="BW86" s="11">
        <v>0</v>
      </c>
      <c r="BX86" s="10"/>
      <c r="BY86" s="10"/>
      <c r="BZ86" s="11">
        <v>0</v>
      </c>
      <c r="CA86" s="10"/>
      <c r="CB86" s="10"/>
      <c r="CC86" s="11">
        <v>0</v>
      </c>
      <c r="CD86" s="10"/>
      <c r="CE86" s="10"/>
      <c r="CF86" s="11">
        <v>0</v>
      </c>
      <c r="CG86" s="10"/>
      <c r="CH86" s="10"/>
      <c r="CI86" s="11">
        <v>0</v>
      </c>
      <c r="CJ86" s="10"/>
      <c r="CK86" s="10"/>
      <c r="CL86" s="11">
        <v>0</v>
      </c>
      <c r="CM86" s="10"/>
      <c r="CN86" s="10"/>
      <c r="CO86" s="11">
        <v>0</v>
      </c>
      <c r="CP86" s="10"/>
      <c r="CQ86" s="10"/>
      <c r="CR86" s="11">
        <v>0</v>
      </c>
      <c r="CS86" s="10"/>
      <c r="CT86" s="10"/>
      <c r="CU86" s="11">
        <v>0</v>
      </c>
      <c r="CV86" s="10"/>
      <c r="CW86" s="10"/>
      <c r="CX86" s="11">
        <v>0</v>
      </c>
      <c r="CY86" s="10"/>
      <c r="CZ86" s="10"/>
      <c r="DA86" s="11">
        <v>0</v>
      </c>
      <c r="DB86" s="10">
        <v>3787200</v>
      </c>
      <c r="DC86" s="10">
        <f t="shared" si="183"/>
        <v>6932155</v>
      </c>
      <c r="DD86" s="13">
        <f t="shared" si="184"/>
        <v>1.8304169307139839</v>
      </c>
      <c r="DE86" s="14"/>
    </row>
    <row r="87" spans="1:109" x14ac:dyDescent="0.35">
      <c r="A87" s="8" t="s">
        <v>232</v>
      </c>
      <c r="B87" s="9" t="s">
        <v>111</v>
      </c>
      <c r="C87" s="9" t="s">
        <v>52</v>
      </c>
      <c r="D87" s="9" t="s">
        <v>233</v>
      </c>
      <c r="E87" s="9" t="s">
        <v>54</v>
      </c>
      <c r="F87" s="9" t="s">
        <v>55</v>
      </c>
      <c r="G87" s="10"/>
      <c r="H87" s="10">
        <v>512875</v>
      </c>
      <c r="I87" s="11">
        <v>0</v>
      </c>
      <c r="J87" s="10"/>
      <c r="K87" s="10"/>
      <c r="L87" s="12">
        <v>0</v>
      </c>
      <c r="M87" s="10"/>
      <c r="N87" s="10"/>
      <c r="O87" s="11">
        <v>0</v>
      </c>
      <c r="P87" s="10"/>
      <c r="Q87" s="10">
        <v>53700</v>
      </c>
      <c r="R87" s="11">
        <v>0</v>
      </c>
      <c r="S87" s="10"/>
      <c r="T87" s="10"/>
      <c r="U87" s="11">
        <v>0</v>
      </c>
      <c r="V87" s="10"/>
      <c r="W87" s="10"/>
      <c r="X87" s="11">
        <v>0</v>
      </c>
      <c r="Y87" s="10"/>
      <c r="Z87" s="10"/>
      <c r="AA87" s="11"/>
      <c r="AB87" s="10"/>
      <c r="AC87" s="10"/>
      <c r="AD87" s="11">
        <v>0</v>
      </c>
      <c r="AE87" s="10"/>
      <c r="AF87" s="10"/>
      <c r="AG87" s="11">
        <v>0</v>
      </c>
      <c r="AH87" s="10"/>
      <c r="AI87" s="10"/>
      <c r="AJ87" s="11">
        <v>0</v>
      </c>
      <c r="AK87" s="10">
        <v>200000</v>
      </c>
      <c r="AL87" s="10"/>
      <c r="AM87" s="11">
        <f t="shared" ref="AM87" si="198">AL87/AK87</f>
        <v>0</v>
      </c>
      <c r="AN87" s="10"/>
      <c r="AO87" s="10"/>
      <c r="AP87" s="11">
        <v>0</v>
      </c>
      <c r="AQ87" s="10"/>
      <c r="AR87" s="10"/>
      <c r="AS87" s="11">
        <v>0</v>
      </c>
      <c r="AT87" s="10"/>
      <c r="AU87" s="10"/>
      <c r="AV87" s="11">
        <v>0</v>
      </c>
      <c r="AW87" s="10"/>
      <c r="AX87" s="10"/>
      <c r="AY87" s="11">
        <v>0</v>
      </c>
      <c r="AZ87" s="10"/>
      <c r="BA87" s="10"/>
      <c r="BB87" s="11">
        <v>0</v>
      </c>
      <c r="BC87" s="10"/>
      <c r="BD87" s="10"/>
      <c r="BE87" s="11">
        <v>0</v>
      </c>
      <c r="BF87" s="10">
        <v>2500000</v>
      </c>
      <c r="BG87" s="10">
        <f>VLOOKUP(A:A,'[1]2026 Customer Brand Sales'!$A:$BA,53,0)</f>
        <v>1303795</v>
      </c>
      <c r="BH87" s="11">
        <f t="shared" si="181"/>
        <v>0.52151800000000004</v>
      </c>
      <c r="BI87" s="10"/>
      <c r="BJ87" s="10"/>
      <c r="BK87" s="11">
        <v>0</v>
      </c>
      <c r="BL87" s="10"/>
      <c r="BM87" s="10"/>
      <c r="BN87" s="11">
        <v>0</v>
      </c>
      <c r="BO87" s="10"/>
      <c r="BP87" s="10">
        <v>101050</v>
      </c>
      <c r="BQ87" s="11">
        <v>0</v>
      </c>
      <c r="BR87" s="10"/>
      <c r="BS87" s="10"/>
      <c r="BT87" s="11">
        <v>0</v>
      </c>
      <c r="BU87" s="10"/>
      <c r="BV87" s="10"/>
      <c r="BW87" s="11">
        <v>0</v>
      </c>
      <c r="BX87" s="10"/>
      <c r="BY87" s="10"/>
      <c r="BZ87" s="11">
        <v>0</v>
      </c>
      <c r="CA87" s="10"/>
      <c r="CB87" s="10"/>
      <c r="CC87" s="11">
        <v>0</v>
      </c>
      <c r="CD87" s="10"/>
      <c r="CE87" s="10"/>
      <c r="CF87" s="11">
        <v>0</v>
      </c>
      <c r="CG87" s="10"/>
      <c r="CH87" s="10"/>
      <c r="CI87" s="11">
        <v>0</v>
      </c>
      <c r="CJ87" s="10"/>
      <c r="CK87" s="10"/>
      <c r="CL87" s="11">
        <v>0</v>
      </c>
      <c r="CM87" s="10"/>
      <c r="CN87" s="10"/>
      <c r="CO87" s="11">
        <v>0</v>
      </c>
      <c r="CP87" s="10"/>
      <c r="CQ87" s="10"/>
      <c r="CR87" s="11">
        <v>0</v>
      </c>
      <c r="CS87" s="10"/>
      <c r="CT87" s="10"/>
      <c r="CU87" s="11">
        <v>0</v>
      </c>
      <c r="CV87" s="10"/>
      <c r="CW87" s="10"/>
      <c r="CX87" s="11">
        <v>0</v>
      </c>
      <c r="CY87" s="10"/>
      <c r="CZ87" s="10"/>
      <c r="DA87" s="11">
        <v>0</v>
      </c>
      <c r="DB87" s="10">
        <v>2700000</v>
      </c>
      <c r="DC87" s="10">
        <f t="shared" si="183"/>
        <v>1971420</v>
      </c>
      <c r="DD87" s="13">
        <f t="shared" si="184"/>
        <v>0.73015555555555556</v>
      </c>
      <c r="DE87" s="14"/>
    </row>
    <row r="88" spans="1:109" x14ac:dyDescent="0.35">
      <c r="A88" s="8" t="s">
        <v>234</v>
      </c>
      <c r="B88" s="9" t="s">
        <v>108</v>
      </c>
      <c r="C88" s="9" t="s">
        <v>52</v>
      </c>
      <c r="D88" s="9" t="s">
        <v>235</v>
      </c>
      <c r="E88" s="9" t="s">
        <v>54</v>
      </c>
      <c r="F88" s="9" t="s">
        <v>55</v>
      </c>
      <c r="G88" s="10"/>
      <c r="H88" s="10"/>
      <c r="I88" s="11">
        <v>0</v>
      </c>
      <c r="J88" s="10"/>
      <c r="K88" s="10"/>
      <c r="L88" s="12">
        <v>0</v>
      </c>
      <c r="M88" s="10"/>
      <c r="N88" s="10"/>
      <c r="O88" s="11">
        <v>0</v>
      </c>
      <c r="P88" s="10"/>
      <c r="Q88" s="10"/>
      <c r="R88" s="11">
        <v>0</v>
      </c>
      <c r="S88" s="10"/>
      <c r="T88" s="10"/>
      <c r="U88" s="11">
        <v>0</v>
      </c>
      <c r="V88" s="10">
        <v>4000000</v>
      </c>
      <c r="W88" s="10">
        <v>510900</v>
      </c>
      <c r="X88" s="11">
        <v>0.12772500000000001</v>
      </c>
      <c r="Y88" s="10"/>
      <c r="Z88" s="10"/>
      <c r="AA88" s="11"/>
      <c r="AB88" s="10"/>
      <c r="AC88" s="10"/>
      <c r="AD88" s="11">
        <v>0</v>
      </c>
      <c r="AE88" s="10"/>
      <c r="AF88" s="10"/>
      <c r="AG88" s="11">
        <v>0</v>
      </c>
      <c r="AH88" s="10"/>
      <c r="AI88" s="10"/>
      <c r="AJ88" s="11">
        <v>0</v>
      </c>
      <c r="AK88" s="10"/>
      <c r="AL88" s="10"/>
      <c r="AM88" s="11">
        <v>0</v>
      </c>
      <c r="AN88" s="10"/>
      <c r="AO88" s="10"/>
      <c r="AP88" s="11">
        <v>0</v>
      </c>
      <c r="AQ88" s="10"/>
      <c r="AR88" s="10"/>
      <c r="AS88" s="11">
        <v>0</v>
      </c>
      <c r="AT88" s="10"/>
      <c r="AU88" s="10"/>
      <c r="AV88" s="11">
        <v>0</v>
      </c>
      <c r="AW88" s="10"/>
      <c r="AX88" s="10"/>
      <c r="AY88" s="11">
        <v>0</v>
      </c>
      <c r="AZ88" s="10"/>
      <c r="BA88" s="10"/>
      <c r="BB88" s="11">
        <v>0</v>
      </c>
      <c r="BC88" s="10"/>
      <c r="BD88" s="10"/>
      <c r="BE88" s="11">
        <v>0</v>
      </c>
      <c r="BF88" s="10">
        <v>8500000</v>
      </c>
      <c r="BG88" s="10">
        <f>VLOOKUP(A:A,'[1]2026 Customer Brand Sales'!$A:$BA,53,0)</f>
        <v>4107125</v>
      </c>
      <c r="BH88" s="11">
        <f t="shared" si="181"/>
        <v>0.48319117647058824</v>
      </c>
      <c r="BI88" s="10"/>
      <c r="BJ88" s="10"/>
      <c r="BK88" s="11">
        <v>0</v>
      </c>
      <c r="BL88" s="10">
        <v>2000000</v>
      </c>
      <c r="BM88" s="10">
        <v>115000</v>
      </c>
      <c r="BN88" s="11">
        <f t="shared" si="187"/>
        <v>5.7500000000000002E-2</v>
      </c>
      <c r="BO88" s="10">
        <v>100000</v>
      </c>
      <c r="BP88" s="10"/>
      <c r="BQ88" s="11">
        <f t="shared" ref="BQ88:BQ89" si="199">BP88/BO88</f>
        <v>0</v>
      </c>
      <c r="BR88" s="10"/>
      <c r="BS88" s="10"/>
      <c r="BT88" s="11">
        <v>0</v>
      </c>
      <c r="BU88" s="10"/>
      <c r="BV88" s="10"/>
      <c r="BW88" s="11">
        <v>0</v>
      </c>
      <c r="BX88" s="10"/>
      <c r="BY88" s="10"/>
      <c r="BZ88" s="11">
        <v>0</v>
      </c>
      <c r="CA88" s="10"/>
      <c r="CB88" s="10"/>
      <c r="CC88" s="11">
        <v>0</v>
      </c>
      <c r="CD88" s="10"/>
      <c r="CE88" s="10"/>
      <c r="CF88" s="11">
        <v>0</v>
      </c>
      <c r="CG88" s="10"/>
      <c r="CH88" s="10"/>
      <c r="CI88" s="11">
        <v>0</v>
      </c>
      <c r="CJ88" s="10"/>
      <c r="CK88" s="10"/>
      <c r="CL88" s="11">
        <v>0</v>
      </c>
      <c r="CM88" s="10"/>
      <c r="CN88" s="10"/>
      <c r="CO88" s="11">
        <v>0</v>
      </c>
      <c r="CP88" s="10"/>
      <c r="CQ88" s="10"/>
      <c r="CR88" s="11">
        <v>0</v>
      </c>
      <c r="CS88" s="10"/>
      <c r="CT88" s="10"/>
      <c r="CU88" s="11">
        <v>0</v>
      </c>
      <c r="CV88" s="10"/>
      <c r="CW88" s="10"/>
      <c r="CX88" s="11">
        <v>0</v>
      </c>
      <c r="CY88" s="10"/>
      <c r="CZ88" s="10"/>
      <c r="DA88" s="11">
        <v>0</v>
      </c>
      <c r="DB88" s="10">
        <v>14600000</v>
      </c>
      <c r="DC88" s="10">
        <f t="shared" si="183"/>
        <v>4733025</v>
      </c>
      <c r="DD88" s="13">
        <f t="shared" si="184"/>
        <v>0.32417979452054796</v>
      </c>
      <c r="DE88" s="14"/>
    </row>
    <row r="89" spans="1:109" x14ac:dyDescent="0.35">
      <c r="A89" s="8" t="s">
        <v>236</v>
      </c>
      <c r="B89" s="9" t="s">
        <v>74</v>
      </c>
      <c r="C89" s="9" t="s">
        <v>52</v>
      </c>
      <c r="D89" s="9" t="s">
        <v>237</v>
      </c>
      <c r="E89" s="9" t="s">
        <v>54</v>
      </c>
      <c r="F89" s="9" t="s">
        <v>55</v>
      </c>
      <c r="G89" s="10"/>
      <c r="H89" s="10"/>
      <c r="I89" s="11">
        <v>0</v>
      </c>
      <c r="J89" s="10"/>
      <c r="K89" s="10"/>
      <c r="L89" s="12">
        <v>0</v>
      </c>
      <c r="M89" s="10">
        <v>28000</v>
      </c>
      <c r="N89" s="10"/>
      <c r="O89" s="11">
        <f t="shared" si="179"/>
        <v>0</v>
      </c>
      <c r="P89" s="10"/>
      <c r="Q89" s="10"/>
      <c r="R89" s="11">
        <v>0</v>
      </c>
      <c r="S89" s="10"/>
      <c r="T89" s="10"/>
      <c r="U89" s="11">
        <v>0</v>
      </c>
      <c r="V89" s="10"/>
      <c r="W89" s="10"/>
      <c r="X89" s="11">
        <v>0</v>
      </c>
      <c r="Y89" s="10">
        <v>100000</v>
      </c>
      <c r="Z89" s="10"/>
      <c r="AA89" s="11">
        <f t="shared" si="189"/>
        <v>0</v>
      </c>
      <c r="AB89" s="10">
        <v>150000</v>
      </c>
      <c r="AC89" s="10"/>
      <c r="AD89" s="11">
        <v>0</v>
      </c>
      <c r="AE89" s="10">
        <v>200000</v>
      </c>
      <c r="AF89" s="10">
        <v>20750</v>
      </c>
      <c r="AG89" s="11">
        <f t="shared" si="180"/>
        <v>0.10375</v>
      </c>
      <c r="AH89" s="10"/>
      <c r="AI89" s="10"/>
      <c r="AJ89" s="11">
        <v>0</v>
      </c>
      <c r="AK89" s="10"/>
      <c r="AL89" s="10"/>
      <c r="AM89" s="11">
        <v>0</v>
      </c>
      <c r="AN89" s="10">
        <v>50000</v>
      </c>
      <c r="AO89" s="10"/>
      <c r="AP89" s="11">
        <f t="shared" ref="AP89:AP90" si="200">AO89/AN89</f>
        <v>0</v>
      </c>
      <c r="AQ89" s="10"/>
      <c r="AR89" s="10"/>
      <c r="AS89" s="11">
        <v>0</v>
      </c>
      <c r="AT89" s="10"/>
      <c r="AU89" s="10"/>
      <c r="AV89" s="11">
        <v>0</v>
      </c>
      <c r="AW89" s="10"/>
      <c r="AX89" s="10"/>
      <c r="AY89" s="11">
        <v>0</v>
      </c>
      <c r="AZ89" s="10"/>
      <c r="BA89" s="10"/>
      <c r="BB89" s="11">
        <v>0</v>
      </c>
      <c r="BC89" s="10"/>
      <c r="BD89" s="10"/>
      <c r="BE89" s="11">
        <v>0</v>
      </c>
      <c r="BF89" s="10">
        <v>1800000</v>
      </c>
      <c r="BG89" s="10">
        <f>VLOOKUP(A:A,'[1]2026 Customer Brand Sales'!$A:$BA,53,0)</f>
        <v>794850</v>
      </c>
      <c r="BH89" s="11">
        <f t="shared" si="181"/>
        <v>0.44158333333333333</v>
      </c>
      <c r="BI89" s="10"/>
      <c r="BJ89" s="10">
        <v>71700</v>
      </c>
      <c r="BK89" s="11">
        <v>0</v>
      </c>
      <c r="BL89" s="10"/>
      <c r="BM89" s="10"/>
      <c r="BN89" s="11">
        <v>0</v>
      </c>
      <c r="BO89" s="10">
        <v>250000</v>
      </c>
      <c r="BP89" s="10"/>
      <c r="BQ89" s="11">
        <f t="shared" si="199"/>
        <v>0</v>
      </c>
      <c r="BR89" s="10"/>
      <c r="BS89" s="10"/>
      <c r="BT89" s="11">
        <v>0</v>
      </c>
      <c r="BU89" s="10"/>
      <c r="BV89" s="10"/>
      <c r="BW89" s="11">
        <v>0</v>
      </c>
      <c r="BX89" s="10"/>
      <c r="BY89" s="10"/>
      <c r="BZ89" s="11">
        <v>0</v>
      </c>
      <c r="CA89" s="10"/>
      <c r="CB89" s="10"/>
      <c r="CC89" s="11">
        <v>0</v>
      </c>
      <c r="CD89" s="10"/>
      <c r="CE89" s="10"/>
      <c r="CF89" s="11">
        <v>0</v>
      </c>
      <c r="CG89" s="10">
        <v>10000</v>
      </c>
      <c r="CH89" s="10">
        <v>40100</v>
      </c>
      <c r="CI89" s="11">
        <f t="shared" si="182"/>
        <v>4.01</v>
      </c>
      <c r="CJ89" s="10"/>
      <c r="CK89" s="10"/>
      <c r="CL89" s="11">
        <v>0</v>
      </c>
      <c r="CM89" s="10">
        <v>25000</v>
      </c>
      <c r="CN89" s="10"/>
      <c r="CO89" s="11">
        <v>0</v>
      </c>
      <c r="CP89" s="10"/>
      <c r="CQ89" s="10"/>
      <c r="CR89" s="11">
        <v>0</v>
      </c>
      <c r="CS89" s="10"/>
      <c r="CT89" s="10">
        <v>30000</v>
      </c>
      <c r="CU89" s="11">
        <v>0</v>
      </c>
      <c r="CV89" s="10"/>
      <c r="CW89" s="10"/>
      <c r="CX89" s="11">
        <v>0</v>
      </c>
      <c r="CY89" s="10">
        <v>50000</v>
      </c>
      <c r="CZ89" s="10"/>
      <c r="DA89" s="11">
        <f t="shared" ref="DA89" si="201">CZ89/CY89</f>
        <v>0</v>
      </c>
      <c r="DB89" s="10">
        <v>2663000</v>
      </c>
      <c r="DC89" s="10">
        <f t="shared" si="183"/>
        <v>957400</v>
      </c>
      <c r="DD89" s="13">
        <f t="shared" si="184"/>
        <v>0.35951933909125044</v>
      </c>
      <c r="DE89" s="14"/>
    </row>
    <row r="90" spans="1:109" x14ac:dyDescent="0.35">
      <c r="A90" s="8" t="s">
        <v>238</v>
      </c>
      <c r="B90" s="9" t="s">
        <v>51</v>
      </c>
      <c r="C90" s="9" t="s">
        <v>52</v>
      </c>
      <c r="D90" s="9" t="s">
        <v>239</v>
      </c>
      <c r="E90" s="9" t="s">
        <v>54</v>
      </c>
      <c r="F90" s="9" t="s">
        <v>55</v>
      </c>
      <c r="G90" s="10"/>
      <c r="H90" s="10">
        <v>124100</v>
      </c>
      <c r="I90" s="11">
        <v>0</v>
      </c>
      <c r="J90" s="10"/>
      <c r="K90" s="10">
        <v>4700</v>
      </c>
      <c r="L90" s="12">
        <v>0</v>
      </c>
      <c r="M90" s="10"/>
      <c r="N90" s="10">
        <v>57500</v>
      </c>
      <c r="O90" s="11">
        <v>0</v>
      </c>
      <c r="P90" s="10"/>
      <c r="Q90" s="10">
        <v>16000</v>
      </c>
      <c r="R90" s="11">
        <v>0</v>
      </c>
      <c r="S90" s="10"/>
      <c r="T90" s="10"/>
      <c r="U90" s="11">
        <v>0</v>
      </c>
      <c r="V90" s="10"/>
      <c r="W90" s="10"/>
      <c r="X90" s="11">
        <v>0</v>
      </c>
      <c r="Y90" s="10"/>
      <c r="Z90" s="10">
        <v>38700</v>
      </c>
      <c r="AA90" s="11"/>
      <c r="AB90" s="10"/>
      <c r="AC90" s="10"/>
      <c r="AD90" s="11">
        <v>0</v>
      </c>
      <c r="AE90" s="10"/>
      <c r="AF90" s="10"/>
      <c r="AG90" s="11">
        <v>0</v>
      </c>
      <c r="AH90" s="10"/>
      <c r="AI90" s="10"/>
      <c r="AJ90" s="11">
        <v>0</v>
      </c>
      <c r="AK90" s="10"/>
      <c r="AL90" s="10">
        <v>9000</v>
      </c>
      <c r="AM90" s="11">
        <v>0</v>
      </c>
      <c r="AN90" s="10">
        <v>10000</v>
      </c>
      <c r="AO90" s="10">
        <v>11500</v>
      </c>
      <c r="AP90" s="11">
        <f t="shared" si="200"/>
        <v>1.1499999999999999</v>
      </c>
      <c r="AQ90" s="10"/>
      <c r="AR90" s="10"/>
      <c r="AS90" s="11">
        <v>0</v>
      </c>
      <c r="AT90" s="10"/>
      <c r="AU90" s="10"/>
      <c r="AV90" s="11">
        <v>0</v>
      </c>
      <c r="AW90" s="10"/>
      <c r="AX90" s="10">
        <v>4500</v>
      </c>
      <c r="AY90" s="11">
        <v>0</v>
      </c>
      <c r="AZ90" s="10"/>
      <c r="BA90" s="10"/>
      <c r="BB90" s="11">
        <v>0</v>
      </c>
      <c r="BC90" s="10"/>
      <c r="BD90" s="10"/>
      <c r="BE90" s="11">
        <v>0</v>
      </c>
      <c r="BF90" s="10"/>
      <c r="BG90" s="10">
        <f>VLOOKUP(A:A,'[1]2026 Customer Brand Sales'!$A:$BA,53,0)</f>
        <v>50215</v>
      </c>
      <c r="BH90" s="11">
        <v>0</v>
      </c>
      <c r="BI90" s="10"/>
      <c r="BJ90" s="10">
        <v>32500</v>
      </c>
      <c r="BK90" s="11">
        <v>0</v>
      </c>
      <c r="BL90" s="10"/>
      <c r="BM90" s="10">
        <v>2000</v>
      </c>
      <c r="BN90" s="11">
        <v>0</v>
      </c>
      <c r="BO90" s="10"/>
      <c r="BP90" s="10">
        <v>3090</v>
      </c>
      <c r="BQ90" s="11">
        <v>0</v>
      </c>
      <c r="BR90" s="10"/>
      <c r="BS90" s="10">
        <v>72000</v>
      </c>
      <c r="BT90" s="11">
        <v>0</v>
      </c>
      <c r="BU90" s="10"/>
      <c r="BV90" s="10"/>
      <c r="BW90" s="11">
        <v>0</v>
      </c>
      <c r="BX90" s="10">
        <v>16960</v>
      </c>
      <c r="BY90" s="10"/>
      <c r="BZ90" s="11">
        <f t="shared" si="191"/>
        <v>0</v>
      </c>
      <c r="CA90" s="10"/>
      <c r="CB90" s="10"/>
      <c r="CC90" s="11">
        <v>0</v>
      </c>
      <c r="CD90" s="10"/>
      <c r="CE90" s="10"/>
      <c r="CF90" s="11">
        <v>0</v>
      </c>
      <c r="CG90" s="10"/>
      <c r="CH90" s="10">
        <v>443270</v>
      </c>
      <c r="CI90" s="11">
        <v>0</v>
      </c>
      <c r="CJ90" s="10"/>
      <c r="CK90" s="10"/>
      <c r="CL90" s="11">
        <v>0</v>
      </c>
      <c r="CM90" s="10">
        <v>25000</v>
      </c>
      <c r="CN90" s="10"/>
      <c r="CO90" s="11">
        <v>0</v>
      </c>
      <c r="CP90" s="10"/>
      <c r="CQ90" s="10"/>
      <c r="CR90" s="11">
        <v>0</v>
      </c>
      <c r="CS90" s="10"/>
      <c r="CT90" s="10">
        <v>410100</v>
      </c>
      <c r="CU90" s="11">
        <v>0</v>
      </c>
      <c r="CV90" s="10"/>
      <c r="CW90" s="10"/>
      <c r="CX90" s="11">
        <v>0</v>
      </c>
      <c r="CY90" s="10"/>
      <c r="CZ90" s="10"/>
      <c r="DA90" s="11">
        <v>0</v>
      </c>
      <c r="DB90" s="10">
        <v>51960</v>
      </c>
      <c r="DC90" s="10">
        <f t="shared" si="183"/>
        <v>1279175</v>
      </c>
      <c r="DD90" s="13">
        <f t="shared" si="184"/>
        <v>24.618456505003849</v>
      </c>
      <c r="DE90" s="14"/>
    </row>
    <row r="91" spans="1:109" x14ac:dyDescent="0.35">
      <c r="A91" s="8" t="s">
        <v>240</v>
      </c>
      <c r="B91" s="9" t="s">
        <v>51</v>
      </c>
      <c r="C91" s="9" t="s">
        <v>52</v>
      </c>
      <c r="D91" s="9" t="s">
        <v>241</v>
      </c>
      <c r="E91" s="9" t="s">
        <v>54</v>
      </c>
      <c r="F91" s="9" t="s">
        <v>55</v>
      </c>
      <c r="G91" s="10"/>
      <c r="H91" s="10"/>
      <c r="I91" s="11">
        <v>0</v>
      </c>
      <c r="J91" s="10"/>
      <c r="K91" s="10"/>
      <c r="L91" s="12">
        <v>0</v>
      </c>
      <c r="M91" s="10"/>
      <c r="N91" s="10"/>
      <c r="O91" s="11">
        <v>0</v>
      </c>
      <c r="P91" s="10"/>
      <c r="Q91" s="10"/>
      <c r="R91" s="11">
        <v>0</v>
      </c>
      <c r="S91" s="10"/>
      <c r="T91" s="10"/>
      <c r="U91" s="11">
        <v>0</v>
      </c>
      <c r="V91" s="10">
        <v>25000</v>
      </c>
      <c r="W91" s="10"/>
      <c r="X91" s="11">
        <v>0</v>
      </c>
      <c r="Y91" s="10"/>
      <c r="Z91" s="10"/>
      <c r="AA91" s="11"/>
      <c r="AB91" s="10"/>
      <c r="AC91" s="10"/>
      <c r="AD91" s="11">
        <v>0</v>
      </c>
      <c r="AE91" s="10">
        <v>100000</v>
      </c>
      <c r="AF91" s="10"/>
      <c r="AG91" s="11">
        <f t="shared" si="180"/>
        <v>0</v>
      </c>
      <c r="AH91" s="10"/>
      <c r="AI91" s="10"/>
      <c r="AJ91" s="11">
        <v>0</v>
      </c>
      <c r="AK91" s="10"/>
      <c r="AL91" s="10"/>
      <c r="AM91" s="11">
        <v>0</v>
      </c>
      <c r="AN91" s="10"/>
      <c r="AO91" s="10"/>
      <c r="AP91" s="11">
        <v>0</v>
      </c>
      <c r="AQ91" s="10"/>
      <c r="AR91" s="10"/>
      <c r="AS91" s="11">
        <v>0</v>
      </c>
      <c r="AT91" s="10"/>
      <c r="AU91" s="10"/>
      <c r="AV91" s="11">
        <v>0</v>
      </c>
      <c r="AW91" s="10"/>
      <c r="AX91" s="10"/>
      <c r="AY91" s="11">
        <v>0</v>
      </c>
      <c r="AZ91" s="10"/>
      <c r="BA91" s="10"/>
      <c r="BB91" s="11">
        <v>0</v>
      </c>
      <c r="BC91" s="10"/>
      <c r="BD91" s="10"/>
      <c r="BE91" s="11">
        <v>0</v>
      </c>
      <c r="BF91" s="10">
        <v>200000</v>
      </c>
      <c r="BG91" s="10"/>
      <c r="BH91" s="11">
        <f t="shared" si="181"/>
        <v>0</v>
      </c>
      <c r="BI91" s="10"/>
      <c r="BJ91" s="10"/>
      <c r="BK91" s="11">
        <v>0</v>
      </c>
      <c r="BL91" s="10"/>
      <c r="BM91" s="10">
        <v>13400</v>
      </c>
      <c r="BN91" s="11">
        <v>0</v>
      </c>
      <c r="BO91" s="10"/>
      <c r="BP91" s="10"/>
      <c r="BQ91" s="11">
        <v>0</v>
      </c>
      <c r="BR91" s="10"/>
      <c r="BS91" s="10"/>
      <c r="BT91" s="11">
        <v>0</v>
      </c>
      <c r="BU91" s="10"/>
      <c r="BV91" s="10"/>
      <c r="BW91" s="11">
        <v>0</v>
      </c>
      <c r="BX91" s="10"/>
      <c r="BY91" s="10"/>
      <c r="BZ91" s="11">
        <v>0</v>
      </c>
      <c r="CA91" s="10"/>
      <c r="CB91" s="10"/>
      <c r="CC91" s="11">
        <v>0</v>
      </c>
      <c r="CD91" s="10"/>
      <c r="CE91" s="10"/>
      <c r="CF91" s="11">
        <v>0</v>
      </c>
      <c r="CG91" s="10"/>
      <c r="CH91" s="10"/>
      <c r="CI91" s="11">
        <v>0</v>
      </c>
      <c r="CJ91" s="10"/>
      <c r="CK91" s="10"/>
      <c r="CL91" s="11">
        <v>0</v>
      </c>
      <c r="CM91" s="10"/>
      <c r="CN91" s="10"/>
      <c r="CO91" s="11">
        <v>0</v>
      </c>
      <c r="CP91" s="10"/>
      <c r="CQ91" s="10"/>
      <c r="CR91" s="11">
        <v>0</v>
      </c>
      <c r="CS91" s="10"/>
      <c r="CT91" s="10"/>
      <c r="CU91" s="11">
        <v>0</v>
      </c>
      <c r="CV91" s="10"/>
      <c r="CW91" s="10"/>
      <c r="CX91" s="11">
        <v>0</v>
      </c>
      <c r="CY91" s="10"/>
      <c r="CZ91" s="10"/>
      <c r="DA91" s="11">
        <v>0</v>
      </c>
      <c r="DB91" s="10">
        <v>325000</v>
      </c>
      <c r="DC91" s="10">
        <f t="shared" si="183"/>
        <v>13400</v>
      </c>
      <c r="DD91" s="13">
        <f t="shared" si="184"/>
        <v>4.1230769230769231E-2</v>
      </c>
      <c r="DE91" s="14"/>
    </row>
    <row r="92" spans="1:109" x14ac:dyDescent="0.35">
      <c r="A92" s="8" t="s">
        <v>242</v>
      </c>
      <c r="B92" s="9" t="s">
        <v>118</v>
      </c>
      <c r="C92" s="9" t="s">
        <v>43</v>
      </c>
      <c r="D92" s="9" t="s">
        <v>243</v>
      </c>
      <c r="E92" s="9" t="s">
        <v>61</v>
      </c>
      <c r="F92" s="9" t="s">
        <v>62</v>
      </c>
      <c r="G92" s="10"/>
      <c r="H92" s="10"/>
      <c r="I92" s="11">
        <v>0</v>
      </c>
      <c r="J92" s="10"/>
      <c r="K92" s="10"/>
      <c r="L92" s="12">
        <v>0</v>
      </c>
      <c r="M92" s="10"/>
      <c r="N92" s="10"/>
      <c r="O92" s="11">
        <v>0</v>
      </c>
      <c r="P92" s="10"/>
      <c r="Q92" s="10"/>
      <c r="R92" s="11">
        <v>0</v>
      </c>
      <c r="S92" s="10"/>
      <c r="T92" s="10"/>
      <c r="U92" s="11">
        <v>0</v>
      </c>
      <c r="V92" s="10">
        <v>2500000</v>
      </c>
      <c r="W92" s="10">
        <v>575850</v>
      </c>
      <c r="X92" s="11">
        <v>0.23033999999999999</v>
      </c>
      <c r="Y92" s="10"/>
      <c r="Z92" s="10"/>
      <c r="AA92" s="11"/>
      <c r="AB92" s="10"/>
      <c r="AC92" s="10"/>
      <c r="AD92" s="11">
        <v>0</v>
      </c>
      <c r="AE92" s="10"/>
      <c r="AF92" s="10"/>
      <c r="AG92" s="11">
        <v>0</v>
      </c>
      <c r="AH92" s="10"/>
      <c r="AI92" s="10"/>
      <c r="AJ92" s="11">
        <v>0</v>
      </c>
      <c r="AK92" s="10"/>
      <c r="AL92" s="10"/>
      <c r="AM92" s="11">
        <v>0</v>
      </c>
      <c r="AN92" s="10"/>
      <c r="AO92" s="10"/>
      <c r="AP92" s="11">
        <v>0</v>
      </c>
      <c r="AQ92" s="10"/>
      <c r="AR92" s="10"/>
      <c r="AS92" s="11">
        <v>0</v>
      </c>
      <c r="AT92" s="10"/>
      <c r="AU92" s="10"/>
      <c r="AV92" s="11">
        <v>0</v>
      </c>
      <c r="AW92" s="10"/>
      <c r="AX92" s="10"/>
      <c r="AY92" s="11">
        <v>0</v>
      </c>
      <c r="AZ92" s="10"/>
      <c r="BA92" s="10"/>
      <c r="BB92" s="11">
        <v>0</v>
      </c>
      <c r="BC92" s="10"/>
      <c r="BD92" s="10"/>
      <c r="BE92" s="11">
        <v>0</v>
      </c>
      <c r="BF92" s="10"/>
      <c r="BG92" s="10"/>
      <c r="BH92" s="11">
        <v>0</v>
      </c>
      <c r="BI92" s="10"/>
      <c r="BJ92" s="10"/>
      <c r="BK92" s="11">
        <v>0</v>
      </c>
      <c r="BL92" s="10"/>
      <c r="BM92" s="10"/>
      <c r="BN92" s="11">
        <v>0</v>
      </c>
      <c r="BO92" s="10"/>
      <c r="BP92" s="10"/>
      <c r="BQ92" s="11">
        <v>0</v>
      </c>
      <c r="BR92" s="10"/>
      <c r="BS92" s="10"/>
      <c r="BT92" s="11">
        <v>0</v>
      </c>
      <c r="BU92" s="10"/>
      <c r="BV92" s="10"/>
      <c r="BW92" s="11">
        <v>0</v>
      </c>
      <c r="BX92" s="10"/>
      <c r="BY92" s="10"/>
      <c r="BZ92" s="11">
        <v>0</v>
      </c>
      <c r="CA92" s="10"/>
      <c r="CB92" s="10"/>
      <c r="CC92" s="11">
        <v>0</v>
      </c>
      <c r="CD92" s="10"/>
      <c r="CE92" s="10"/>
      <c r="CF92" s="11">
        <v>0</v>
      </c>
      <c r="CG92" s="10"/>
      <c r="CH92" s="10"/>
      <c r="CI92" s="11">
        <v>0</v>
      </c>
      <c r="CJ92" s="10"/>
      <c r="CK92" s="10"/>
      <c r="CL92" s="11">
        <v>0</v>
      </c>
      <c r="CM92" s="10"/>
      <c r="CN92" s="10"/>
      <c r="CO92" s="11">
        <v>0</v>
      </c>
      <c r="CP92" s="10"/>
      <c r="CQ92" s="10"/>
      <c r="CR92" s="11">
        <v>0</v>
      </c>
      <c r="CS92" s="10"/>
      <c r="CT92" s="10"/>
      <c r="CU92" s="11">
        <v>0</v>
      </c>
      <c r="CV92" s="10"/>
      <c r="CW92" s="10"/>
      <c r="CX92" s="11">
        <v>0</v>
      </c>
      <c r="CY92" s="10"/>
      <c r="CZ92" s="10"/>
      <c r="DA92" s="11">
        <v>0</v>
      </c>
      <c r="DB92" s="10">
        <v>2500000</v>
      </c>
      <c r="DC92" s="10">
        <f t="shared" ref="DC92:DC105" si="202">SUM(H92,K92,N92,Q92,T92,W92,Z92,AC92,AF92,AI92,AL92,AO92,AR92,AU92,AX92,BA92,BD92,BG92,BJ92,BM92,BP92,BS92,BV92,BY92,CB92,CE92,CH92,CK92,CN92,CQ92,CT92,CW92,CZ92)</f>
        <v>575850</v>
      </c>
      <c r="DD92" s="13">
        <f t="shared" ref="DD92:DD107" si="203">DC92/DB92</f>
        <v>0.23033999999999999</v>
      </c>
      <c r="DE92" s="14"/>
    </row>
    <row r="93" spans="1:109" x14ac:dyDescent="0.35">
      <c r="A93" s="8" t="s">
        <v>244</v>
      </c>
      <c r="B93" s="9" t="s">
        <v>51</v>
      </c>
      <c r="C93" s="9" t="s">
        <v>52</v>
      </c>
      <c r="D93" s="9" t="s">
        <v>245</v>
      </c>
      <c r="E93" s="9" t="s">
        <v>54</v>
      </c>
      <c r="F93" s="9" t="s">
        <v>55</v>
      </c>
      <c r="G93" s="10"/>
      <c r="H93" s="10"/>
      <c r="I93" s="11">
        <v>0</v>
      </c>
      <c r="J93" s="10"/>
      <c r="K93" s="10"/>
      <c r="L93" s="12">
        <v>0</v>
      </c>
      <c r="M93" s="10">
        <v>336000</v>
      </c>
      <c r="N93" s="10"/>
      <c r="O93" s="11">
        <f t="shared" ref="O93:O100" si="204">N93/M93</f>
        <v>0</v>
      </c>
      <c r="P93" s="10"/>
      <c r="Q93" s="10"/>
      <c r="R93" s="11">
        <v>0</v>
      </c>
      <c r="S93" s="10"/>
      <c r="T93" s="10"/>
      <c r="U93" s="11">
        <v>0</v>
      </c>
      <c r="V93" s="10"/>
      <c r="W93" s="10"/>
      <c r="X93" s="11">
        <v>0</v>
      </c>
      <c r="Y93" s="10">
        <v>300000</v>
      </c>
      <c r="Z93" s="10"/>
      <c r="AA93" s="11">
        <f t="shared" ref="AA93:AA102" si="205">Z93/Y93</f>
        <v>0</v>
      </c>
      <c r="AB93" s="10">
        <v>500000</v>
      </c>
      <c r="AC93" s="10"/>
      <c r="AD93" s="11">
        <v>0</v>
      </c>
      <c r="AE93" s="10">
        <v>100000</v>
      </c>
      <c r="AF93" s="10">
        <v>36000</v>
      </c>
      <c r="AG93" s="11">
        <f t="shared" ref="AG93:AG102" si="206">AF93/AE93</f>
        <v>0.36</v>
      </c>
      <c r="AH93" s="10"/>
      <c r="AI93" s="10"/>
      <c r="AJ93" s="11">
        <v>0</v>
      </c>
      <c r="AK93" s="10"/>
      <c r="AL93" s="10"/>
      <c r="AM93" s="11">
        <v>0</v>
      </c>
      <c r="AN93" s="10"/>
      <c r="AO93" s="10"/>
      <c r="AP93" s="11">
        <v>0</v>
      </c>
      <c r="AQ93" s="10"/>
      <c r="AR93" s="10"/>
      <c r="AS93" s="11">
        <v>0</v>
      </c>
      <c r="AT93" s="10"/>
      <c r="AU93" s="10"/>
      <c r="AV93" s="11">
        <v>0</v>
      </c>
      <c r="AW93" s="10"/>
      <c r="AX93" s="10"/>
      <c r="AY93" s="11">
        <v>0</v>
      </c>
      <c r="AZ93" s="10">
        <v>295200</v>
      </c>
      <c r="BA93" s="10"/>
      <c r="BB93" s="11">
        <f t="shared" ref="BB93:BB96" si="207">BA93/AZ93</f>
        <v>0</v>
      </c>
      <c r="BC93" s="10"/>
      <c r="BD93" s="10"/>
      <c r="BE93" s="11">
        <v>0</v>
      </c>
      <c r="BF93" s="10">
        <v>800000</v>
      </c>
      <c r="BG93" s="10">
        <f>VLOOKUP(A:A,'[1]2026 Customer Brand Sales'!$A:$BA,53,0)</f>
        <v>25770</v>
      </c>
      <c r="BH93" s="11">
        <f t="shared" ref="BH93:BH104" si="208">BG93/BF93</f>
        <v>3.2212499999999998E-2</v>
      </c>
      <c r="BI93" s="10"/>
      <c r="BJ93" s="10">
        <v>11750</v>
      </c>
      <c r="BK93" s="11">
        <v>0</v>
      </c>
      <c r="BL93" s="10"/>
      <c r="BM93" s="10">
        <v>380</v>
      </c>
      <c r="BN93" s="11">
        <v>0</v>
      </c>
      <c r="BO93" s="10"/>
      <c r="BP93" s="10"/>
      <c r="BQ93" s="11">
        <v>0</v>
      </c>
      <c r="BR93" s="10"/>
      <c r="BS93" s="10"/>
      <c r="BT93" s="11">
        <v>0</v>
      </c>
      <c r="BU93" s="10"/>
      <c r="BV93" s="10"/>
      <c r="BW93" s="11">
        <v>0</v>
      </c>
      <c r="BX93" s="10"/>
      <c r="BY93" s="10"/>
      <c r="BZ93" s="11">
        <v>0</v>
      </c>
      <c r="CA93" s="10"/>
      <c r="CB93" s="10"/>
      <c r="CC93" s="11">
        <v>0</v>
      </c>
      <c r="CD93" s="10"/>
      <c r="CE93" s="10"/>
      <c r="CF93" s="11">
        <v>0</v>
      </c>
      <c r="CG93" s="10">
        <v>10000</v>
      </c>
      <c r="CH93" s="10"/>
      <c r="CI93" s="11">
        <f t="shared" ref="CI93:CI105" si="209">CH93/CG93</f>
        <v>0</v>
      </c>
      <c r="CJ93" s="10"/>
      <c r="CK93" s="10"/>
      <c r="CL93" s="11">
        <v>0</v>
      </c>
      <c r="CM93" s="10"/>
      <c r="CN93" s="10"/>
      <c r="CO93" s="11">
        <v>0</v>
      </c>
      <c r="CP93" s="10"/>
      <c r="CQ93" s="10"/>
      <c r="CR93" s="11">
        <v>0</v>
      </c>
      <c r="CS93" s="10"/>
      <c r="CT93" s="10"/>
      <c r="CU93" s="11">
        <v>0</v>
      </c>
      <c r="CV93" s="10"/>
      <c r="CW93" s="10"/>
      <c r="CX93" s="11">
        <v>0</v>
      </c>
      <c r="CY93" s="10"/>
      <c r="CZ93" s="10"/>
      <c r="DA93" s="11">
        <v>0</v>
      </c>
      <c r="DB93" s="10">
        <v>2341200</v>
      </c>
      <c r="DC93" s="10">
        <f t="shared" si="202"/>
        <v>73900</v>
      </c>
      <c r="DD93" s="13">
        <f t="shared" si="203"/>
        <v>3.1565009396890484E-2</v>
      </c>
      <c r="DE93" s="14"/>
    </row>
    <row r="94" spans="1:109" x14ac:dyDescent="0.35">
      <c r="A94" s="8" t="s">
        <v>246</v>
      </c>
      <c r="B94" s="9" t="s">
        <v>77</v>
      </c>
      <c r="C94" s="9" t="s">
        <v>43</v>
      </c>
      <c r="D94" s="9" t="s">
        <v>247</v>
      </c>
      <c r="E94" s="9" t="s">
        <v>61</v>
      </c>
      <c r="F94" s="9" t="s">
        <v>62</v>
      </c>
      <c r="G94" s="10"/>
      <c r="H94" s="10"/>
      <c r="I94" s="11">
        <v>0</v>
      </c>
      <c r="J94" s="10"/>
      <c r="K94" s="10"/>
      <c r="L94" s="12">
        <v>0</v>
      </c>
      <c r="M94" s="10"/>
      <c r="N94" s="10"/>
      <c r="O94" s="11">
        <v>0</v>
      </c>
      <c r="P94" s="10"/>
      <c r="Q94" s="10"/>
      <c r="R94" s="11">
        <v>0</v>
      </c>
      <c r="S94" s="10"/>
      <c r="T94" s="10"/>
      <c r="U94" s="11">
        <v>0</v>
      </c>
      <c r="V94" s="10">
        <v>10000000</v>
      </c>
      <c r="W94" s="10">
        <v>3098350</v>
      </c>
      <c r="X94" s="11">
        <v>0.30983500000000003</v>
      </c>
      <c r="Y94" s="10"/>
      <c r="Z94" s="10"/>
      <c r="AA94" s="11"/>
      <c r="AB94" s="10"/>
      <c r="AC94" s="10"/>
      <c r="AD94" s="11">
        <v>0</v>
      </c>
      <c r="AE94" s="10"/>
      <c r="AF94" s="10"/>
      <c r="AG94" s="11">
        <v>0</v>
      </c>
      <c r="AH94" s="10"/>
      <c r="AI94" s="10"/>
      <c r="AJ94" s="11">
        <v>0</v>
      </c>
      <c r="AK94" s="10"/>
      <c r="AL94" s="10"/>
      <c r="AM94" s="11">
        <v>0</v>
      </c>
      <c r="AN94" s="10"/>
      <c r="AO94" s="10"/>
      <c r="AP94" s="11">
        <v>0</v>
      </c>
      <c r="AQ94" s="10"/>
      <c r="AR94" s="10"/>
      <c r="AS94" s="11">
        <v>0</v>
      </c>
      <c r="AT94" s="10"/>
      <c r="AU94" s="10"/>
      <c r="AV94" s="11">
        <v>0</v>
      </c>
      <c r="AW94" s="10"/>
      <c r="AX94" s="10"/>
      <c r="AY94" s="11">
        <v>0</v>
      </c>
      <c r="AZ94" s="10"/>
      <c r="BA94" s="10"/>
      <c r="BB94" s="11">
        <v>0</v>
      </c>
      <c r="BC94" s="10"/>
      <c r="BD94" s="10"/>
      <c r="BE94" s="11">
        <v>0</v>
      </c>
      <c r="BF94" s="10"/>
      <c r="BG94" s="10"/>
      <c r="BH94" s="11">
        <v>0</v>
      </c>
      <c r="BI94" s="10"/>
      <c r="BJ94" s="10"/>
      <c r="BK94" s="11">
        <v>0</v>
      </c>
      <c r="BL94" s="10"/>
      <c r="BM94" s="10"/>
      <c r="BN94" s="11">
        <v>0</v>
      </c>
      <c r="BO94" s="10"/>
      <c r="BP94" s="10"/>
      <c r="BQ94" s="11">
        <v>0</v>
      </c>
      <c r="BR94" s="10"/>
      <c r="BS94" s="10"/>
      <c r="BT94" s="11">
        <v>0</v>
      </c>
      <c r="BU94" s="10"/>
      <c r="BV94" s="10"/>
      <c r="BW94" s="11">
        <v>0</v>
      </c>
      <c r="BX94" s="10"/>
      <c r="BY94" s="10"/>
      <c r="BZ94" s="11">
        <v>0</v>
      </c>
      <c r="CA94" s="10"/>
      <c r="CB94" s="10"/>
      <c r="CC94" s="11">
        <v>0</v>
      </c>
      <c r="CD94" s="10"/>
      <c r="CE94" s="10"/>
      <c r="CF94" s="11">
        <v>0</v>
      </c>
      <c r="CG94" s="10"/>
      <c r="CH94" s="10"/>
      <c r="CI94" s="11">
        <v>0</v>
      </c>
      <c r="CJ94" s="10"/>
      <c r="CK94" s="10"/>
      <c r="CL94" s="11">
        <v>0</v>
      </c>
      <c r="CM94" s="10"/>
      <c r="CN94" s="10"/>
      <c r="CO94" s="11">
        <v>0</v>
      </c>
      <c r="CP94" s="10"/>
      <c r="CQ94" s="10"/>
      <c r="CR94" s="11">
        <v>0</v>
      </c>
      <c r="CS94" s="10"/>
      <c r="CT94" s="10"/>
      <c r="CU94" s="11">
        <v>0</v>
      </c>
      <c r="CV94" s="10"/>
      <c r="CW94" s="10"/>
      <c r="CX94" s="11">
        <v>0</v>
      </c>
      <c r="CY94" s="10"/>
      <c r="CZ94" s="10"/>
      <c r="DA94" s="11">
        <v>0</v>
      </c>
      <c r="DB94" s="10">
        <v>10000000</v>
      </c>
      <c r="DC94" s="10">
        <f t="shared" si="202"/>
        <v>3098350</v>
      </c>
      <c r="DD94" s="13">
        <f t="shared" si="203"/>
        <v>0.30983500000000003</v>
      </c>
      <c r="DE94" s="14"/>
    </row>
    <row r="95" spans="1:109" x14ac:dyDescent="0.35">
      <c r="A95" s="8" t="s">
        <v>248</v>
      </c>
      <c r="B95" s="9" t="s">
        <v>77</v>
      </c>
      <c r="C95" s="9" t="s">
        <v>43</v>
      </c>
      <c r="D95" s="9" t="s">
        <v>249</v>
      </c>
      <c r="E95" s="9" t="s">
        <v>61</v>
      </c>
      <c r="F95" s="9" t="s">
        <v>62</v>
      </c>
      <c r="G95" s="10"/>
      <c r="H95" s="10"/>
      <c r="I95" s="11">
        <v>0</v>
      </c>
      <c r="J95" s="10"/>
      <c r="K95" s="10"/>
      <c r="L95" s="12">
        <v>0</v>
      </c>
      <c r="M95" s="10"/>
      <c r="N95" s="10"/>
      <c r="O95" s="11">
        <v>0</v>
      </c>
      <c r="P95" s="10"/>
      <c r="Q95" s="10"/>
      <c r="R95" s="11">
        <v>0</v>
      </c>
      <c r="S95" s="10"/>
      <c r="T95" s="10"/>
      <c r="U95" s="11">
        <v>0</v>
      </c>
      <c r="V95" s="10">
        <v>2500000</v>
      </c>
      <c r="W95" s="10">
        <v>1214500</v>
      </c>
      <c r="X95" s="11">
        <v>0.48580000000000001</v>
      </c>
      <c r="Y95" s="10"/>
      <c r="Z95" s="10"/>
      <c r="AA95" s="11"/>
      <c r="AB95" s="10"/>
      <c r="AC95" s="10"/>
      <c r="AD95" s="11">
        <v>0</v>
      </c>
      <c r="AE95" s="10"/>
      <c r="AF95" s="10"/>
      <c r="AG95" s="11">
        <v>0</v>
      </c>
      <c r="AH95" s="10"/>
      <c r="AI95" s="10"/>
      <c r="AJ95" s="11">
        <v>0</v>
      </c>
      <c r="AK95" s="10"/>
      <c r="AL95" s="10"/>
      <c r="AM95" s="11">
        <v>0</v>
      </c>
      <c r="AN95" s="10"/>
      <c r="AO95" s="10"/>
      <c r="AP95" s="11">
        <v>0</v>
      </c>
      <c r="AQ95" s="10"/>
      <c r="AR95" s="10"/>
      <c r="AS95" s="11">
        <v>0</v>
      </c>
      <c r="AT95" s="10"/>
      <c r="AU95" s="10"/>
      <c r="AV95" s="11">
        <v>0</v>
      </c>
      <c r="AW95" s="10"/>
      <c r="AX95" s="10"/>
      <c r="AY95" s="11">
        <v>0</v>
      </c>
      <c r="AZ95" s="10"/>
      <c r="BA95" s="10"/>
      <c r="BB95" s="11">
        <v>0</v>
      </c>
      <c r="BC95" s="10"/>
      <c r="BD95" s="10"/>
      <c r="BE95" s="11">
        <v>0</v>
      </c>
      <c r="BF95" s="10"/>
      <c r="BG95" s="10"/>
      <c r="BH95" s="11">
        <v>0</v>
      </c>
      <c r="BI95" s="10"/>
      <c r="BJ95" s="10"/>
      <c r="BK95" s="11">
        <v>0</v>
      </c>
      <c r="BL95" s="10"/>
      <c r="BM95" s="10"/>
      <c r="BN95" s="11">
        <v>0</v>
      </c>
      <c r="BO95" s="10"/>
      <c r="BP95" s="10"/>
      <c r="BQ95" s="11">
        <v>0</v>
      </c>
      <c r="BR95" s="10"/>
      <c r="BS95" s="10"/>
      <c r="BT95" s="11">
        <v>0</v>
      </c>
      <c r="BU95" s="10"/>
      <c r="BV95" s="10"/>
      <c r="BW95" s="11">
        <v>0</v>
      </c>
      <c r="BX95" s="10"/>
      <c r="BY95" s="10"/>
      <c r="BZ95" s="11">
        <v>0</v>
      </c>
      <c r="CA95" s="10"/>
      <c r="CB95" s="10"/>
      <c r="CC95" s="11">
        <v>0</v>
      </c>
      <c r="CD95" s="10"/>
      <c r="CE95" s="10"/>
      <c r="CF95" s="11">
        <v>0</v>
      </c>
      <c r="CG95" s="10"/>
      <c r="CH95" s="10"/>
      <c r="CI95" s="11">
        <v>0</v>
      </c>
      <c r="CJ95" s="10"/>
      <c r="CK95" s="10"/>
      <c r="CL95" s="11">
        <v>0</v>
      </c>
      <c r="CM95" s="10"/>
      <c r="CN95" s="10"/>
      <c r="CO95" s="11">
        <v>0</v>
      </c>
      <c r="CP95" s="10"/>
      <c r="CQ95" s="10"/>
      <c r="CR95" s="11">
        <v>0</v>
      </c>
      <c r="CS95" s="10"/>
      <c r="CT95" s="10"/>
      <c r="CU95" s="11">
        <v>0</v>
      </c>
      <c r="CV95" s="10"/>
      <c r="CW95" s="10"/>
      <c r="CX95" s="11">
        <v>0</v>
      </c>
      <c r="CY95" s="10"/>
      <c r="CZ95" s="10"/>
      <c r="DA95" s="11">
        <v>0</v>
      </c>
      <c r="DB95" s="10">
        <v>2500000</v>
      </c>
      <c r="DC95" s="10">
        <f t="shared" si="202"/>
        <v>1214500</v>
      </c>
      <c r="DD95" s="13">
        <f t="shared" si="203"/>
        <v>0.48580000000000001</v>
      </c>
      <c r="DE95" s="14"/>
    </row>
    <row r="96" spans="1:109" x14ac:dyDescent="0.35">
      <c r="A96" s="8" t="s">
        <v>250</v>
      </c>
      <c r="B96" s="9" t="s">
        <v>111</v>
      </c>
      <c r="C96" s="9" t="s">
        <v>52</v>
      </c>
      <c r="D96" s="9" t="s">
        <v>251</v>
      </c>
      <c r="E96" s="9" t="s">
        <v>54</v>
      </c>
      <c r="F96" s="9" t="s">
        <v>55</v>
      </c>
      <c r="G96" s="10"/>
      <c r="H96" s="10"/>
      <c r="I96" s="11">
        <v>0</v>
      </c>
      <c r="J96" s="10"/>
      <c r="K96" s="10"/>
      <c r="L96" s="12">
        <v>0</v>
      </c>
      <c r="M96" s="10"/>
      <c r="N96" s="10"/>
      <c r="O96" s="11">
        <v>0</v>
      </c>
      <c r="P96" s="10"/>
      <c r="Q96" s="10"/>
      <c r="R96" s="11">
        <v>0</v>
      </c>
      <c r="S96" s="10"/>
      <c r="T96" s="10"/>
      <c r="U96" s="11">
        <v>0</v>
      </c>
      <c r="V96" s="10"/>
      <c r="W96" s="10"/>
      <c r="X96" s="11">
        <v>0</v>
      </c>
      <c r="Y96" s="10"/>
      <c r="Z96" s="10"/>
      <c r="AA96" s="11"/>
      <c r="AB96" s="10"/>
      <c r="AC96" s="10"/>
      <c r="AD96" s="11">
        <v>0</v>
      </c>
      <c r="AE96" s="10"/>
      <c r="AF96" s="10"/>
      <c r="AG96" s="11">
        <v>0</v>
      </c>
      <c r="AH96" s="10"/>
      <c r="AI96" s="10"/>
      <c r="AJ96" s="11">
        <v>0</v>
      </c>
      <c r="AK96" s="10">
        <v>2000000</v>
      </c>
      <c r="AL96" s="10">
        <v>690000</v>
      </c>
      <c r="AM96" s="11">
        <f t="shared" ref="AM96:AM101" si="210">AL96/AK96</f>
        <v>0.34499999999999997</v>
      </c>
      <c r="AN96" s="10"/>
      <c r="AO96" s="10"/>
      <c r="AP96" s="11">
        <v>0</v>
      </c>
      <c r="AQ96" s="10"/>
      <c r="AR96" s="10"/>
      <c r="AS96" s="11">
        <v>0</v>
      </c>
      <c r="AT96" s="10"/>
      <c r="AU96" s="10"/>
      <c r="AV96" s="11">
        <v>0</v>
      </c>
      <c r="AW96" s="10"/>
      <c r="AX96" s="10">
        <v>21900</v>
      </c>
      <c r="AY96" s="11">
        <v>0</v>
      </c>
      <c r="AZ96" s="10">
        <v>215000</v>
      </c>
      <c r="BA96" s="10"/>
      <c r="BB96" s="11">
        <f t="shared" si="207"/>
        <v>0</v>
      </c>
      <c r="BC96" s="10"/>
      <c r="BD96" s="10"/>
      <c r="BE96" s="11">
        <v>0</v>
      </c>
      <c r="BF96" s="10">
        <v>9500000</v>
      </c>
      <c r="BG96" s="10">
        <f>VLOOKUP(A:A,'[1]2026 Customer Brand Sales'!$A:$BA,53,0)</f>
        <v>5913505</v>
      </c>
      <c r="BH96" s="11">
        <f t="shared" si="208"/>
        <v>0.6224742105263158</v>
      </c>
      <c r="BI96" s="10">
        <v>500000</v>
      </c>
      <c r="BJ96" s="10">
        <v>30300</v>
      </c>
      <c r="BK96" s="11">
        <f t="shared" ref="BK96" si="211">BJ96/BI96</f>
        <v>6.0600000000000001E-2</v>
      </c>
      <c r="BL96" s="10">
        <v>800000</v>
      </c>
      <c r="BM96" s="10">
        <v>1181775</v>
      </c>
      <c r="BN96" s="11">
        <f t="shared" ref="BN96:BN102" si="212">BM96/BL96</f>
        <v>1.47721875</v>
      </c>
      <c r="BO96" s="10">
        <v>50000</v>
      </c>
      <c r="BP96" s="10">
        <v>87475</v>
      </c>
      <c r="BQ96" s="11">
        <f t="shared" ref="BQ96:BQ101" si="213">BP96/BO96</f>
        <v>1.7495000000000001</v>
      </c>
      <c r="BR96" s="10"/>
      <c r="BS96" s="10"/>
      <c r="BT96" s="11">
        <v>0</v>
      </c>
      <c r="BU96" s="10"/>
      <c r="BV96" s="10"/>
      <c r="BW96" s="11">
        <v>0</v>
      </c>
      <c r="BX96" s="10"/>
      <c r="BY96" s="10"/>
      <c r="BZ96" s="11">
        <v>0</v>
      </c>
      <c r="CA96" s="10"/>
      <c r="CB96" s="10"/>
      <c r="CC96" s="11">
        <v>0</v>
      </c>
      <c r="CD96" s="10"/>
      <c r="CE96" s="10"/>
      <c r="CF96" s="11">
        <v>0</v>
      </c>
      <c r="CG96" s="10"/>
      <c r="CH96" s="10"/>
      <c r="CI96" s="11">
        <v>0</v>
      </c>
      <c r="CJ96" s="10"/>
      <c r="CK96" s="10"/>
      <c r="CL96" s="11">
        <v>0</v>
      </c>
      <c r="CM96" s="10"/>
      <c r="CN96" s="10"/>
      <c r="CO96" s="11">
        <v>0</v>
      </c>
      <c r="CP96" s="10"/>
      <c r="CQ96" s="10"/>
      <c r="CR96" s="11">
        <v>0</v>
      </c>
      <c r="CS96" s="10"/>
      <c r="CT96" s="10"/>
      <c r="CU96" s="11">
        <v>0</v>
      </c>
      <c r="CV96" s="10"/>
      <c r="CW96" s="10"/>
      <c r="CX96" s="11">
        <v>0</v>
      </c>
      <c r="CY96" s="10"/>
      <c r="CZ96" s="10"/>
      <c r="DA96" s="11">
        <v>0</v>
      </c>
      <c r="DB96" s="10">
        <v>13065000</v>
      </c>
      <c r="DC96" s="10">
        <f t="shared" si="202"/>
        <v>7924955</v>
      </c>
      <c r="DD96" s="13">
        <f t="shared" si="203"/>
        <v>0.60657902793723695</v>
      </c>
      <c r="DE96" s="14"/>
    </row>
    <row r="97" spans="1:109" x14ac:dyDescent="0.35">
      <c r="A97" s="8" t="s">
        <v>252</v>
      </c>
      <c r="B97" s="9" t="s">
        <v>108</v>
      </c>
      <c r="C97" s="9" t="s">
        <v>52</v>
      </c>
      <c r="D97" s="9" t="s">
        <v>253</v>
      </c>
      <c r="E97" s="9" t="s">
        <v>54</v>
      </c>
      <c r="F97" s="9" t="s">
        <v>55</v>
      </c>
      <c r="G97" s="10"/>
      <c r="H97" s="10"/>
      <c r="I97" s="11">
        <v>0</v>
      </c>
      <c r="J97" s="10"/>
      <c r="K97" s="10"/>
      <c r="L97" s="12">
        <v>0</v>
      </c>
      <c r="M97" s="10">
        <v>30000</v>
      </c>
      <c r="N97" s="10"/>
      <c r="O97" s="11">
        <f t="shared" si="204"/>
        <v>0</v>
      </c>
      <c r="P97" s="10"/>
      <c r="Q97" s="10"/>
      <c r="R97" s="11">
        <v>0</v>
      </c>
      <c r="S97" s="10"/>
      <c r="T97" s="10"/>
      <c r="U97" s="11">
        <v>0</v>
      </c>
      <c r="V97" s="10"/>
      <c r="W97" s="10">
        <v>55000</v>
      </c>
      <c r="X97" s="11">
        <v>0</v>
      </c>
      <c r="Y97" s="10"/>
      <c r="Z97" s="10"/>
      <c r="AA97" s="11"/>
      <c r="AB97" s="10"/>
      <c r="AC97" s="10">
        <v>26000</v>
      </c>
      <c r="AD97" s="11">
        <v>0</v>
      </c>
      <c r="AE97" s="10"/>
      <c r="AF97" s="10"/>
      <c r="AG97" s="11">
        <v>0</v>
      </c>
      <c r="AH97" s="10"/>
      <c r="AI97" s="10"/>
      <c r="AJ97" s="11">
        <v>0</v>
      </c>
      <c r="AK97" s="10">
        <v>200000</v>
      </c>
      <c r="AL97" s="10">
        <v>112000</v>
      </c>
      <c r="AM97" s="11">
        <f t="shared" si="210"/>
        <v>0.56000000000000005</v>
      </c>
      <c r="AN97" s="10"/>
      <c r="AO97" s="10"/>
      <c r="AP97" s="11">
        <v>0</v>
      </c>
      <c r="AQ97" s="10"/>
      <c r="AR97" s="10"/>
      <c r="AS97" s="11">
        <v>0</v>
      </c>
      <c r="AT97" s="10"/>
      <c r="AU97" s="10">
        <v>131300</v>
      </c>
      <c r="AV97" s="11">
        <v>0</v>
      </c>
      <c r="AW97" s="10"/>
      <c r="AX97" s="10"/>
      <c r="AY97" s="11">
        <v>0</v>
      </c>
      <c r="AZ97" s="10"/>
      <c r="BA97" s="10"/>
      <c r="BB97" s="11">
        <v>0</v>
      </c>
      <c r="BC97" s="10"/>
      <c r="BD97" s="10"/>
      <c r="BE97" s="11">
        <v>0</v>
      </c>
      <c r="BF97" s="10">
        <v>11500000</v>
      </c>
      <c r="BG97" s="10">
        <f>VLOOKUP(A:A,'[1]2026 Customer Brand Sales'!$A:$BA,53,0)</f>
        <v>4240690</v>
      </c>
      <c r="BH97" s="11">
        <f t="shared" si="208"/>
        <v>0.36875565217391304</v>
      </c>
      <c r="BI97" s="10"/>
      <c r="BJ97" s="10">
        <v>4500</v>
      </c>
      <c r="BK97" s="11">
        <v>0</v>
      </c>
      <c r="BL97" s="10">
        <v>2000000</v>
      </c>
      <c r="BM97" s="10">
        <v>1450295</v>
      </c>
      <c r="BN97" s="11">
        <f t="shared" si="212"/>
        <v>0.72514749999999994</v>
      </c>
      <c r="BO97" s="10">
        <v>50000</v>
      </c>
      <c r="BP97" s="10">
        <v>311425</v>
      </c>
      <c r="BQ97" s="11">
        <f t="shared" si="213"/>
        <v>6.2285000000000004</v>
      </c>
      <c r="BR97" s="10"/>
      <c r="BS97" s="10"/>
      <c r="BT97" s="11">
        <v>0</v>
      </c>
      <c r="BU97" s="10"/>
      <c r="BV97" s="10"/>
      <c r="BW97" s="11">
        <v>0</v>
      </c>
      <c r="BX97" s="10"/>
      <c r="BY97" s="10"/>
      <c r="BZ97" s="11">
        <v>0</v>
      </c>
      <c r="CA97" s="10"/>
      <c r="CB97" s="10"/>
      <c r="CC97" s="11">
        <v>0</v>
      </c>
      <c r="CD97" s="10"/>
      <c r="CE97" s="10"/>
      <c r="CF97" s="11">
        <v>0</v>
      </c>
      <c r="CG97" s="10"/>
      <c r="CH97" s="10">
        <v>69150</v>
      </c>
      <c r="CI97" s="11">
        <v>0</v>
      </c>
      <c r="CJ97" s="10"/>
      <c r="CK97" s="10"/>
      <c r="CL97" s="11">
        <v>0</v>
      </c>
      <c r="CM97" s="10"/>
      <c r="CN97" s="10"/>
      <c r="CO97" s="11">
        <v>0</v>
      </c>
      <c r="CP97" s="10"/>
      <c r="CQ97" s="10"/>
      <c r="CR97" s="11">
        <v>0</v>
      </c>
      <c r="CS97" s="10"/>
      <c r="CT97" s="10"/>
      <c r="CU97" s="11">
        <v>0</v>
      </c>
      <c r="CV97" s="10"/>
      <c r="CW97" s="10"/>
      <c r="CX97" s="11">
        <v>0</v>
      </c>
      <c r="CY97" s="10"/>
      <c r="CZ97" s="10"/>
      <c r="DA97" s="11">
        <v>0</v>
      </c>
      <c r="DB97" s="10">
        <v>13780000</v>
      </c>
      <c r="DC97" s="10">
        <f t="shared" si="202"/>
        <v>6400360</v>
      </c>
      <c r="DD97" s="13">
        <f t="shared" si="203"/>
        <v>0.46446734397677791</v>
      </c>
      <c r="DE97" s="14"/>
    </row>
    <row r="98" spans="1:109" x14ac:dyDescent="0.35">
      <c r="A98" s="8" t="s">
        <v>254</v>
      </c>
      <c r="B98" s="9" t="s">
        <v>51</v>
      </c>
      <c r="C98" s="9" t="s">
        <v>52</v>
      </c>
      <c r="D98" s="9" t="s">
        <v>255</v>
      </c>
      <c r="E98" s="9" t="s">
        <v>54</v>
      </c>
      <c r="F98" s="9" t="s">
        <v>55</v>
      </c>
      <c r="G98" s="10"/>
      <c r="H98" s="10"/>
      <c r="I98" s="11">
        <v>0</v>
      </c>
      <c r="J98" s="10"/>
      <c r="K98" s="10"/>
      <c r="L98" s="12">
        <v>0</v>
      </c>
      <c r="M98" s="10"/>
      <c r="N98" s="10"/>
      <c r="O98" s="11">
        <v>0</v>
      </c>
      <c r="P98" s="10"/>
      <c r="Q98" s="10"/>
      <c r="R98" s="11">
        <v>0</v>
      </c>
      <c r="S98" s="10"/>
      <c r="T98" s="10"/>
      <c r="U98" s="11">
        <v>0</v>
      </c>
      <c r="V98" s="10"/>
      <c r="W98" s="10"/>
      <c r="X98" s="11">
        <v>0</v>
      </c>
      <c r="Y98" s="10"/>
      <c r="Z98" s="10">
        <v>64000</v>
      </c>
      <c r="AA98" s="11"/>
      <c r="AB98" s="10"/>
      <c r="AC98" s="10"/>
      <c r="AD98" s="11">
        <v>0</v>
      </c>
      <c r="AE98" s="10"/>
      <c r="AF98" s="10"/>
      <c r="AG98" s="11">
        <v>0</v>
      </c>
      <c r="AH98" s="10"/>
      <c r="AI98" s="10"/>
      <c r="AJ98" s="11">
        <v>0</v>
      </c>
      <c r="AK98" s="10"/>
      <c r="AL98" s="10"/>
      <c r="AM98" s="11">
        <v>0</v>
      </c>
      <c r="AN98" s="10">
        <v>20000</v>
      </c>
      <c r="AO98" s="10"/>
      <c r="AP98" s="11">
        <f t="shared" ref="AP98" si="214">AO98/AN98</f>
        <v>0</v>
      </c>
      <c r="AQ98" s="10"/>
      <c r="AR98" s="10">
        <v>158000</v>
      </c>
      <c r="AS98" s="11">
        <v>0</v>
      </c>
      <c r="AT98" s="10"/>
      <c r="AU98" s="10"/>
      <c r="AV98" s="11">
        <v>0</v>
      </c>
      <c r="AW98" s="10"/>
      <c r="AX98" s="10"/>
      <c r="AY98" s="11">
        <v>0</v>
      </c>
      <c r="AZ98" s="10"/>
      <c r="BA98" s="10"/>
      <c r="BB98" s="11">
        <v>0</v>
      </c>
      <c r="BC98" s="10"/>
      <c r="BD98" s="10"/>
      <c r="BE98" s="11">
        <v>0</v>
      </c>
      <c r="BF98" s="10"/>
      <c r="BG98" s="10"/>
      <c r="BH98" s="11">
        <v>0</v>
      </c>
      <c r="BI98" s="10"/>
      <c r="BJ98" s="10"/>
      <c r="BK98" s="11">
        <v>0</v>
      </c>
      <c r="BL98" s="10"/>
      <c r="BM98" s="10"/>
      <c r="BN98" s="11">
        <v>0</v>
      </c>
      <c r="BO98" s="10"/>
      <c r="BP98" s="10"/>
      <c r="BQ98" s="11">
        <v>0</v>
      </c>
      <c r="BR98" s="10"/>
      <c r="BS98" s="10"/>
      <c r="BT98" s="11">
        <v>0</v>
      </c>
      <c r="BU98" s="10"/>
      <c r="BV98" s="10"/>
      <c r="BW98" s="11">
        <v>0</v>
      </c>
      <c r="BX98" s="10"/>
      <c r="BY98" s="10"/>
      <c r="BZ98" s="11">
        <v>0</v>
      </c>
      <c r="CA98" s="10"/>
      <c r="CB98" s="10"/>
      <c r="CC98" s="11">
        <v>0</v>
      </c>
      <c r="CD98" s="10"/>
      <c r="CE98" s="10"/>
      <c r="CF98" s="11">
        <v>0</v>
      </c>
      <c r="CG98" s="10">
        <v>400000</v>
      </c>
      <c r="CH98" s="10"/>
      <c r="CI98" s="11">
        <f t="shared" si="209"/>
        <v>0</v>
      </c>
      <c r="CJ98" s="10"/>
      <c r="CK98" s="10"/>
      <c r="CL98" s="11">
        <v>0</v>
      </c>
      <c r="CM98" s="10"/>
      <c r="CN98" s="10"/>
      <c r="CO98" s="11">
        <v>0</v>
      </c>
      <c r="CP98" s="10"/>
      <c r="CQ98" s="10"/>
      <c r="CR98" s="11">
        <v>0</v>
      </c>
      <c r="CS98" s="10"/>
      <c r="CT98" s="10"/>
      <c r="CU98" s="11">
        <v>0</v>
      </c>
      <c r="CV98" s="10"/>
      <c r="CW98" s="10"/>
      <c r="CX98" s="11">
        <v>0</v>
      </c>
      <c r="CY98" s="10"/>
      <c r="CZ98" s="10"/>
      <c r="DA98" s="11">
        <v>0</v>
      </c>
      <c r="DB98" s="10">
        <v>420000</v>
      </c>
      <c r="DC98" s="10">
        <f t="shared" si="202"/>
        <v>222000</v>
      </c>
      <c r="DD98" s="13">
        <f t="shared" si="203"/>
        <v>0.52857142857142858</v>
      </c>
      <c r="DE98" s="14"/>
    </row>
    <row r="99" spans="1:109" x14ac:dyDescent="0.35">
      <c r="A99" s="8" t="s">
        <v>256</v>
      </c>
      <c r="B99" s="9" t="s">
        <v>59</v>
      </c>
      <c r="C99" s="9" t="s">
        <v>43</v>
      </c>
      <c r="D99" s="9" t="s">
        <v>257</v>
      </c>
      <c r="E99" s="9" t="s">
        <v>61</v>
      </c>
      <c r="F99" s="9" t="s">
        <v>62</v>
      </c>
      <c r="G99" s="10"/>
      <c r="H99" s="10"/>
      <c r="I99" s="11">
        <v>0</v>
      </c>
      <c r="J99" s="10"/>
      <c r="K99" s="10"/>
      <c r="L99" s="12">
        <v>0</v>
      </c>
      <c r="M99" s="10"/>
      <c r="N99" s="10"/>
      <c r="O99" s="11">
        <v>0</v>
      </c>
      <c r="P99" s="10"/>
      <c r="Q99" s="10"/>
      <c r="R99" s="11">
        <v>0</v>
      </c>
      <c r="S99" s="10"/>
      <c r="T99" s="10"/>
      <c r="U99" s="11">
        <v>0</v>
      </c>
      <c r="V99" s="10">
        <v>1500000</v>
      </c>
      <c r="W99" s="10">
        <v>575900</v>
      </c>
      <c r="X99" s="11">
        <v>0.38393333333333335</v>
      </c>
      <c r="Y99" s="10"/>
      <c r="Z99" s="10"/>
      <c r="AA99" s="11"/>
      <c r="AB99" s="10"/>
      <c r="AC99" s="10"/>
      <c r="AD99" s="11">
        <v>0</v>
      </c>
      <c r="AE99" s="10"/>
      <c r="AF99" s="10"/>
      <c r="AG99" s="11">
        <v>0</v>
      </c>
      <c r="AH99" s="10"/>
      <c r="AI99" s="10"/>
      <c r="AJ99" s="11">
        <v>0</v>
      </c>
      <c r="AK99" s="10"/>
      <c r="AL99" s="10"/>
      <c r="AM99" s="11">
        <v>0</v>
      </c>
      <c r="AN99" s="10"/>
      <c r="AO99" s="10"/>
      <c r="AP99" s="11">
        <v>0</v>
      </c>
      <c r="AQ99" s="10"/>
      <c r="AR99" s="10"/>
      <c r="AS99" s="11">
        <v>0</v>
      </c>
      <c r="AT99" s="10"/>
      <c r="AU99" s="10"/>
      <c r="AV99" s="11">
        <v>0</v>
      </c>
      <c r="AW99" s="10"/>
      <c r="AX99" s="10"/>
      <c r="AY99" s="11">
        <v>0</v>
      </c>
      <c r="AZ99" s="10"/>
      <c r="BA99" s="10"/>
      <c r="BB99" s="11">
        <v>0</v>
      </c>
      <c r="BC99" s="10"/>
      <c r="BD99" s="10"/>
      <c r="BE99" s="11">
        <v>0</v>
      </c>
      <c r="BF99" s="10"/>
      <c r="BG99" s="10"/>
      <c r="BH99" s="11">
        <v>0</v>
      </c>
      <c r="BI99" s="10"/>
      <c r="BJ99" s="10"/>
      <c r="BK99" s="11">
        <v>0</v>
      </c>
      <c r="BL99" s="10"/>
      <c r="BM99" s="10"/>
      <c r="BN99" s="11">
        <v>0</v>
      </c>
      <c r="BO99" s="10"/>
      <c r="BP99" s="10"/>
      <c r="BQ99" s="11">
        <v>0</v>
      </c>
      <c r="BR99" s="10"/>
      <c r="BS99" s="10"/>
      <c r="BT99" s="11">
        <v>0</v>
      </c>
      <c r="BU99" s="10"/>
      <c r="BV99" s="10"/>
      <c r="BW99" s="11">
        <v>0</v>
      </c>
      <c r="BX99" s="10"/>
      <c r="BY99" s="10"/>
      <c r="BZ99" s="11">
        <v>0</v>
      </c>
      <c r="CA99" s="10"/>
      <c r="CB99" s="10"/>
      <c r="CC99" s="11">
        <v>0</v>
      </c>
      <c r="CD99" s="10"/>
      <c r="CE99" s="10"/>
      <c r="CF99" s="11">
        <v>0</v>
      </c>
      <c r="CG99" s="10"/>
      <c r="CH99" s="10"/>
      <c r="CI99" s="11">
        <v>0</v>
      </c>
      <c r="CJ99" s="10"/>
      <c r="CK99" s="10"/>
      <c r="CL99" s="11">
        <v>0</v>
      </c>
      <c r="CM99" s="10"/>
      <c r="CN99" s="10"/>
      <c r="CO99" s="11">
        <v>0</v>
      </c>
      <c r="CP99" s="10"/>
      <c r="CQ99" s="10"/>
      <c r="CR99" s="11">
        <v>0</v>
      </c>
      <c r="CS99" s="10"/>
      <c r="CT99" s="10"/>
      <c r="CU99" s="11">
        <v>0</v>
      </c>
      <c r="CV99" s="10"/>
      <c r="CW99" s="10"/>
      <c r="CX99" s="11">
        <v>0</v>
      </c>
      <c r="CY99" s="10"/>
      <c r="CZ99" s="10"/>
      <c r="DA99" s="11">
        <v>0</v>
      </c>
      <c r="DB99" s="10">
        <v>1500000</v>
      </c>
      <c r="DC99" s="10">
        <f t="shared" si="202"/>
        <v>575900</v>
      </c>
      <c r="DD99" s="13">
        <f t="shared" si="203"/>
        <v>0.38393333333333335</v>
      </c>
      <c r="DE99" s="14"/>
    </row>
    <row r="100" spans="1:109" x14ac:dyDescent="0.35">
      <c r="A100" s="8" t="s">
        <v>258</v>
      </c>
      <c r="B100" s="9" t="s">
        <v>74</v>
      </c>
      <c r="C100" s="9" t="s">
        <v>52</v>
      </c>
      <c r="D100" s="9" t="s">
        <v>259</v>
      </c>
      <c r="E100" s="9" t="s">
        <v>54</v>
      </c>
      <c r="F100" s="9" t="s">
        <v>55</v>
      </c>
      <c r="G100" s="10"/>
      <c r="H100" s="10"/>
      <c r="I100" s="11">
        <v>0</v>
      </c>
      <c r="J100" s="10"/>
      <c r="K100" s="10"/>
      <c r="L100" s="12">
        <v>0</v>
      </c>
      <c r="M100" s="10">
        <v>224000</v>
      </c>
      <c r="N100" s="10"/>
      <c r="O100" s="11">
        <f t="shared" si="204"/>
        <v>0</v>
      </c>
      <c r="P100" s="10"/>
      <c r="Q100" s="10"/>
      <c r="R100" s="11">
        <v>0</v>
      </c>
      <c r="S100" s="10">
        <v>300000</v>
      </c>
      <c r="T100" s="10"/>
      <c r="U100" s="11">
        <f t="shared" ref="U100:U105" si="215">T100/S100</f>
        <v>0</v>
      </c>
      <c r="V100" s="10"/>
      <c r="W100" s="10"/>
      <c r="X100" s="11">
        <v>0</v>
      </c>
      <c r="Y100" s="10">
        <v>50000</v>
      </c>
      <c r="Z100" s="10">
        <v>32500</v>
      </c>
      <c r="AA100" s="11">
        <f t="shared" si="205"/>
        <v>0.65</v>
      </c>
      <c r="AB100" s="10"/>
      <c r="AC100" s="10"/>
      <c r="AD100" s="11">
        <v>0</v>
      </c>
      <c r="AE100" s="10"/>
      <c r="AF100" s="10">
        <v>7500</v>
      </c>
      <c r="AG100" s="11">
        <v>0</v>
      </c>
      <c r="AH100" s="10"/>
      <c r="AI100" s="10"/>
      <c r="AJ100" s="11">
        <v>0</v>
      </c>
      <c r="AK100" s="10"/>
      <c r="AL100" s="10"/>
      <c r="AM100" s="11">
        <v>0</v>
      </c>
      <c r="AN100" s="10"/>
      <c r="AO100" s="10"/>
      <c r="AP100" s="11">
        <v>0</v>
      </c>
      <c r="AQ100" s="10"/>
      <c r="AR100" s="10"/>
      <c r="AS100" s="11">
        <v>0</v>
      </c>
      <c r="AT100" s="10"/>
      <c r="AU100" s="10"/>
      <c r="AV100" s="11">
        <v>0</v>
      </c>
      <c r="AW100" s="10"/>
      <c r="AX100" s="10"/>
      <c r="AY100" s="11">
        <v>0</v>
      </c>
      <c r="AZ100" s="10"/>
      <c r="BA100" s="10"/>
      <c r="BB100" s="11">
        <v>0</v>
      </c>
      <c r="BC100" s="10"/>
      <c r="BD100" s="10"/>
      <c r="BE100" s="11">
        <v>0</v>
      </c>
      <c r="BF100" s="10"/>
      <c r="BG100" s="10"/>
      <c r="BH100" s="11">
        <v>0</v>
      </c>
      <c r="BI100" s="10"/>
      <c r="BJ100" s="10"/>
      <c r="BK100" s="11">
        <v>0</v>
      </c>
      <c r="BL100" s="10"/>
      <c r="BM100" s="10"/>
      <c r="BN100" s="11">
        <v>0</v>
      </c>
      <c r="BO100" s="10"/>
      <c r="BP100" s="10"/>
      <c r="BQ100" s="11">
        <v>0</v>
      </c>
      <c r="BR100" s="10"/>
      <c r="BS100" s="10"/>
      <c r="BT100" s="11">
        <v>0</v>
      </c>
      <c r="BU100" s="10"/>
      <c r="BV100" s="10"/>
      <c r="BW100" s="11">
        <v>0</v>
      </c>
      <c r="BX100" s="10"/>
      <c r="BY100" s="10"/>
      <c r="BZ100" s="11">
        <v>0</v>
      </c>
      <c r="CA100" s="10"/>
      <c r="CB100" s="10"/>
      <c r="CC100" s="11">
        <v>0</v>
      </c>
      <c r="CD100" s="10"/>
      <c r="CE100" s="10"/>
      <c r="CF100" s="11">
        <v>0</v>
      </c>
      <c r="CG100" s="10">
        <v>300000</v>
      </c>
      <c r="CH100" s="10"/>
      <c r="CI100" s="11">
        <f t="shared" si="209"/>
        <v>0</v>
      </c>
      <c r="CJ100" s="10"/>
      <c r="CK100" s="10"/>
      <c r="CL100" s="11">
        <v>0</v>
      </c>
      <c r="CM100" s="10"/>
      <c r="CN100" s="10"/>
      <c r="CO100" s="11">
        <v>0</v>
      </c>
      <c r="CP100" s="10"/>
      <c r="CQ100" s="10"/>
      <c r="CR100" s="11">
        <v>0</v>
      </c>
      <c r="CS100" s="10"/>
      <c r="CT100" s="10"/>
      <c r="CU100" s="11">
        <v>0</v>
      </c>
      <c r="CV100" s="10"/>
      <c r="CW100" s="10"/>
      <c r="CX100" s="11">
        <v>0</v>
      </c>
      <c r="CY100" s="10"/>
      <c r="CZ100" s="10"/>
      <c r="DA100" s="11">
        <v>0</v>
      </c>
      <c r="DB100" s="10">
        <v>874000</v>
      </c>
      <c r="DC100" s="10">
        <f t="shared" si="202"/>
        <v>40000</v>
      </c>
      <c r="DD100" s="13">
        <f t="shared" si="203"/>
        <v>4.5766590389016017E-2</v>
      </c>
      <c r="DE100" s="14"/>
    </row>
    <row r="101" spans="1:109" x14ac:dyDescent="0.35">
      <c r="A101" s="8" t="s">
        <v>260</v>
      </c>
      <c r="B101" s="9" t="s">
        <v>111</v>
      </c>
      <c r="C101" s="9" t="s">
        <v>52</v>
      </c>
      <c r="D101" s="9" t="s">
        <v>261</v>
      </c>
      <c r="E101" s="9" t="s">
        <v>126</v>
      </c>
      <c r="F101" s="9" t="s">
        <v>55</v>
      </c>
      <c r="G101" s="10">
        <v>800000</v>
      </c>
      <c r="H101" s="10">
        <v>840600</v>
      </c>
      <c r="I101" s="11">
        <f t="shared" ref="I101" si="216">H101/G101</f>
        <v>1.0507500000000001</v>
      </c>
      <c r="J101" s="10"/>
      <c r="K101" s="10"/>
      <c r="L101" s="12">
        <v>0</v>
      </c>
      <c r="M101" s="10"/>
      <c r="N101" s="10"/>
      <c r="O101" s="11">
        <v>0</v>
      </c>
      <c r="P101" s="10"/>
      <c r="Q101" s="10"/>
      <c r="R101" s="11">
        <v>0</v>
      </c>
      <c r="S101" s="10"/>
      <c r="T101" s="10"/>
      <c r="U101" s="11">
        <v>0</v>
      </c>
      <c r="V101" s="10"/>
      <c r="W101" s="10"/>
      <c r="X101" s="11">
        <v>0</v>
      </c>
      <c r="Y101" s="10"/>
      <c r="Z101" s="10"/>
      <c r="AA101" s="11"/>
      <c r="AB101" s="10"/>
      <c r="AC101" s="10"/>
      <c r="AD101" s="11">
        <v>0</v>
      </c>
      <c r="AE101" s="10"/>
      <c r="AF101" s="10">
        <v>4500</v>
      </c>
      <c r="AG101" s="11">
        <v>0</v>
      </c>
      <c r="AH101" s="10"/>
      <c r="AI101" s="10"/>
      <c r="AJ101" s="11">
        <v>0</v>
      </c>
      <c r="AK101" s="10">
        <v>600000</v>
      </c>
      <c r="AL101" s="10">
        <v>112000</v>
      </c>
      <c r="AM101" s="11">
        <f t="shared" si="210"/>
        <v>0.18666666666666668</v>
      </c>
      <c r="AN101" s="10"/>
      <c r="AO101" s="10"/>
      <c r="AP101" s="11">
        <v>0</v>
      </c>
      <c r="AQ101" s="10"/>
      <c r="AR101" s="10"/>
      <c r="AS101" s="11">
        <v>0</v>
      </c>
      <c r="AT101" s="10">
        <v>500000</v>
      </c>
      <c r="AU101" s="10">
        <v>182180</v>
      </c>
      <c r="AV101" s="11">
        <f t="shared" ref="AV101" si="217">AU101/AT101</f>
        <v>0.36436000000000002</v>
      </c>
      <c r="AW101" s="10">
        <v>1000000</v>
      </c>
      <c r="AX101" s="10">
        <v>481700</v>
      </c>
      <c r="AY101" s="11">
        <f t="shared" ref="AY101" si="218">AX101/AW101</f>
        <v>0.48170000000000002</v>
      </c>
      <c r="AZ101" s="10"/>
      <c r="BA101" s="10"/>
      <c r="BB101" s="11">
        <v>0</v>
      </c>
      <c r="BC101" s="10"/>
      <c r="BD101" s="10"/>
      <c r="BE101" s="11">
        <v>0</v>
      </c>
      <c r="BF101" s="10">
        <v>7500000</v>
      </c>
      <c r="BG101" s="10">
        <f>VLOOKUP(A:A,'[1]2026 Customer Brand Sales'!$A:$BA,53,0)</f>
        <v>5460005</v>
      </c>
      <c r="BH101" s="11">
        <f t="shared" si="208"/>
        <v>0.72800066666666663</v>
      </c>
      <c r="BI101" s="10"/>
      <c r="BJ101" s="10"/>
      <c r="BK101" s="11">
        <v>0</v>
      </c>
      <c r="BL101" s="10">
        <v>2200000</v>
      </c>
      <c r="BM101" s="10">
        <v>1366600</v>
      </c>
      <c r="BN101" s="11">
        <f t="shared" si="212"/>
        <v>0.62118181818181817</v>
      </c>
      <c r="BO101" s="10">
        <v>400000</v>
      </c>
      <c r="BP101" s="10">
        <v>529815</v>
      </c>
      <c r="BQ101" s="11">
        <f t="shared" si="213"/>
        <v>1.3245374999999999</v>
      </c>
      <c r="BR101" s="10"/>
      <c r="BS101" s="10"/>
      <c r="BT101" s="11">
        <v>0</v>
      </c>
      <c r="BU101" s="10"/>
      <c r="BV101" s="10"/>
      <c r="BW101" s="11">
        <v>0</v>
      </c>
      <c r="BX101" s="10"/>
      <c r="BY101" s="10"/>
      <c r="BZ101" s="11">
        <v>0</v>
      </c>
      <c r="CA101" s="10"/>
      <c r="CB101" s="10"/>
      <c r="CC101" s="11">
        <v>0</v>
      </c>
      <c r="CD101" s="10"/>
      <c r="CE101" s="10"/>
      <c r="CF101" s="11">
        <v>0</v>
      </c>
      <c r="CG101" s="10"/>
      <c r="CH101" s="10"/>
      <c r="CI101" s="11">
        <v>0</v>
      </c>
      <c r="CJ101" s="10"/>
      <c r="CK101" s="10"/>
      <c r="CL101" s="11">
        <v>0</v>
      </c>
      <c r="CM101" s="10"/>
      <c r="CN101" s="10"/>
      <c r="CO101" s="11">
        <v>0</v>
      </c>
      <c r="CP101" s="10"/>
      <c r="CQ101" s="10"/>
      <c r="CR101" s="11">
        <v>0</v>
      </c>
      <c r="CS101" s="10"/>
      <c r="CT101" s="10"/>
      <c r="CU101" s="11">
        <v>0</v>
      </c>
      <c r="CV101" s="10"/>
      <c r="CW101" s="10"/>
      <c r="CX101" s="11">
        <v>0</v>
      </c>
      <c r="CY101" s="10"/>
      <c r="CZ101" s="10"/>
      <c r="DA101" s="11">
        <v>0</v>
      </c>
      <c r="DB101" s="10">
        <v>13000000</v>
      </c>
      <c r="DC101" s="10">
        <f t="shared" si="202"/>
        <v>8977400</v>
      </c>
      <c r="DD101" s="13">
        <f t="shared" si="203"/>
        <v>0.69056923076923082</v>
      </c>
      <c r="DE101" s="14"/>
    </row>
    <row r="102" spans="1:109" x14ac:dyDescent="0.35">
      <c r="A102" s="8" t="s">
        <v>262</v>
      </c>
      <c r="B102" s="9" t="s">
        <v>51</v>
      </c>
      <c r="C102" s="9" t="s">
        <v>52</v>
      </c>
      <c r="D102" s="9" t="s">
        <v>263</v>
      </c>
      <c r="E102" s="9" t="s">
        <v>54</v>
      </c>
      <c r="F102" s="9" t="s">
        <v>55</v>
      </c>
      <c r="G102" s="10"/>
      <c r="H102" s="10">
        <v>30000</v>
      </c>
      <c r="I102" s="11">
        <v>0</v>
      </c>
      <c r="J102" s="10">
        <v>100000</v>
      </c>
      <c r="K102" s="10">
        <v>47250</v>
      </c>
      <c r="L102" s="11">
        <f t="shared" ref="L102" si="219">K102/J102</f>
        <v>0.47249999999999998</v>
      </c>
      <c r="M102" s="10"/>
      <c r="N102" s="10"/>
      <c r="O102" s="11">
        <v>0</v>
      </c>
      <c r="P102" s="10"/>
      <c r="Q102" s="10"/>
      <c r="R102" s="11">
        <v>0</v>
      </c>
      <c r="S102" s="10"/>
      <c r="T102" s="10"/>
      <c r="U102" s="11">
        <v>0</v>
      </c>
      <c r="V102" s="10"/>
      <c r="W102" s="10"/>
      <c r="X102" s="11">
        <v>0</v>
      </c>
      <c r="Y102" s="10">
        <v>60000</v>
      </c>
      <c r="Z102" s="10"/>
      <c r="AA102" s="11">
        <f t="shared" si="205"/>
        <v>0</v>
      </c>
      <c r="AB102" s="10">
        <v>150000</v>
      </c>
      <c r="AC102" s="10"/>
      <c r="AD102" s="11">
        <v>0</v>
      </c>
      <c r="AE102" s="10">
        <v>200000</v>
      </c>
      <c r="AF102" s="10">
        <v>51100</v>
      </c>
      <c r="AG102" s="11">
        <f t="shared" si="206"/>
        <v>0.2555</v>
      </c>
      <c r="AH102" s="10"/>
      <c r="AI102" s="10"/>
      <c r="AJ102" s="11">
        <v>0</v>
      </c>
      <c r="AK102" s="10"/>
      <c r="AL102" s="10"/>
      <c r="AM102" s="11">
        <v>0</v>
      </c>
      <c r="AN102" s="10"/>
      <c r="AO102" s="10"/>
      <c r="AP102" s="11">
        <v>0</v>
      </c>
      <c r="AQ102" s="10"/>
      <c r="AR102" s="10"/>
      <c r="AS102" s="11">
        <v>0</v>
      </c>
      <c r="AT102" s="10"/>
      <c r="AU102" s="10">
        <v>8250</v>
      </c>
      <c r="AV102" s="11">
        <v>0</v>
      </c>
      <c r="AW102" s="10"/>
      <c r="AX102" s="10"/>
      <c r="AY102" s="11">
        <v>0</v>
      </c>
      <c r="AZ102" s="10"/>
      <c r="BA102" s="10"/>
      <c r="BB102" s="11">
        <v>0</v>
      </c>
      <c r="BC102" s="10">
        <v>23932</v>
      </c>
      <c r="BD102" s="10"/>
      <c r="BE102" s="11">
        <f t="shared" ref="BE102" si="220">BD102/BC102</f>
        <v>0</v>
      </c>
      <c r="BF102" s="10">
        <v>600000</v>
      </c>
      <c r="BG102" s="10">
        <f>VLOOKUP(A:A,'[1]2026 Customer Brand Sales'!$A:$BA,53,0)</f>
        <v>381150</v>
      </c>
      <c r="BH102" s="11">
        <f t="shared" si="208"/>
        <v>0.63524999999999998</v>
      </c>
      <c r="BI102" s="10"/>
      <c r="BJ102" s="10"/>
      <c r="BK102" s="11">
        <v>0</v>
      </c>
      <c r="BL102" s="10">
        <v>200000</v>
      </c>
      <c r="BM102" s="10">
        <v>850</v>
      </c>
      <c r="BN102" s="11">
        <f t="shared" si="212"/>
        <v>4.2500000000000003E-3</v>
      </c>
      <c r="BO102" s="10"/>
      <c r="BP102" s="10"/>
      <c r="BQ102" s="11">
        <v>0</v>
      </c>
      <c r="BR102" s="10">
        <v>100000</v>
      </c>
      <c r="BS102" s="10"/>
      <c r="BT102" s="11">
        <f t="shared" ref="BT102" si="221">BS102/BR102</f>
        <v>0</v>
      </c>
      <c r="BU102" s="10">
        <v>10000</v>
      </c>
      <c r="BV102" s="10"/>
      <c r="BW102" s="11">
        <f t="shared" ref="BW102" si="222">BV102/BU102</f>
        <v>0</v>
      </c>
      <c r="BX102" s="10"/>
      <c r="BY102" s="10"/>
      <c r="BZ102" s="11">
        <v>0</v>
      </c>
      <c r="CA102" s="10"/>
      <c r="CB102" s="10"/>
      <c r="CC102" s="11">
        <v>0</v>
      </c>
      <c r="CD102" s="10"/>
      <c r="CE102" s="10"/>
      <c r="CF102" s="11">
        <v>0</v>
      </c>
      <c r="CG102" s="10">
        <v>30000</v>
      </c>
      <c r="CH102" s="10"/>
      <c r="CI102" s="11">
        <f t="shared" si="209"/>
        <v>0</v>
      </c>
      <c r="CJ102" s="10"/>
      <c r="CK102" s="10"/>
      <c r="CL102" s="11">
        <v>0</v>
      </c>
      <c r="CM102" s="10"/>
      <c r="CN102" s="10"/>
      <c r="CO102" s="11">
        <v>0</v>
      </c>
      <c r="CP102" s="10"/>
      <c r="CQ102" s="10"/>
      <c r="CR102" s="11">
        <v>0</v>
      </c>
      <c r="CS102" s="10"/>
      <c r="CT102" s="10"/>
      <c r="CU102" s="11">
        <v>0</v>
      </c>
      <c r="CV102" s="10"/>
      <c r="CW102" s="10"/>
      <c r="CX102" s="11">
        <v>0</v>
      </c>
      <c r="CY102" s="10"/>
      <c r="CZ102" s="10"/>
      <c r="DA102" s="11">
        <v>0</v>
      </c>
      <c r="DB102" s="10">
        <v>1473932</v>
      </c>
      <c r="DC102" s="10">
        <f t="shared" si="202"/>
        <v>518600</v>
      </c>
      <c r="DD102" s="13">
        <f t="shared" si="203"/>
        <v>0.35184798213214719</v>
      </c>
      <c r="DE102" s="14"/>
    </row>
    <row r="103" spans="1:109" x14ac:dyDescent="0.35">
      <c r="A103" s="8" t="s">
        <v>264</v>
      </c>
      <c r="B103" s="9" t="s">
        <v>51</v>
      </c>
      <c r="C103" s="9" t="s">
        <v>52</v>
      </c>
      <c r="D103" s="9" t="s">
        <v>265</v>
      </c>
      <c r="E103" s="9" t="s">
        <v>54</v>
      </c>
      <c r="F103" s="9" t="s">
        <v>55</v>
      </c>
      <c r="G103" s="10"/>
      <c r="H103" s="10"/>
      <c r="I103" s="11">
        <v>0</v>
      </c>
      <c r="J103" s="10"/>
      <c r="K103" s="10"/>
      <c r="L103" s="12">
        <v>0</v>
      </c>
      <c r="M103" s="10"/>
      <c r="N103" s="10"/>
      <c r="O103" s="11">
        <v>0</v>
      </c>
      <c r="P103" s="10"/>
      <c r="Q103" s="10"/>
      <c r="R103" s="11">
        <v>0</v>
      </c>
      <c r="S103" s="10"/>
      <c r="T103" s="10"/>
      <c r="U103" s="11">
        <v>0</v>
      </c>
      <c r="V103" s="10"/>
      <c r="W103" s="10"/>
      <c r="X103" s="11">
        <v>0</v>
      </c>
      <c r="Y103" s="10"/>
      <c r="Z103" s="10"/>
      <c r="AA103" s="11"/>
      <c r="AB103" s="10"/>
      <c r="AC103" s="10"/>
      <c r="AD103" s="11">
        <v>0</v>
      </c>
      <c r="AE103" s="10"/>
      <c r="AF103" s="10"/>
      <c r="AG103" s="11">
        <v>0</v>
      </c>
      <c r="AH103" s="10"/>
      <c r="AI103" s="10"/>
      <c r="AJ103" s="11">
        <v>0</v>
      </c>
      <c r="AK103" s="10"/>
      <c r="AL103" s="10"/>
      <c r="AM103" s="11">
        <v>0</v>
      </c>
      <c r="AN103" s="10"/>
      <c r="AO103" s="10"/>
      <c r="AP103" s="11">
        <v>0</v>
      </c>
      <c r="AQ103" s="10"/>
      <c r="AR103" s="10"/>
      <c r="AS103" s="11">
        <v>0</v>
      </c>
      <c r="AT103" s="10"/>
      <c r="AU103" s="10">
        <v>13200</v>
      </c>
      <c r="AV103" s="11">
        <v>0</v>
      </c>
      <c r="AW103" s="10"/>
      <c r="AX103" s="10"/>
      <c r="AY103" s="11">
        <v>0</v>
      </c>
      <c r="AZ103" s="10"/>
      <c r="BA103" s="10"/>
      <c r="BB103" s="11">
        <v>0</v>
      </c>
      <c r="BC103" s="10"/>
      <c r="BD103" s="10"/>
      <c r="BE103" s="11">
        <v>0</v>
      </c>
      <c r="BF103" s="10"/>
      <c r="BG103" s="10"/>
      <c r="BH103" s="11">
        <v>0</v>
      </c>
      <c r="BI103" s="10"/>
      <c r="BJ103" s="10"/>
      <c r="BK103" s="11">
        <v>0</v>
      </c>
      <c r="BL103" s="10"/>
      <c r="BM103" s="10"/>
      <c r="BN103" s="11">
        <v>0</v>
      </c>
      <c r="BO103" s="10"/>
      <c r="BP103" s="10"/>
      <c r="BQ103" s="11">
        <v>0</v>
      </c>
      <c r="BR103" s="10"/>
      <c r="BS103" s="10"/>
      <c r="BT103" s="11">
        <v>0</v>
      </c>
      <c r="BU103" s="10"/>
      <c r="BV103" s="10"/>
      <c r="BW103" s="11">
        <v>0</v>
      </c>
      <c r="BX103" s="10"/>
      <c r="BY103" s="10"/>
      <c r="BZ103" s="11">
        <v>0</v>
      </c>
      <c r="CA103" s="10"/>
      <c r="CB103" s="10"/>
      <c r="CC103" s="11">
        <v>0</v>
      </c>
      <c r="CD103" s="10"/>
      <c r="CE103" s="10"/>
      <c r="CF103" s="11">
        <v>0</v>
      </c>
      <c r="CG103" s="10"/>
      <c r="CH103" s="10"/>
      <c r="CI103" s="11">
        <v>0</v>
      </c>
      <c r="CJ103" s="10"/>
      <c r="CK103" s="10"/>
      <c r="CL103" s="11">
        <v>0</v>
      </c>
      <c r="CM103" s="10"/>
      <c r="CN103" s="10"/>
      <c r="CO103" s="11">
        <v>0</v>
      </c>
      <c r="CP103" s="10"/>
      <c r="CQ103" s="10"/>
      <c r="CR103" s="11">
        <v>0</v>
      </c>
      <c r="CS103" s="10"/>
      <c r="CT103" s="10"/>
      <c r="CU103" s="11">
        <v>0</v>
      </c>
      <c r="CV103" s="10"/>
      <c r="CW103" s="10"/>
      <c r="CX103" s="11">
        <v>0</v>
      </c>
      <c r="CY103" s="10"/>
      <c r="CZ103" s="10"/>
      <c r="DA103" s="11">
        <v>0</v>
      </c>
      <c r="DB103" s="10"/>
      <c r="DC103" s="10">
        <f t="shared" si="202"/>
        <v>13200</v>
      </c>
      <c r="DD103" s="13">
        <v>0</v>
      </c>
      <c r="DE103" s="14"/>
    </row>
    <row r="104" spans="1:109" x14ac:dyDescent="0.35">
      <c r="A104" s="8" t="s">
        <v>266</v>
      </c>
      <c r="B104" s="9" t="s">
        <v>51</v>
      </c>
      <c r="C104" s="9" t="s">
        <v>52</v>
      </c>
      <c r="D104" s="9" t="s">
        <v>267</v>
      </c>
      <c r="E104" s="9" t="s">
        <v>54</v>
      </c>
      <c r="F104" s="9" t="s">
        <v>55</v>
      </c>
      <c r="G104" s="10"/>
      <c r="H104" s="10"/>
      <c r="I104" s="11">
        <v>0</v>
      </c>
      <c r="J104" s="10"/>
      <c r="K104" s="10"/>
      <c r="L104" s="12">
        <v>0</v>
      </c>
      <c r="M104" s="10"/>
      <c r="N104" s="10"/>
      <c r="O104" s="11">
        <v>0</v>
      </c>
      <c r="P104" s="10"/>
      <c r="Q104" s="10"/>
      <c r="R104" s="11">
        <v>0</v>
      </c>
      <c r="S104" s="10"/>
      <c r="T104" s="10">
        <v>2200</v>
      </c>
      <c r="U104" s="11">
        <v>0</v>
      </c>
      <c r="V104" s="10"/>
      <c r="W104" s="10"/>
      <c r="X104" s="11">
        <v>0</v>
      </c>
      <c r="Y104" s="10"/>
      <c r="Z104" s="10"/>
      <c r="AA104" s="11"/>
      <c r="AB104" s="10"/>
      <c r="AC104" s="10"/>
      <c r="AD104" s="11">
        <v>0</v>
      </c>
      <c r="AE104" s="10"/>
      <c r="AF104" s="10"/>
      <c r="AG104" s="11">
        <v>0</v>
      </c>
      <c r="AH104" s="10"/>
      <c r="AI104" s="10"/>
      <c r="AJ104" s="11">
        <v>0</v>
      </c>
      <c r="AK104" s="10"/>
      <c r="AL104" s="10"/>
      <c r="AM104" s="11">
        <v>0</v>
      </c>
      <c r="AN104" s="10"/>
      <c r="AO104" s="10"/>
      <c r="AP104" s="11">
        <v>0</v>
      </c>
      <c r="AQ104" s="10">
        <v>125000</v>
      </c>
      <c r="AR104" s="10"/>
      <c r="AS104" s="11">
        <f t="shared" ref="AS104:AS105" si="223">AR104/AQ104</f>
        <v>0</v>
      </c>
      <c r="AT104" s="10"/>
      <c r="AU104" s="10"/>
      <c r="AV104" s="11">
        <v>0</v>
      </c>
      <c r="AW104" s="10"/>
      <c r="AX104" s="10"/>
      <c r="AY104" s="11">
        <v>0</v>
      </c>
      <c r="AZ104" s="10"/>
      <c r="BA104" s="10"/>
      <c r="BB104" s="11">
        <v>0</v>
      </c>
      <c r="BC104" s="10"/>
      <c r="BD104" s="10"/>
      <c r="BE104" s="11">
        <v>0</v>
      </c>
      <c r="BF104" s="10">
        <v>200000</v>
      </c>
      <c r="BG104" s="10">
        <f>VLOOKUP(A:A,'[1]2026 Customer Brand Sales'!$A:$BA,53,0)</f>
        <v>19955</v>
      </c>
      <c r="BH104" s="11">
        <f t="shared" si="208"/>
        <v>9.9775000000000003E-2</v>
      </c>
      <c r="BI104" s="10"/>
      <c r="BJ104" s="10"/>
      <c r="BK104" s="11">
        <v>0</v>
      </c>
      <c r="BL104" s="10"/>
      <c r="BM104" s="10"/>
      <c r="BN104" s="11">
        <v>0</v>
      </c>
      <c r="BO104" s="10"/>
      <c r="BP104" s="10"/>
      <c r="BQ104" s="11">
        <v>0</v>
      </c>
      <c r="BR104" s="10"/>
      <c r="BS104" s="10"/>
      <c r="BT104" s="11">
        <v>0</v>
      </c>
      <c r="BU104" s="10"/>
      <c r="BV104" s="10"/>
      <c r="BW104" s="11">
        <v>0</v>
      </c>
      <c r="BX104" s="10"/>
      <c r="BY104" s="10"/>
      <c r="BZ104" s="11">
        <v>0</v>
      </c>
      <c r="CA104" s="10"/>
      <c r="CB104" s="10"/>
      <c r="CC104" s="11">
        <v>0</v>
      </c>
      <c r="CD104" s="10"/>
      <c r="CE104" s="10"/>
      <c r="CF104" s="11">
        <v>0</v>
      </c>
      <c r="CG104" s="10"/>
      <c r="CH104" s="10"/>
      <c r="CI104" s="11">
        <v>0</v>
      </c>
      <c r="CJ104" s="10"/>
      <c r="CK104" s="10"/>
      <c r="CL104" s="11">
        <v>0</v>
      </c>
      <c r="CM104" s="10"/>
      <c r="CN104" s="10"/>
      <c r="CO104" s="11">
        <v>0</v>
      </c>
      <c r="CP104" s="10"/>
      <c r="CQ104" s="10"/>
      <c r="CR104" s="11">
        <v>0</v>
      </c>
      <c r="CS104" s="10"/>
      <c r="CT104" s="10"/>
      <c r="CU104" s="11">
        <v>0</v>
      </c>
      <c r="CV104" s="10"/>
      <c r="CW104" s="10"/>
      <c r="CX104" s="11">
        <v>0</v>
      </c>
      <c r="CY104" s="10"/>
      <c r="CZ104" s="10"/>
      <c r="DA104" s="11">
        <v>0</v>
      </c>
      <c r="DB104" s="10">
        <v>325000</v>
      </c>
      <c r="DC104" s="10">
        <f t="shared" si="202"/>
        <v>22155</v>
      </c>
      <c r="DD104" s="13">
        <f t="shared" si="203"/>
        <v>6.8169230769230774E-2</v>
      </c>
      <c r="DE104" s="14"/>
    </row>
    <row r="105" spans="1:109" x14ac:dyDescent="0.35">
      <c r="A105" s="8" t="s">
        <v>268</v>
      </c>
      <c r="B105" s="9" t="s">
        <v>42</v>
      </c>
      <c r="C105" s="9" t="s">
        <v>43</v>
      </c>
      <c r="D105" s="9" t="s">
        <v>269</v>
      </c>
      <c r="E105" s="9" t="s">
        <v>45</v>
      </c>
      <c r="F105" s="9" t="s">
        <v>46</v>
      </c>
      <c r="G105" s="10"/>
      <c r="H105" s="10"/>
      <c r="I105" s="11">
        <v>0</v>
      </c>
      <c r="J105" s="10"/>
      <c r="K105" s="10"/>
      <c r="L105" s="12">
        <v>0</v>
      </c>
      <c r="M105" s="10"/>
      <c r="N105" s="10"/>
      <c r="O105" s="11">
        <v>0</v>
      </c>
      <c r="P105" s="10"/>
      <c r="Q105" s="10"/>
      <c r="R105" s="11">
        <v>0</v>
      </c>
      <c r="S105" s="10">
        <v>4000000</v>
      </c>
      <c r="T105" s="10">
        <v>1096400</v>
      </c>
      <c r="U105" s="11">
        <f t="shared" si="215"/>
        <v>0.27410000000000001</v>
      </c>
      <c r="V105" s="10"/>
      <c r="W105" s="10"/>
      <c r="X105" s="11">
        <v>0</v>
      </c>
      <c r="Y105" s="10"/>
      <c r="Z105" s="10"/>
      <c r="AA105" s="11"/>
      <c r="AB105" s="10">
        <v>250000</v>
      </c>
      <c r="AC105" s="10"/>
      <c r="AD105" s="11">
        <v>0</v>
      </c>
      <c r="AE105" s="10"/>
      <c r="AF105" s="10"/>
      <c r="AG105" s="11">
        <v>0</v>
      </c>
      <c r="AH105" s="10"/>
      <c r="AI105" s="10"/>
      <c r="AJ105" s="11">
        <v>0</v>
      </c>
      <c r="AK105" s="10"/>
      <c r="AL105" s="10"/>
      <c r="AM105" s="11">
        <v>0</v>
      </c>
      <c r="AN105" s="10"/>
      <c r="AO105" s="10"/>
      <c r="AP105" s="11">
        <v>0</v>
      </c>
      <c r="AQ105" s="10">
        <v>2406348</v>
      </c>
      <c r="AR105" s="10"/>
      <c r="AS105" s="11">
        <f t="shared" si="223"/>
        <v>0</v>
      </c>
      <c r="AT105" s="10"/>
      <c r="AU105" s="10"/>
      <c r="AV105" s="11">
        <v>0</v>
      </c>
      <c r="AW105" s="10"/>
      <c r="AX105" s="10"/>
      <c r="AY105" s="11">
        <v>0</v>
      </c>
      <c r="AZ105" s="10"/>
      <c r="BA105" s="10"/>
      <c r="BB105" s="11">
        <v>0</v>
      </c>
      <c r="BC105" s="10"/>
      <c r="BD105" s="10"/>
      <c r="BE105" s="11">
        <v>0</v>
      </c>
      <c r="BF105" s="10"/>
      <c r="BG105" s="10"/>
      <c r="BH105" s="11">
        <v>0</v>
      </c>
      <c r="BI105" s="10"/>
      <c r="BJ105" s="10"/>
      <c r="BK105" s="11">
        <v>0</v>
      </c>
      <c r="BL105" s="10"/>
      <c r="BM105" s="10"/>
      <c r="BN105" s="11">
        <v>0</v>
      </c>
      <c r="BO105" s="10"/>
      <c r="BP105" s="10"/>
      <c r="BQ105" s="11">
        <v>0</v>
      </c>
      <c r="BR105" s="10"/>
      <c r="BS105" s="10">
        <v>15000</v>
      </c>
      <c r="BT105" s="11">
        <v>0</v>
      </c>
      <c r="BU105" s="10"/>
      <c r="BV105" s="10"/>
      <c r="BW105" s="11">
        <v>0</v>
      </c>
      <c r="BX105" s="10"/>
      <c r="BY105" s="10"/>
      <c r="BZ105" s="11">
        <v>0</v>
      </c>
      <c r="CA105" s="10"/>
      <c r="CB105" s="10"/>
      <c r="CC105" s="11">
        <v>0</v>
      </c>
      <c r="CD105" s="10"/>
      <c r="CE105" s="10"/>
      <c r="CF105" s="11">
        <v>0</v>
      </c>
      <c r="CG105" s="10">
        <v>300000</v>
      </c>
      <c r="CH105" s="10">
        <v>23450</v>
      </c>
      <c r="CI105" s="11">
        <f t="shared" si="209"/>
        <v>7.8166666666666662E-2</v>
      </c>
      <c r="CJ105" s="10"/>
      <c r="CK105" s="10"/>
      <c r="CL105" s="11">
        <v>0</v>
      </c>
      <c r="CM105" s="10">
        <v>50000</v>
      </c>
      <c r="CN105" s="10"/>
      <c r="CO105" s="11">
        <v>0</v>
      </c>
      <c r="CP105" s="10"/>
      <c r="CQ105" s="10"/>
      <c r="CR105" s="11">
        <v>0</v>
      </c>
      <c r="CS105" s="10"/>
      <c r="CT105" s="10"/>
      <c r="CU105" s="11">
        <v>0</v>
      </c>
      <c r="CV105" s="10"/>
      <c r="CW105" s="10"/>
      <c r="CX105" s="11">
        <v>0</v>
      </c>
      <c r="CY105" s="10"/>
      <c r="CZ105" s="10"/>
      <c r="DA105" s="11">
        <v>0</v>
      </c>
      <c r="DB105" s="10">
        <v>7006348</v>
      </c>
      <c r="DC105" s="10">
        <f t="shared" si="202"/>
        <v>1134850</v>
      </c>
      <c r="DD105" s="13">
        <f t="shared" si="203"/>
        <v>0.16197454080214113</v>
      </c>
      <c r="DE105" s="14"/>
    </row>
    <row r="106" spans="1:109" x14ac:dyDescent="0.35">
      <c r="A106" s="8" t="s">
        <v>270</v>
      </c>
      <c r="B106" s="9" t="s">
        <v>111</v>
      </c>
      <c r="C106" s="9" t="s">
        <v>52</v>
      </c>
      <c r="D106" s="9" t="s">
        <v>271</v>
      </c>
      <c r="E106" s="9" t="s">
        <v>54</v>
      </c>
      <c r="F106" s="9" t="s">
        <v>55</v>
      </c>
      <c r="G106" s="10"/>
      <c r="H106" s="10"/>
      <c r="I106" s="11">
        <v>0</v>
      </c>
      <c r="J106" s="10"/>
      <c r="K106" s="10"/>
      <c r="L106" s="12">
        <v>0</v>
      </c>
      <c r="M106" s="10">
        <v>500000</v>
      </c>
      <c r="N106" s="10"/>
      <c r="O106" s="11">
        <f t="shared" ref="O106:O110" si="224">N106/M106</f>
        <v>0</v>
      </c>
      <c r="P106" s="10"/>
      <c r="Q106" s="10"/>
      <c r="R106" s="11">
        <v>0</v>
      </c>
      <c r="S106" s="10"/>
      <c r="T106" s="10"/>
      <c r="U106" s="11">
        <v>0</v>
      </c>
      <c r="V106" s="10"/>
      <c r="W106" s="10"/>
      <c r="X106" s="11">
        <v>0</v>
      </c>
      <c r="Y106" s="10"/>
      <c r="Z106" s="10"/>
      <c r="AA106" s="11"/>
      <c r="AB106" s="10">
        <v>50000</v>
      </c>
      <c r="AC106" s="10"/>
      <c r="AD106" s="11">
        <v>0</v>
      </c>
      <c r="AE106" s="10">
        <v>100000</v>
      </c>
      <c r="AF106" s="10"/>
      <c r="AG106" s="11">
        <f t="shared" ref="AG106:AG110" si="225">AF106/AE106</f>
        <v>0</v>
      </c>
      <c r="AH106" s="10"/>
      <c r="AI106" s="10"/>
      <c r="AJ106" s="11">
        <v>0</v>
      </c>
      <c r="AK106" s="10"/>
      <c r="AL106" s="10"/>
      <c r="AM106" s="11">
        <v>0</v>
      </c>
      <c r="AN106" s="10"/>
      <c r="AO106" s="10"/>
      <c r="AP106" s="11">
        <v>0</v>
      </c>
      <c r="AQ106" s="10"/>
      <c r="AR106" s="10"/>
      <c r="AS106" s="11">
        <v>0</v>
      </c>
      <c r="AT106" s="10"/>
      <c r="AU106" s="10"/>
      <c r="AV106" s="11">
        <v>0</v>
      </c>
      <c r="AW106" s="10"/>
      <c r="AX106" s="10"/>
      <c r="AY106" s="11">
        <v>0</v>
      </c>
      <c r="AZ106" s="10"/>
      <c r="BA106" s="10"/>
      <c r="BB106" s="11">
        <v>0</v>
      </c>
      <c r="BC106" s="10"/>
      <c r="BD106" s="10"/>
      <c r="BE106" s="11">
        <v>0</v>
      </c>
      <c r="BF106" s="10">
        <v>400000</v>
      </c>
      <c r="BG106" s="10"/>
      <c r="BH106" s="11">
        <f t="shared" ref="BH106:BH112" si="226">BG106/BF106</f>
        <v>0</v>
      </c>
      <c r="BI106" s="10"/>
      <c r="BJ106" s="10"/>
      <c r="BK106" s="11">
        <v>0</v>
      </c>
      <c r="BL106" s="10"/>
      <c r="BM106" s="10"/>
      <c r="BN106" s="11">
        <v>0</v>
      </c>
      <c r="BO106" s="10">
        <v>10000</v>
      </c>
      <c r="BP106" s="10"/>
      <c r="BQ106" s="11">
        <f t="shared" ref="BQ106:BQ112" si="227">BP106/BO106</f>
        <v>0</v>
      </c>
      <c r="BR106" s="10"/>
      <c r="BS106" s="10"/>
      <c r="BT106" s="11">
        <v>0</v>
      </c>
      <c r="BU106" s="10"/>
      <c r="BV106" s="10"/>
      <c r="BW106" s="11">
        <v>0</v>
      </c>
      <c r="BX106" s="10"/>
      <c r="BY106" s="10"/>
      <c r="BZ106" s="11">
        <v>0</v>
      </c>
      <c r="CA106" s="10"/>
      <c r="CB106" s="10"/>
      <c r="CC106" s="11">
        <v>0</v>
      </c>
      <c r="CD106" s="10"/>
      <c r="CE106" s="10"/>
      <c r="CF106" s="11">
        <v>0</v>
      </c>
      <c r="CG106" s="10"/>
      <c r="CH106" s="10"/>
      <c r="CI106" s="11">
        <v>0</v>
      </c>
      <c r="CJ106" s="10"/>
      <c r="CK106" s="10"/>
      <c r="CL106" s="11">
        <v>0</v>
      </c>
      <c r="CM106" s="10"/>
      <c r="CN106" s="10"/>
      <c r="CO106" s="11">
        <v>0</v>
      </c>
      <c r="CP106" s="10"/>
      <c r="CQ106" s="10"/>
      <c r="CR106" s="11">
        <v>0</v>
      </c>
      <c r="CS106" s="10"/>
      <c r="CT106" s="10"/>
      <c r="CU106" s="11">
        <v>0</v>
      </c>
      <c r="CV106" s="10"/>
      <c r="CW106" s="10"/>
      <c r="CX106" s="11">
        <v>0</v>
      </c>
      <c r="CY106" s="10"/>
      <c r="CZ106" s="10"/>
      <c r="DA106" s="11">
        <v>0</v>
      </c>
      <c r="DB106" s="10">
        <v>1060000</v>
      </c>
      <c r="DC106" s="10"/>
      <c r="DD106" s="15">
        <f t="shared" si="203"/>
        <v>0</v>
      </c>
      <c r="DE106" s="16"/>
    </row>
    <row r="107" spans="1:109" x14ac:dyDescent="0.35">
      <c r="A107" s="8" t="s">
        <v>272</v>
      </c>
      <c r="B107" s="9" t="s">
        <v>111</v>
      </c>
      <c r="C107" s="9" t="s">
        <v>52</v>
      </c>
      <c r="D107" s="9" t="s">
        <v>273</v>
      </c>
      <c r="E107" s="9" t="s">
        <v>54</v>
      </c>
      <c r="F107" s="9" t="s">
        <v>55</v>
      </c>
      <c r="G107" s="10"/>
      <c r="H107" s="10"/>
      <c r="I107" s="11">
        <v>0</v>
      </c>
      <c r="J107" s="10"/>
      <c r="K107" s="10"/>
      <c r="L107" s="12">
        <v>0</v>
      </c>
      <c r="M107" s="10"/>
      <c r="N107" s="10"/>
      <c r="O107" s="11">
        <v>0</v>
      </c>
      <c r="P107" s="10"/>
      <c r="Q107" s="10"/>
      <c r="R107" s="11">
        <v>0</v>
      </c>
      <c r="S107" s="10"/>
      <c r="T107" s="10"/>
      <c r="U107" s="11">
        <v>0</v>
      </c>
      <c r="V107" s="10">
        <v>4000000</v>
      </c>
      <c r="W107" s="10">
        <v>351450</v>
      </c>
      <c r="X107" s="11">
        <v>8.7862499999999996E-2</v>
      </c>
      <c r="Y107" s="10"/>
      <c r="Z107" s="10"/>
      <c r="AA107" s="11"/>
      <c r="AB107" s="10"/>
      <c r="AC107" s="10"/>
      <c r="AD107" s="11">
        <v>0</v>
      </c>
      <c r="AE107" s="10"/>
      <c r="AF107" s="10"/>
      <c r="AG107" s="11">
        <v>0</v>
      </c>
      <c r="AH107" s="10"/>
      <c r="AI107" s="10"/>
      <c r="AJ107" s="11">
        <v>0</v>
      </c>
      <c r="AK107" s="10"/>
      <c r="AL107" s="10"/>
      <c r="AM107" s="11">
        <v>0</v>
      </c>
      <c r="AN107" s="10"/>
      <c r="AO107" s="10"/>
      <c r="AP107" s="11">
        <v>0</v>
      </c>
      <c r="AQ107" s="10"/>
      <c r="AR107" s="10"/>
      <c r="AS107" s="11">
        <v>0</v>
      </c>
      <c r="AT107" s="10"/>
      <c r="AU107" s="10"/>
      <c r="AV107" s="11">
        <v>0</v>
      </c>
      <c r="AW107" s="10"/>
      <c r="AX107" s="10"/>
      <c r="AY107" s="11">
        <v>0</v>
      </c>
      <c r="AZ107" s="10"/>
      <c r="BA107" s="10"/>
      <c r="BB107" s="11">
        <v>0</v>
      </c>
      <c r="BC107" s="10"/>
      <c r="BD107" s="10"/>
      <c r="BE107" s="11">
        <v>0</v>
      </c>
      <c r="BF107" s="10">
        <v>4000000</v>
      </c>
      <c r="BG107" s="10">
        <f>VLOOKUP(A:A,'[1]2026 Customer Brand Sales'!$A:$BA,53,0)</f>
        <v>1740145</v>
      </c>
      <c r="BH107" s="11">
        <f t="shared" si="226"/>
        <v>0.43503625000000001</v>
      </c>
      <c r="BI107" s="10"/>
      <c r="BJ107" s="10"/>
      <c r="BK107" s="11">
        <v>0</v>
      </c>
      <c r="BL107" s="10">
        <v>1500000</v>
      </c>
      <c r="BM107" s="10">
        <v>537490</v>
      </c>
      <c r="BN107" s="11">
        <f t="shared" ref="BN107:BN112" si="228">BM107/BL107</f>
        <v>0.35832666666666668</v>
      </c>
      <c r="BO107" s="10">
        <v>100000</v>
      </c>
      <c r="BP107" s="10"/>
      <c r="BQ107" s="11">
        <f t="shared" si="227"/>
        <v>0</v>
      </c>
      <c r="BR107" s="10"/>
      <c r="BS107" s="10"/>
      <c r="BT107" s="11">
        <v>0</v>
      </c>
      <c r="BU107" s="10"/>
      <c r="BV107" s="10"/>
      <c r="BW107" s="11">
        <v>0</v>
      </c>
      <c r="BX107" s="10"/>
      <c r="BY107" s="10"/>
      <c r="BZ107" s="11">
        <v>0</v>
      </c>
      <c r="CA107" s="10"/>
      <c r="CB107" s="10"/>
      <c r="CC107" s="11">
        <v>0</v>
      </c>
      <c r="CD107" s="10"/>
      <c r="CE107" s="10"/>
      <c r="CF107" s="11">
        <v>0</v>
      </c>
      <c r="CG107" s="10"/>
      <c r="CH107" s="10"/>
      <c r="CI107" s="11">
        <v>0</v>
      </c>
      <c r="CJ107" s="10"/>
      <c r="CK107" s="10"/>
      <c r="CL107" s="11">
        <v>0</v>
      </c>
      <c r="CM107" s="10"/>
      <c r="CN107" s="10"/>
      <c r="CO107" s="11">
        <v>0</v>
      </c>
      <c r="CP107" s="10"/>
      <c r="CQ107" s="10"/>
      <c r="CR107" s="11">
        <v>0</v>
      </c>
      <c r="CS107" s="10"/>
      <c r="CT107" s="10"/>
      <c r="CU107" s="11">
        <v>0</v>
      </c>
      <c r="CV107" s="10"/>
      <c r="CW107" s="10"/>
      <c r="CX107" s="11">
        <v>0</v>
      </c>
      <c r="CY107" s="10"/>
      <c r="CZ107" s="10"/>
      <c r="DA107" s="11">
        <v>0</v>
      </c>
      <c r="DB107" s="10">
        <v>9600000</v>
      </c>
      <c r="DC107" s="10">
        <f t="shared" ref="DC107:DC113" si="229">SUM(H107,K107,N107,Q107,T107,W107,Z107,AC107,AF107,AI107,AL107,AO107,AR107,AU107,AX107,BA107,BD107,BG107,BJ107,BM107,BP107,BS107,BV107,BY107,CB107,CE107,CH107,CK107,CN107,CQ107,CT107,CW107,CZ107)</f>
        <v>2629085</v>
      </c>
      <c r="DD107" s="13">
        <f t="shared" si="203"/>
        <v>0.27386302083333336</v>
      </c>
      <c r="DE107" s="14"/>
    </row>
    <row r="108" spans="1:109" x14ac:dyDescent="0.35">
      <c r="A108" s="8" t="s">
        <v>274</v>
      </c>
      <c r="B108" s="9" t="s">
        <v>108</v>
      </c>
      <c r="C108" s="9" t="s">
        <v>52</v>
      </c>
      <c r="D108" s="9" t="s">
        <v>275</v>
      </c>
      <c r="E108" s="9" t="s">
        <v>54</v>
      </c>
      <c r="F108" s="9" t="s">
        <v>55</v>
      </c>
      <c r="G108" s="10"/>
      <c r="H108" s="10"/>
      <c r="I108" s="11">
        <v>0</v>
      </c>
      <c r="J108" s="10"/>
      <c r="K108" s="10"/>
      <c r="L108" s="12">
        <v>0</v>
      </c>
      <c r="M108" s="10"/>
      <c r="N108" s="10"/>
      <c r="O108" s="11">
        <v>0</v>
      </c>
      <c r="P108" s="10"/>
      <c r="Q108" s="10">
        <v>71900</v>
      </c>
      <c r="R108" s="11">
        <v>0</v>
      </c>
      <c r="S108" s="10"/>
      <c r="T108" s="10"/>
      <c r="U108" s="11">
        <v>0</v>
      </c>
      <c r="V108" s="10"/>
      <c r="W108" s="10"/>
      <c r="X108" s="11">
        <v>0</v>
      </c>
      <c r="Y108" s="10"/>
      <c r="Z108" s="10"/>
      <c r="AA108" s="11"/>
      <c r="AB108" s="10">
        <v>10000</v>
      </c>
      <c r="AC108" s="10">
        <v>35250</v>
      </c>
      <c r="AD108" s="11">
        <v>3.5249999999999999</v>
      </c>
      <c r="AE108" s="10"/>
      <c r="AF108" s="10"/>
      <c r="AG108" s="11">
        <v>0</v>
      </c>
      <c r="AH108" s="10"/>
      <c r="AI108" s="10"/>
      <c r="AJ108" s="11">
        <v>0</v>
      </c>
      <c r="AK108" s="10">
        <v>500000</v>
      </c>
      <c r="AL108" s="10">
        <v>172200</v>
      </c>
      <c r="AM108" s="11">
        <f t="shared" ref="AM108:AM112" si="230">AL108/AK108</f>
        <v>0.34439999999999998</v>
      </c>
      <c r="AN108" s="10"/>
      <c r="AO108" s="10"/>
      <c r="AP108" s="11">
        <v>0</v>
      </c>
      <c r="AQ108" s="10"/>
      <c r="AR108" s="10"/>
      <c r="AS108" s="11">
        <v>0</v>
      </c>
      <c r="AT108" s="10"/>
      <c r="AU108" s="10"/>
      <c r="AV108" s="11">
        <v>0</v>
      </c>
      <c r="AW108" s="10"/>
      <c r="AX108" s="10"/>
      <c r="AY108" s="11">
        <v>0</v>
      </c>
      <c r="AZ108" s="10"/>
      <c r="BA108" s="10"/>
      <c r="BB108" s="11">
        <v>0</v>
      </c>
      <c r="BC108" s="10">
        <v>38600</v>
      </c>
      <c r="BD108" s="10"/>
      <c r="BE108" s="11">
        <f t="shared" ref="BE108:BE110" si="231">BD108/BC108</f>
        <v>0</v>
      </c>
      <c r="BF108" s="10">
        <v>3200000</v>
      </c>
      <c r="BG108" s="10">
        <f>VLOOKUP(A:A,'[1]2026 Customer Brand Sales'!$A:$BA,53,0)</f>
        <v>859645</v>
      </c>
      <c r="BH108" s="11">
        <f t="shared" si="226"/>
        <v>0.26863906250000003</v>
      </c>
      <c r="BI108" s="10"/>
      <c r="BJ108" s="10"/>
      <c r="BK108" s="11">
        <v>0</v>
      </c>
      <c r="BL108" s="10">
        <v>400000</v>
      </c>
      <c r="BM108" s="10">
        <v>189940</v>
      </c>
      <c r="BN108" s="11">
        <f t="shared" si="228"/>
        <v>0.47484999999999999</v>
      </c>
      <c r="BO108" s="10">
        <v>100000</v>
      </c>
      <c r="BP108" s="10">
        <v>226850</v>
      </c>
      <c r="BQ108" s="11">
        <f t="shared" si="227"/>
        <v>2.2685</v>
      </c>
      <c r="BR108" s="10"/>
      <c r="BS108" s="10"/>
      <c r="BT108" s="11">
        <v>0</v>
      </c>
      <c r="BU108" s="10"/>
      <c r="BV108" s="10"/>
      <c r="BW108" s="11">
        <v>0</v>
      </c>
      <c r="BX108" s="10"/>
      <c r="BY108" s="10"/>
      <c r="BZ108" s="11">
        <v>0</v>
      </c>
      <c r="CA108" s="10"/>
      <c r="CB108" s="10"/>
      <c r="CC108" s="11">
        <v>0</v>
      </c>
      <c r="CD108" s="10"/>
      <c r="CE108" s="10"/>
      <c r="CF108" s="11">
        <v>0</v>
      </c>
      <c r="CG108" s="10"/>
      <c r="CH108" s="10"/>
      <c r="CI108" s="11">
        <v>0</v>
      </c>
      <c r="CJ108" s="10"/>
      <c r="CK108" s="10"/>
      <c r="CL108" s="11">
        <v>0</v>
      </c>
      <c r="CM108" s="10"/>
      <c r="CN108" s="10"/>
      <c r="CO108" s="11">
        <v>0</v>
      </c>
      <c r="CP108" s="10"/>
      <c r="CQ108" s="10"/>
      <c r="CR108" s="11">
        <v>0</v>
      </c>
      <c r="CS108" s="10"/>
      <c r="CT108" s="10"/>
      <c r="CU108" s="11">
        <v>0</v>
      </c>
      <c r="CV108" s="10"/>
      <c r="CW108" s="10"/>
      <c r="CX108" s="11">
        <v>0</v>
      </c>
      <c r="CY108" s="10"/>
      <c r="CZ108" s="10"/>
      <c r="DA108" s="11">
        <v>0</v>
      </c>
      <c r="DB108" s="10">
        <v>4248600</v>
      </c>
      <c r="DC108" s="10">
        <f t="shared" si="229"/>
        <v>1555785</v>
      </c>
      <c r="DD108" s="13">
        <f t="shared" ref="DD108:DD113" si="232">DC108/DB108</f>
        <v>0.36618768535517582</v>
      </c>
      <c r="DE108" s="14"/>
    </row>
    <row r="109" spans="1:109" x14ac:dyDescent="0.35">
      <c r="A109" s="8" t="s">
        <v>276</v>
      </c>
      <c r="B109" s="9" t="s">
        <v>108</v>
      </c>
      <c r="C109" s="9" t="s">
        <v>52</v>
      </c>
      <c r="D109" s="9" t="s">
        <v>277</v>
      </c>
      <c r="E109" s="9" t="s">
        <v>54</v>
      </c>
      <c r="F109" s="9" t="s">
        <v>55</v>
      </c>
      <c r="G109" s="10"/>
      <c r="H109" s="10"/>
      <c r="I109" s="11">
        <v>0</v>
      </c>
      <c r="J109" s="10"/>
      <c r="K109" s="10"/>
      <c r="L109" s="12">
        <v>0</v>
      </c>
      <c r="M109" s="10">
        <v>120000</v>
      </c>
      <c r="N109" s="10"/>
      <c r="O109" s="11">
        <f t="shared" si="224"/>
        <v>0</v>
      </c>
      <c r="P109" s="10"/>
      <c r="Q109" s="10">
        <v>56000</v>
      </c>
      <c r="R109" s="11">
        <v>0</v>
      </c>
      <c r="S109" s="10"/>
      <c r="T109" s="10"/>
      <c r="U109" s="11">
        <v>0</v>
      </c>
      <c r="V109" s="10"/>
      <c r="W109" s="10"/>
      <c r="X109" s="11">
        <v>0</v>
      </c>
      <c r="Y109" s="10"/>
      <c r="Z109" s="10"/>
      <c r="AA109" s="11"/>
      <c r="AB109" s="10"/>
      <c r="AC109" s="10"/>
      <c r="AD109" s="11">
        <v>0</v>
      </c>
      <c r="AE109" s="10">
        <v>100000</v>
      </c>
      <c r="AF109" s="10">
        <v>25225</v>
      </c>
      <c r="AG109" s="11">
        <f t="shared" si="225"/>
        <v>0.25224999999999997</v>
      </c>
      <c r="AH109" s="10"/>
      <c r="AI109" s="10"/>
      <c r="AJ109" s="11">
        <v>0</v>
      </c>
      <c r="AK109" s="10">
        <v>1500000</v>
      </c>
      <c r="AL109" s="10">
        <v>281600</v>
      </c>
      <c r="AM109" s="11">
        <f t="shared" si="230"/>
        <v>0.18773333333333334</v>
      </c>
      <c r="AN109" s="10">
        <v>50000</v>
      </c>
      <c r="AO109" s="10"/>
      <c r="AP109" s="11">
        <f t="shared" ref="AP109" si="233">AO109/AN109</f>
        <v>0</v>
      </c>
      <c r="AQ109" s="10">
        <v>150000</v>
      </c>
      <c r="AR109" s="10"/>
      <c r="AS109" s="11">
        <f t="shared" ref="AS109" si="234">AR109/AQ109</f>
        <v>0</v>
      </c>
      <c r="AT109" s="10"/>
      <c r="AU109" s="10">
        <v>80980</v>
      </c>
      <c r="AV109" s="11">
        <v>0</v>
      </c>
      <c r="AW109" s="10"/>
      <c r="AX109" s="10"/>
      <c r="AY109" s="11">
        <v>0</v>
      </c>
      <c r="AZ109" s="10"/>
      <c r="BA109" s="10"/>
      <c r="BB109" s="11">
        <v>0</v>
      </c>
      <c r="BC109" s="10"/>
      <c r="BD109" s="10"/>
      <c r="BE109" s="11">
        <v>0</v>
      </c>
      <c r="BF109" s="10">
        <v>1000000</v>
      </c>
      <c r="BG109" s="10">
        <f>VLOOKUP(A:A,'[1]2026 Customer Brand Sales'!$A:$BA,53,0)</f>
        <v>401620</v>
      </c>
      <c r="BH109" s="11">
        <f t="shared" si="226"/>
        <v>0.40161999999999998</v>
      </c>
      <c r="BI109" s="10"/>
      <c r="BJ109" s="10"/>
      <c r="BK109" s="11">
        <v>0</v>
      </c>
      <c r="BL109" s="10">
        <v>400000</v>
      </c>
      <c r="BM109" s="10">
        <v>138425</v>
      </c>
      <c r="BN109" s="11">
        <f t="shared" si="228"/>
        <v>0.3460625</v>
      </c>
      <c r="BO109" s="10">
        <v>100000</v>
      </c>
      <c r="BP109" s="10">
        <v>15900</v>
      </c>
      <c r="BQ109" s="11">
        <f t="shared" si="227"/>
        <v>0.159</v>
      </c>
      <c r="BR109" s="10"/>
      <c r="BS109" s="10"/>
      <c r="BT109" s="11">
        <v>0</v>
      </c>
      <c r="BU109" s="10"/>
      <c r="BV109" s="10"/>
      <c r="BW109" s="11">
        <v>0</v>
      </c>
      <c r="BX109" s="10"/>
      <c r="BY109" s="10"/>
      <c r="BZ109" s="11">
        <v>0</v>
      </c>
      <c r="CA109" s="10"/>
      <c r="CB109" s="10"/>
      <c r="CC109" s="11">
        <v>0</v>
      </c>
      <c r="CD109" s="10"/>
      <c r="CE109" s="10"/>
      <c r="CF109" s="11">
        <v>0</v>
      </c>
      <c r="CG109" s="10"/>
      <c r="CH109" s="10"/>
      <c r="CI109" s="11">
        <v>0</v>
      </c>
      <c r="CJ109" s="10"/>
      <c r="CK109" s="10"/>
      <c r="CL109" s="11">
        <v>0</v>
      </c>
      <c r="CM109" s="10"/>
      <c r="CN109" s="10"/>
      <c r="CO109" s="11">
        <v>0</v>
      </c>
      <c r="CP109" s="10"/>
      <c r="CQ109" s="10"/>
      <c r="CR109" s="11">
        <v>0</v>
      </c>
      <c r="CS109" s="10"/>
      <c r="CT109" s="10"/>
      <c r="CU109" s="11">
        <v>0</v>
      </c>
      <c r="CV109" s="10"/>
      <c r="CW109" s="10"/>
      <c r="CX109" s="11">
        <v>0</v>
      </c>
      <c r="CY109" s="10"/>
      <c r="CZ109" s="10"/>
      <c r="DA109" s="11">
        <v>0</v>
      </c>
      <c r="DB109" s="10">
        <v>3420000</v>
      </c>
      <c r="DC109" s="10">
        <f t="shared" si="229"/>
        <v>999750</v>
      </c>
      <c r="DD109" s="13">
        <f t="shared" si="232"/>
        <v>0.29232456140350876</v>
      </c>
      <c r="DE109" s="14"/>
    </row>
    <row r="110" spans="1:109" x14ac:dyDescent="0.35">
      <c r="A110" s="8" t="s">
        <v>278</v>
      </c>
      <c r="B110" s="9" t="s">
        <v>51</v>
      </c>
      <c r="C110" s="9" t="s">
        <v>52</v>
      </c>
      <c r="D110" s="9" t="s">
        <v>279</v>
      </c>
      <c r="E110" s="9" t="s">
        <v>54</v>
      </c>
      <c r="F110" s="9" t="s">
        <v>55</v>
      </c>
      <c r="G110" s="10"/>
      <c r="H110" s="10"/>
      <c r="I110" s="11">
        <v>0</v>
      </c>
      <c r="J110" s="10"/>
      <c r="K110" s="10"/>
      <c r="L110" s="12">
        <v>0</v>
      </c>
      <c r="M110" s="10">
        <v>560000</v>
      </c>
      <c r="N110" s="10">
        <v>171500</v>
      </c>
      <c r="O110" s="11">
        <f t="shared" si="224"/>
        <v>0.30625000000000002</v>
      </c>
      <c r="P110" s="10"/>
      <c r="Q110" s="10">
        <v>34000</v>
      </c>
      <c r="R110" s="11">
        <v>0</v>
      </c>
      <c r="S110" s="10"/>
      <c r="T110" s="10"/>
      <c r="U110" s="11">
        <v>0</v>
      </c>
      <c r="V110" s="10"/>
      <c r="W110" s="10">
        <v>13350</v>
      </c>
      <c r="X110" s="11">
        <v>0</v>
      </c>
      <c r="Y110" s="10">
        <v>200000</v>
      </c>
      <c r="Z110" s="10">
        <v>25800</v>
      </c>
      <c r="AA110" s="11">
        <f t="shared" ref="AA110" si="235">Z110/Y110</f>
        <v>0.129</v>
      </c>
      <c r="AB110" s="10">
        <v>250000</v>
      </c>
      <c r="AC110" s="10"/>
      <c r="AD110" s="11">
        <v>0</v>
      </c>
      <c r="AE110" s="10">
        <v>100000</v>
      </c>
      <c r="AF110" s="10">
        <v>25475</v>
      </c>
      <c r="AG110" s="11">
        <f t="shared" si="225"/>
        <v>0.25474999999999998</v>
      </c>
      <c r="AH110" s="10"/>
      <c r="AI110" s="10"/>
      <c r="AJ110" s="11">
        <v>0</v>
      </c>
      <c r="AK110" s="10"/>
      <c r="AL110" s="10"/>
      <c r="AM110" s="11">
        <v>0</v>
      </c>
      <c r="AN110" s="10"/>
      <c r="AO110" s="10"/>
      <c r="AP110" s="11">
        <v>0</v>
      </c>
      <c r="AQ110" s="10"/>
      <c r="AR110" s="10">
        <v>66000</v>
      </c>
      <c r="AS110" s="11">
        <v>0</v>
      </c>
      <c r="AT110" s="10"/>
      <c r="AU110" s="10"/>
      <c r="AV110" s="11">
        <v>0</v>
      </c>
      <c r="AW110" s="10"/>
      <c r="AX110" s="10"/>
      <c r="AY110" s="11">
        <v>0</v>
      </c>
      <c r="AZ110" s="10"/>
      <c r="BA110" s="10"/>
      <c r="BB110" s="11">
        <v>0</v>
      </c>
      <c r="BC110" s="10">
        <v>23160</v>
      </c>
      <c r="BD110" s="10"/>
      <c r="BE110" s="11">
        <f t="shared" si="231"/>
        <v>0</v>
      </c>
      <c r="BF110" s="10"/>
      <c r="BG110" s="10">
        <f>VLOOKUP(A:A,'[1]2026 Customer Brand Sales'!$A:$BA,53,0)</f>
        <v>164750</v>
      </c>
      <c r="BH110" s="11">
        <v>0</v>
      </c>
      <c r="BI110" s="10"/>
      <c r="BJ110" s="10"/>
      <c r="BK110" s="11">
        <v>0</v>
      </c>
      <c r="BL110" s="10"/>
      <c r="BM110" s="10">
        <v>7450</v>
      </c>
      <c r="BN110" s="11">
        <v>0</v>
      </c>
      <c r="BO110" s="10"/>
      <c r="BP110" s="10">
        <v>13920</v>
      </c>
      <c r="BQ110" s="11">
        <v>0</v>
      </c>
      <c r="BR110" s="10">
        <v>150000</v>
      </c>
      <c r="BS110" s="10">
        <v>2500</v>
      </c>
      <c r="BT110" s="11">
        <f t="shared" ref="BT110" si="236">BS110/BR110</f>
        <v>1.6666666666666666E-2</v>
      </c>
      <c r="BU110" s="10">
        <v>100000</v>
      </c>
      <c r="BV110" s="10"/>
      <c r="BW110" s="11">
        <f t="shared" ref="BW110" si="237">BV110/BU110</f>
        <v>0</v>
      </c>
      <c r="BX110" s="10"/>
      <c r="BY110" s="10"/>
      <c r="BZ110" s="11">
        <v>0</v>
      </c>
      <c r="CA110" s="10"/>
      <c r="CB110" s="10"/>
      <c r="CC110" s="11">
        <v>0</v>
      </c>
      <c r="CD110" s="10"/>
      <c r="CE110" s="10"/>
      <c r="CF110" s="11">
        <v>0</v>
      </c>
      <c r="CG110" s="10"/>
      <c r="CH110" s="10"/>
      <c r="CI110" s="11">
        <v>0</v>
      </c>
      <c r="CJ110" s="10"/>
      <c r="CK110" s="10"/>
      <c r="CL110" s="11">
        <v>0</v>
      </c>
      <c r="CM110" s="10"/>
      <c r="CN110" s="10"/>
      <c r="CO110" s="11">
        <v>0</v>
      </c>
      <c r="CP110" s="10">
        <v>50000</v>
      </c>
      <c r="CQ110" s="10"/>
      <c r="CR110" s="11">
        <f t="shared" ref="CR110" si="238">CQ110/CP110</f>
        <v>0</v>
      </c>
      <c r="CS110" s="10"/>
      <c r="CT110" s="10"/>
      <c r="CU110" s="11">
        <v>0</v>
      </c>
      <c r="CV110" s="10"/>
      <c r="CW110" s="10"/>
      <c r="CX110" s="11">
        <v>0</v>
      </c>
      <c r="CY110" s="10"/>
      <c r="CZ110" s="10"/>
      <c r="DA110" s="11">
        <v>0</v>
      </c>
      <c r="DB110" s="10">
        <v>1433160</v>
      </c>
      <c r="DC110" s="10">
        <f t="shared" si="229"/>
        <v>524745</v>
      </c>
      <c r="DD110" s="13">
        <f t="shared" si="232"/>
        <v>0.36614544084400902</v>
      </c>
      <c r="DE110" s="14"/>
    </row>
    <row r="111" spans="1:109" x14ac:dyDescent="0.35">
      <c r="A111" s="8" t="s">
        <v>280</v>
      </c>
      <c r="B111" s="9" t="s">
        <v>48</v>
      </c>
      <c r="C111" s="9" t="s">
        <v>43</v>
      </c>
      <c r="D111" s="9" t="s">
        <v>281</v>
      </c>
      <c r="E111" s="9" t="s">
        <v>45</v>
      </c>
      <c r="F111" s="9" t="s">
        <v>46</v>
      </c>
      <c r="G111" s="10">
        <v>8000000</v>
      </c>
      <c r="H111" s="10">
        <v>1988250</v>
      </c>
      <c r="I111" s="11">
        <f t="shared" ref="I111:I113" si="239">H111/G111</f>
        <v>0.24853125000000001</v>
      </c>
      <c r="J111" s="10">
        <v>2000000</v>
      </c>
      <c r="K111" s="10">
        <v>2207150</v>
      </c>
      <c r="L111" s="11">
        <f t="shared" ref="L111:L113" si="240">K111/J111</f>
        <v>1.103575</v>
      </c>
      <c r="M111" s="10"/>
      <c r="N111" s="10"/>
      <c r="O111" s="11">
        <v>0</v>
      </c>
      <c r="P111" s="10"/>
      <c r="Q111" s="10"/>
      <c r="R111" s="11">
        <v>0</v>
      </c>
      <c r="S111" s="10"/>
      <c r="T111" s="10"/>
      <c r="U111" s="11">
        <v>0</v>
      </c>
      <c r="V111" s="10"/>
      <c r="W111" s="10"/>
      <c r="X111" s="11">
        <v>0</v>
      </c>
      <c r="Y111" s="10"/>
      <c r="Z111" s="10"/>
      <c r="AA111" s="11"/>
      <c r="AB111" s="10"/>
      <c r="AC111" s="10"/>
      <c r="AD111" s="11">
        <v>0</v>
      </c>
      <c r="AE111" s="10"/>
      <c r="AF111" s="10"/>
      <c r="AG111" s="11">
        <v>0</v>
      </c>
      <c r="AH111" s="10"/>
      <c r="AI111" s="10"/>
      <c r="AJ111" s="11">
        <v>0</v>
      </c>
      <c r="AK111" s="10"/>
      <c r="AL111" s="10"/>
      <c r="AM111" s="11">
        <v>0</v>
      </c>
      <c r="AN111" s="10"/>
      <c r="AO111" s="10"/>
      <c r="AP111" s="11">
        <v>0</v>
      </c>
      <c r="AQ111" s="10"/>
      <c r="AR111" s="10"/>
      <c r="AS111" s="11">
        <v>0</v>
      </c>
      <c r="AT111" s="10"/>
      <c r="AU111" s="10"/>
      <c r="AV111" s="11">
        <v>0</v>
      </c>
      <c r="AW111" s="10"/>
      <c r="AX111" s="10"/>
      <c r="AY111" s="11">
        <v>0</v>
      </c>
      <c r="AZ111" s="10"/>
      <c r="BA111" s="10"/>
      <c r="BB111" s="11">
        <v>0</v>
      </c>
      <c r="BC111" s="10"/>
      <c r="BD111" s="10"/>
      <c r="BE111" s="11">
        <v>0</v>
      </c>
      <c r="BF111" s="10"/>
      <c r="BG111" s="10"/>
      <c r="BH111" s="11">
        <v>0</v>
      </c>
      <c r="BI111" s="10"/>
      <c r="BJ111" s="10"/>
      <c r="BK111" s="11">
        <v>0</v>
      </c>
      <c r="BL111" s="10"/>
      <c r="BM111" s="10"/>
      <c r="BN111" s="11">
        <v>0</v>
      </c>
      <c r="BO111" s="10"/>
      <c r="BP111" s="10"/>
      <c r="BQ111" s="11">
        <v>0</v>
      </c>
      <c r="BR111" s="10"/>
      <c r="BS111" s="10"/>
      <c r="BT111" s="11">
        <v>0</v>
      </c>
      <c r="BU111" s="10"/>
      <c r="BV111" s="10"/>
      <c r="BW111" s="11">
        <v>0</v>
      </c>
      <c r="BX111" s="10"/>
      <c r="BY111" s="10"/>
      <c r="BZ111" s="11">
        <v>0</v>
      </c>
      <c r="CA111" s="10"/>
      <c r="CB111" s="10"/>
      <c r="CC111" s="11">
        <v>0</v>
      </c>
      <c r="CD111" s="10"/>
      <c r="CE111" s="10"/>
      <c r="CF111" s="11">
        <v>0</v>
      </c>
      <c r="CG111" s="10"/>
      <c r="CH111" s="10"/>
      <c r="CI111" s="11">
        <v>0</v>
      </c>
      <c r="CJ111" s="10"/>
      <c r="CK111" s="10"/>
      <c r="CL111" s="11">
        <v>0</v>
      </c>
      <c r="CM111" s="10"/>
      <c r="CN111" s="10"/>
      <c r="CO111" s="11">
        <v>0</v>
      </c>
      <c r="CP111" s="10"/>
      <c r="CQ111" s="10"/>
      <c r="CR111" s="11">
        <v>0</v>
      </c>
      <c r="CS111" s="10"/>
      <c r="CT111" s="10"/>
      <c r="CU111" s="11">
        <v>0</v>
      </c>
      <c r="CV111" s="10"/>
      <c r="CW111" s="10"/>
      <c r="CX111" s="11">
        <v>0</v>
      </c>
      <c r="CY111" s="10"/>
      <c r="CZ111" s="10"/>
      <c r="DA111" s="11">
        <v>0</v>
      </c>
      <c r="DB111" s="10">
        <v>10000000</v>
      </c>
      <c r="DC111" s="10">
        <f t="shared" si="229"/>
        <v>4195400</v>
      </c>
      <c r="DD111" s="13">
        <f t="shared" si="232"/>
        <v>0.41954000000000002</v>
      </c>
      <c r="DE111" s="14"/>
    </row>
    <row r="112" spans="1:109" x14ac:dyDescent="0.35">
      <c r="A112" s="8" t="s">
        <v>282</v>
      </c>
      <c r="B112" s="9" t="s">
        <v>118</v>
      </c>
      <c r="C112" s="9" t="s">
        <v>43</v>
      </c>
      <c r="D112" s="9" t="s">
        <v>283</v>
      </c>
      <c r="E112" s="9" t="s">
        <v>61</v>
      </c>
      <c r="F112" s="9" t="s">
        <v>62</v>
      </c>
      <c r="G112" s="10"/>
      <c r="H112" s="10"/>
      <c r="I112" s="11">
        <v>0</v>
      </c>
      <c r="J112" s="10"/>
      <c r="K112" s="10"/>
      <c r="L112" s="12">
        <v>0</v>
      </c>
      <c r="M112" s="10"/>
      <c r="N112" s="10"/>
      <c r="O112" s="11">
        <v>0</v>
      </c>
      <c r="P112" s="10"/>
      <c r="Q112" s="10"/>
      <c r="R112" s="11">
        <v>0</v>
      </c>
      <c r="S112" s="10"/>
      <c r="T112" s="10"/>
      <c r="U112" s="11">
        <v>0</v>
      </c>
      <c r="V112" s="10"/>
      <c r="W112" s="10"/>
      <c r="X112" s="11">
        <v>0</v>
      </c>
      <c r="Y112" s="10"/>
      <c r="Z112" s="10"/>
      <c r="AA112" s="11"/>
      <c r="AB112" s="10"/>
      <c r="AC112" s="10"/>
      <c r="AD112" s="11">
        <v>0</v>
      </c>
      <c r="AE112" s="10"/>
      <c r="AF112" s="10"/>
      <c r="AG112" s="11">
        <v>0</v>
      </c>
      <c r="AH112" s="10"/>
      <c r="AI112" s="10"/>
      <c r="AJ112" s="11">
        <v>0</v>
      </c>
      <c r="AK112" s="10">
        <v>1000000</v>
      </c>
      <c r="AL112" s="10"/>
      <c r="AM112" s="11">
        <f t="shared" si="230"/>
        <v>0</v>
      </c>
      <c r="AN112" s="10"/>
      <c r="AO112" s="10"/>
      <c r="AP112" s="11">
        <v>0</v>
      </c>
      <c r="AQ112" s="10"/>
      <c r="AR112" s="10"/>
      <c r="AS112" s="11">
        <v>0</v>
      </c>
      <c r="AT112" s="10"/>
      <c r="AU112" s="10"/>
      <c r="AV112" s="11">
        <v>0</v>
      </c>
      <c r="AW112" s="10"/>
      <c r="AX112" s="10"/>
      <c r="AY112" s="11">
        <v>0</v>
      </c>
      <c r="AZ112" s="10"/>
      <c r="BA112" s="10"/>
      <c r="BB112" s="11">
        <v>0</v>
      </c>
      <c r="BC112" s="10"/>
      <c r="BD112" s="10"/>
      <c r="BE112" s="11">
        <v>0</v>
      </c>
      <c r="BF112" s="10">
        <v>24700000</v>
      </c>
      <c r="BG112" s="10">
        <f>VLOOKUP(A:A,'[1]2026 Customer Brand Sales'!$A:$BA,53,0)</f>
        <v>16311215</v>
      </c>
      <c r="BH112" s="11">
        <f t="shared" si="226"/>
        <v>0.6603730769230769</v>
      </c>
      <c r="BI112" s="10">
        <v>300000</v>
      </c>
      <c r="BJ112" s="10"/>
      <c r="BK112" s="11">
        <f t="shared" ref="BK112" si="241">BJ112/BI112</f>
        <v>0</v>
      </c>
      <c r="BL112" s="10">
        <v>4000000</v>
      </c>
      <c r="BM112" s="10">
        <v>1863800</v>
      </c>
      <c r="BN112" s="11">
        <f t="shared" si="228"/>
        <v>0.46594999999999998</v>
      </c>
      <c r="BO112" s="10">
        <v>280000</v>
      </c>
      <c r="BP112" s="10"/>
      <c r="BQ112" s="11">
        <f t="shared" si="227"/>
        <v>0</v>
      </c>
      <c r="BR112" s="10"/>
      <c r="BS112" s="10"/>
      <c r="BT112" s="11">
        <v>0</v>
      </c>
      <c r="BU112" s="10"/>
      <c r="BV112" s="10"/>
      <c r="BW112" s="11">
        <v>0</v>
      </c>
      <c r="BX112" s="10"/>
      <c r="BY112" s="10"/>
      <c r="BZ112" s="11">
        <v>0</v>
      </c>
      <c r="CA112" s="10"/>
      <c r="CB112" s="10"/>
      <c r="CC112" s="11">
        <v>0</v>
      </c>
      <c r="CD112" s="10"/>
      <c r="CE112" s="10"/>
      <c r="CF112" s="11">
        <v>0</v>
      </c>
      <c r="CG112" s="10"/>
      <c r="CH112" s="10"/>
      <c r="CI112" s="11">
        <v>0</v>
      </c>
      <c r="CJ112" s="10"/>
      <c r="CK112" s="10"/>
      <c r="CL112" s="11">
        <v>0</v>
      </c>
      <c r="CM112" s="10"/>
      <c r="CN112" s="10"/>
      <c r="CO112" s="11">
        <v>0</v>
      </c>
      <c r="CP112" s="10"/>
      <c r="CQ112" s="10"/>
      <c r="CR112" s="11">
        <v>0</v>
      </c>
      <c r="CS112" s="10"/>
      <c r="CT112" s="10"/>
      <c r="CU112" s="11">
        <v>0</v>
      </c>
      <c r="CV112" s="10"/>
      <c r="CW112" s="10"/>
      <c r="CX112" s="11">
        <v>0</v>
      </c>
      <c r="CY112" s="10"/>
      <c r="CZ112" s="10"/>
      <c r="DA112" s="11">
        <v>0</v>
      </c>
      <c r="DB112" s="10">
        <v>30280000</v>
      </c>
      <c r="DC112" s="10">
        <f t="shared" si="229"/>
        <v>18175015</v>
      </c>
      <c r="DD112" s="13">
        <f t="shared" si="232"/>
        <v>0.60023167107001318</v>
      </c>
      <c r="DE112" s="14"/>
    </row>
    <row r="113" spans="1:109" x14ac:dyDescent="0.35">
      <c r="A113" s="8" t="s">
        <v>284</v>
      </c>
      <c r="B113" s="9" t="s">
        <v>48</v>
      </c>
      <c r="C113" s="9" t="s">
        <v>43</v>
      </c>
      <c r="D113" s="9" t="s">
        <v>285</v>
      </c>
      <c r="E113" s="9" t="s">
        <v>45</v>
      </c>
      <c r="F113" s="9" t="s">
        <v>46</v>
      </c>
      <c r="G113" s="10">
        <v>4000000</v>
      </c>
      <c r="H113" s="10">
        <v>3725750</v>
      </c>
      <c r="I113" s="11">
        <f t="shared" si="239"/>
        <v>0.93143750000000003</v>
      </c>
      <c r="J113" s="10">
        <v>5000000</v>
      </c>
      <c r="K113" s="10">
        <v>1616300</v>
      </c>
      <c r="L113" s="11">
        <f t="shared" si="240"/>
        <v>0.32325999999999999</v>
      </c>
      <c r="M113" s="10"/>
      <c r="N113" s="10"/>
      <c r="O113" s="11">
        <v>0</v>
      </c>
      <c r="P113" s="10"/>
      <c r="Q113" s="10"/>
      <c r="R113" s="11">
        <v>0</v>
      </c>
      <c r="S113" s="10"/>
      <c r="T113" s="10"/>
      <c r="U113" s="11">
        <v>0</v>
      </c>
      <c r="V113" s="10"/>
      <c r="W113" s="10"/>
      <c r="X113" s="11">
        <v>0</v>
      </c>
      <c r="Y113" s="10"/>
      <c r="Z113" s="10"/>
      <c r="AA113" s="11"/>
      <c r="AB113" s="10"/>
      <c r="AC113" s="10"/>
      <c r="AD113" s="11">
        <v>0</v>
      </c>
      <c r="AE113" s="10"/>
      <c r="AF113" s="10"/>
      <c r="AG113" s="11">
        <v>0</v>
      </c>
      <c r="AH113" s="10"/>
      <c r="AI113" s="10"/>
      <c r="AJ113" s="11">
        <v>0</v>
      </c>
      <c r="AK113" s="10"/>
      <c r="AL113" s="10"/>
      <c r="AM113" s="11">
        <v>0</v>
      </c>
      <c r="AN113" s="10"/>
      <c r="AO113" s="10"/>
      <c r="AP113" s="11">
        <v>0</v>
      </c>
      <c r="AQ113" s="10"/>
      <c r="AR113" s="10"/>
      <c r="AS113" s="11">
        <v>0</v>
      </c>
      <c r="AT113" s="10">
        <v>1000000</v>
      </c>
      <c r="AU113" s="10"/>
      <c r="AV113" s="11">
        <f t="shared" ref="AV113" si="242">AU113/AT113</f>
        <v>0</v>
      </c>
      <c r="AW113" s="10">
        <v>2000000</v>
      </c>
      <c r="AX113" s="10">
        <v>93700</v>
      </c>
      <c r="AY113" s="11">
        <f t="shared" ref="AY113" si="243">AX113/AW113</f>
        <v>4.6850000000000003E-2</v>
      </c>
      <c r="AZ113" s="10"/>
      <c r="BA113" s="10"/>
      <c r="BB113" s="11">
        <v>0</v>
      </c>
      <c r="BC113" s="10"/>
      <c r="BD113" s="10"/>
      <c r="BE113" s="11">
        <v>0</v>
      </c>
      <c r="BF113" s="10"/>
      <c r="BG113" s="10"/>
      <c r="BH113" s="11">
        <v>0</v>
      </c>
      <c r="BI113" s="10"/>
      <c r="BJ113" s="10"/>
      <c r="BK113" s="11">
        <v>0</v>
      </c>
      <c r="BL113" s="10"/>
      <c r="BM113" s="10"/>
      <c r="BN113" s="11">
        <v>0</v>
      </c>
      <c r="BO113" s="10"/>
      <c r="BP113" s="10"/>
      <c r="BQ113" s="11">
        <v>0</v>
      </c>
      <c r="BR113" s="10"/>
      <c r="BS113" s="10"/>
      <c r="BT113" s="11">
        <v>0</v>
      </c>
      <c r="BU113" s="10"/>
      <c r="BV113" s="10"/>
      <c r="BW113" s="11">
        <v>0</v>
      </c>
      <c r="BX113" s="10"/>
      <c r="BY113" s="10"/>
      <c r="BZ113" s="11">
        <v>0</v>
      </c>
      <c r="CA113" s="10"/>
      <c r="CB113" s="10"/>
      <c r="CC113" s="11">
        <v>0</v>
      </c>
      <c r="CD113" s="10"/>
      <c r="CE113" s="10"/>
      <c r="CF113" s="11">
        <v>0</v>
      </c>
      <c r="CG113" s="10"/>
      <c r="CH113" s="10"/>
      <c r="CI113" s="11">
        <v>0</v>
      </c>
      <c r="CJ113" s="10"/>
      <c r="CK113" s="10"/>
      <c r="CL113" s="11">
        <v>0</v>
      </c>
      <c r="CM113" s="10"/>
      <c r="CN113" s="10"/>
      <c r="CO113" s="11">
        <v>0</v>
      </c>
      <c r="CP113" s="10"/>
      <c r="CQ113" s="10"/>
      <c r="CR113" s="11">
        <v>0</v>
      </c>
      <c r="CS113" s="10"/>
      <c r="CT113" s="10"/>
      <c r="CU113" s="11">
        <v>0</v>
      </c>
      <c r="CV113" s="10"/>
      <c r="CW113" s="10"/>
      <c r="CX113" s="11">
        <v>0</v>
      </c>
      <c r="CY113" s="10"/>
      <c r="CZ113" s="10"/>
      <c r="DA113" s="11">
        <v>0</v>
      </c>
      <c r="DB113" s="10">
        <v>12000000</v>
      </c>
      <c r="DC113" s="10">
        <f t="shared" si="229"/>
        <v>5435750</v>
      </c>
      <c r="DD113" s="13">
        <f t="shared" si="232"/>
        <v>0.45297916666666665</v>
      </c>
      <c r="DE113" s="14"/>
    </row>
    <row r="114" spans="1:109" x14ac:dyDescent="0.35">
      <c r="A114" s="8" t="s">
        <v>286</v>
      </c>
      <c r="B114" s="9" t="s">
        <v>74</v>
      </c>
      <c r="C114" s="9" t="s">
        <v>52</v>
      </c>
      <c r="D114" s="9" t="s">
        <v>287</v>
      </c>
      <c r="E114" s="9" t="s">
        <v>54</v>
      </c>
      <c r="F114" s="9" t="s">
        <v>55</v>
      </c>
      <c r="G114" s="10"/>
      <c r="H114" s="10"/>
      <c r="I114" s="11">
        <v>0</v>
      </c>
      <c r="J114" s="10"/>
      <c r="K114" s="10"/>
      <c r="L114" s="12">
        <v>0</v>
      </c>
      <c r="M114" s="10"/>
      <c r="N114" s="10"/>
      <c r="O114" s="11">
        <v>0</v>
      </c>
      <c r="P114" s="10"/>
      <c r="Q114" s="10"/>
      <c r="R114" s="11">
        <v>0</v>
      </c>
      <c r="S114" s="10">
        <v>500000</v>
      </c>
      <c r="T114" s="10">
        <v>555900</v>
      </c>
      <c r="U114" s="11">
        <f t="shared" ref="U114:U115" si="244">T114/S114</f>
        <v>1.1117999999999999</v>
      </c>
      <c r="V114" s="10"/>
      <c r="W114" s="10"/>
      <c r="X114" s="11">
        <v>0</v>
      </c>
      <c r="Y114" s="10"/>
      <c r="Z114" s="10"/>
      <c r="AA114" s="11"/>
      <c r="AB114" s="10"/>
      <c r="AC114" s="10"/>
      <c r="AD114" s="11">
        <v>0</v>
      </c>
      <c r="AE114" s="10"/>
      <c r="AF114" s="10"/>
      <c r="AG114" s="11">
        <v>0</v>
      </c>
      <c r="AH114" s="10"/>
      <c r="AI114" s="10"/>
      <c r="AJ114" s="11">
        <v>0</v>
      </c>
      <c r="AK114" s="10"/>
      <c r="AL114" s="10"/>
      <c r="AM114" s="11">
        <v>0</v>
      </c>
      <c r="AN114" s="10"/>
      <c r="AO114" s="10"/>
      <c r="AP114" s="11">
        <v>0</v>
      </c>
      <c r="AQ114" s="10"/>
      <c r="AR114" s="10"/>
      <c r="AS114" s="11">
        <v>0</v>
      </c>
      <c r="AT114" s="10"/>
      <c r="AU114" s="10">
        <v>142390</v>
      </c>
      <c r="AV114" s="11">
        <v>0</v>
      </c>
      <c r="AW114" s="10"/>
      <c r="AX114" s="10"/>
      <c r="AY114" s="11">
        <v>0</v>
      </c>
      <c r="AZ114" s="10"/>
      <c r="BA114" s="10"/>
      <c r="BB114" s="11">
        <v>0</v>
      </c>
      <c r="BC114" s="10"/>
      <c r="BD114" s="10"/>
      <c r="BE114" s="11">
        <v>0</v>
      </c>
      <c r="BF114" s="10">
        <v>2500000</v>
      </c>
      <c r="BG114" s="10">
        <f>VLOOKUP(A:A,'[1]2026 Customer Brand Sales'!$A:$BA,53,0)</f>
        <v>1128975</v>
      </c>
      <c r="BH114" s="11">
        <f t="shared" ref="BH114:BH115" si="245">BG114/BF114</f>
        <v>0.45158999999999999</v>
      </c>
      <c r="BI114" s="10"/>
      <c r="BJ114" s="10"/>
      <c r="BK114" s="11">
        <v>0</v>
      </c>
      <c r="BL114" s="10"/>
      <c r="BM114" s="10">
        <v>106400</v>
      </c>
      <c r="BN114" s="11">
        <v>0</v>
      </c>
      <c r="BO114" s="10"/>
      <c r="BP114" s="10"/>
      <c r="BQ114" s="11">
        <v>0</v>
      </c>
      <c r="BR114" s="10">
        <v>250000</v>
      </c>
      <c r="BS114" s="10"/>
      <c r="BT114" s="11">
        <f t="shared" ref="BT114:BT115" si="246">BS114/BR114</f>
        <v>0</v>
      </c>
      <c r="BU114" s="10">
        <v>200000</v>
      </c>
      <c r="BV114" s="10"/>
      <c r="BW114" s="11">
        <f t="shared" ref="BW114:BW115" si="247">BV114/BU114</f>
        <v>0</v>
      </c>
      <c r="BX114" s="10"/>
      <c r="BY114" s="10"/>
      <c r="BZ114" s="11">
        <v>0</v>
      </c>
      <c r="CA114" s="10"/>
      <c r="CB114" s="10"/>
      <c r="CC114" s="11">
        <v>0</v>
      </c>
      <c r="CD114" s="10"/>
      <c r="CE114" s="10"/>
      <c r="CF114" s="11">
        <v>0</v>
      </c>
      <c r="CG114" s="10">
        <v>8000</v>
      </c>
      <c r="CH114" s="10"/>
      <c r="CI114" s="11">
        <f t="shared" ref="CI114" si="248">CH114/CG114</f>
        <v>0</v>
      </c>
      <c r="CJ114" s="10"/>
      <c r="CK114" s="10"/>
      <c r="CL114" s="11">
        <v>0</v>
      </c>
      <c r="CM114" s="10"/>
      <c r="CN114" s="10"/>
      <c r="CO114" s="11">
        <v>0</v>
      </c>
      <c r="CP114" s="10"/>
      <c r="CQ114" s="10"/>
      <c r="CR114" s="11">
        <v>0</v>
      </c>
      <c r="CS114" s="10"/>
      <c r="CT114" s="10"/>
      <c r="CU114" s="11">
        <v>0</v>
      </c>
      <c r="CV114" s="10"/>
      <c r="CW114" s="10"/>
      <c r="CX114" s="11">
        <v>0</v>
      </c>
      <c r="CY114" s="10"/>
      <c r="CZ114" s="10"/>
      <c r="DA114" s="11">
        <v>0</v>
      </c>
      <c r="DB114" s="10">
        <v>3458000</v>
      </c>
      <c r="DC114" s="10">
        <f t="shared" ref="DC114:DC119" si="249">SUM(H114,K114,N114,Q114,T114,W114,Z114,AC114,AF114,AI114,AL114,AO114,AR114,AU114,AX114,BA114,BD114,BG114,BJ114,BM114,BP114,BS114,BV114,BY114,CB114,CE114,CH114,CK114,CN114,CQ114,CT114,CW114,CZ114)</f>
        <v>1933665</v>
      </c>
      <c r="DD114" s="13">
        <f t="shared" ref="DD114:DD119" si="250">DC114/DB114</f>
        <v>0.55918594563331403</v>
      </c>
      <c r="DE114" s="14"/>
    </row>
    <row r="115" spans="1:109" x14ac:dyDescent="0.35">
      <c r="A115" s="8" t="s">
        <v>288</v>
      </c>
      <c r="B115" s="9" t="s">
        <v>111</v>
      </c>
      <c r="C115" s="9" t="s">
        <v>52</v>
      </c>
      <c r="D115" s="9" t="s">
        <v>289</v>
      </c>
      <c r="E115" s="9" t="s">
        <v>54</v>
      </c>
      <c r="F115" s="9" t="s">
        <v>55</v>
      </c>
      <c r="G115" s="10">
        <v>500000</v>
      </c>
      <c r="H115" s="10">
        <v>258000</v>
      </c>
      <c r="I115" s="11">
        <f t="shared" ref="I115" si="251">H115/G115</f>
        <v>0.51600000000000001</v>
      </c>
      <c r="J115" s="10"/>
      <c r="K115" s="10"/>
      <c r="L115" s="12">
        <v>0</v>
      </c>
      <c r="M115" s="10">
        <v>200000</v>
      </c>
      <c r="N115" s="10"/>
      <c r="O115" s="11">
        <f t="shared" ref="O115:O119" si="252">N115/M115</f>
        <v>0</v>
      </c>
      <c r="P115" s="10">
        <v>100000</v>
      </c>
      <c r="Q115" s="10"/>
      <c r="R115" s="11">
        <f t="shared" ref="R115" si="253">Q115/P115</f>
        <v>0</v>
      </c>
      <c r="S115" s="10">
        <v>400000</v>
      </c>
      <c r="T115" s="10">
        <v>70550</v>
      </c>
      <c r="U115" s="11">
        <f t="shared" si="244"/>
        <v>0.176375</v>
      </c>
      <c r="V115" s="10"/>
      <c r="W115" s="10"/>
      <c r="X115" s="11">
        <v>0</v>
      </c>
      <c r="Y115" s="10"/>
      <c r="Z115" s="10"/>
      <c r="AA115" s="11"/>
      <c r="AB115" s="10"/>
      <c r="AC115" s="10"/>
      <c r="AD115" s="11">
        <v>0</v>
      </c>
      <c r="AE115" s="10"/>
      <c r="AF115" s="10"/>
      <c r="AG115" s="11">
        <v>0</v>
      </c>
      <c r="AH115" s="10"/>
      <c r="AI115" s="10"/>
      <c r="AJ115" s="11">
        <v>0</v>
      </c>
      <c r="AK115" s="10">
        <v>200000</v>
      </c>
      <c r="AL115" s="10"/>
      <c r="AM115" s="11">
        <f t="shared" ref="AM115" si="254">AL115/AK115</f>
        <v>0</v>
      </c>
      <c r="AN115" s="10"/>
      <c r="AO115" s="10"/>
      <c r="AP115" s="11">
        <v>0</v>
      </c>
      <c r="AQ115" s="10"/>
      <c r="AR115" s="10"/>
      <c r="AS115" s="11">
        <v>0</v>
      </c>
      <c r="AT115" s="10">
        <v>500000</v>
      </c>
      <c r="AU115" s="10">
        <v>86330</v>
      </c>
      <c r="AV115" s="11">
        <f t="shared" ref="AV115" si="255">AU115/AT115</f>
        <v>0.17266000000000001</v>
      </c>
      <c r="AW115" s="10"/>
      <c r="AX115" s="10"/>
      <c r="AY115" s="11">
        <v>0</v>
      </c>
      <c r="AZ115" s="10"/>
      <c r="BA115" s="10"/>
      <c r="BB115" s="11">
        <v>0</v>
      </c>
      <c r="BC115" s="10">
        <v>177560</v>
      </c>
      <c r="BD115" s="10"/>
      <c r="BE115" s="11">
        <f t="shared" ref="BE115" si="256">BD115/BC115</f>
        <v>0</v>
      </c>
      <c r="BF115" s="10">
        <v>3000000</v>
      </c>
      <c r="BG115" s="10">
        <f>VLOOKUP(A:A,'[1]2026 Customer Brand Sales'!$A:$BA,53,0)</f>
        <v>1092345</v>
      </c>
      <c r="BH115" s="11">
        <f t="shared" si="245"/>
        <v>0.36411500000000002</v>
      </c>
      <c r="BI115" s="10"/>
      <c r="BJ115" s="10"/>
      <c r="BK115" s="11">
        <v>0</v>
      </c>
      <c r="BL115" s="10"/>
      <c r="BM115" s="10">
        <v>90000</v>
      </c>
      <c r="BN115" s="11">
        <v>0</v>
      </c>
      <c r="BO115" s="10"/>
      <c r="BP115" s="10">
        <v>31005</v>
      </c>
      <c r="BQ115" s="11">
        <v>0</v>
      </c>
      <c r="BR115" s="10">
        <v>300000</v>
      </c>
      <c r="BS115" s="10">
        <v>348700</v>
      </c>
      <c r="BT115" s="11">
        <f t="shared" si="246"/>
        <v>1.1623333333333334</v>
      </c>
      <c r="BU115" s="10">
        <v>250000</v>
      </c>
      <c r="BV115" s="10"/>
      <c r="BW115" s="11">
        <f t="shared" si="247"/>
        <v>0</v>
      </c>
      <c r="BX115" s="10"/>
      <c r="BY115" s="10"/>
      <c r="BZ115" s="11">
        <v>0</v>
      </c>
      <c r="CA115" s="10"/>
      <c r="CB115" s="10"/>
      <c r="CC115" s="11">
        <v>0</v>
      </c>
      <c r="CD115" s="10"/>
      <c r="CE115" s="10"/>
      <c r="CF115" s="11">
        <v>0</v>
      </c>
      <c r="CG115" s="10"/>
      <c r="CH115" s="10">
        <v>7800</v>
      </c>
      <c r="CI115" s="11">
        <v>0</v>
      </c>
      <c r="CJ115" s="10"/>
      <c r="CK115" s="10"/>
      <c r="CL115" s="11">
        <v>0</v>
      </c>
      <c r="CM115" s="10"/>
      <c r="CN115" s="10"/>
      <c r="CO115" s="11">
        <v>0</v>
      </c>
      <c r="CP115" s="10"/>
      <c r="CQ115" s="10"/>
      <c r="CR115" s="11">
        <v>0</v>
      </c>
      <c r="CS115" s="10"/>
      <c r="CT115" s="10"/>
      <c r="CU115" s="11">
        <v>0</v>
      </c>
      <c r="CV115" s="10"/>
      <c r="CW115" s="10"/>
      <c r="CX115" s="11">
        <v>0</v>
      </c>
      <c r="CY115" s="10"/>
      <c r="CZ115" s="10"/>
      <c r="DA115" s="11">
        <v>0</v>
      </c>
      <c r="DB115" s="10">
        <v>5627560</v>
      </c>
      <c r="DC115" s="10">
        <f t="shared" si="249"/>
        <v>1984730</v>
      </c>
      <c r="DD115" s="13">
        <f t="shared" si="250"/>
        <v>0.3526803801292212</v>
      </c>
      <c r="DE115" s="14"/>
    </row>
    <row r="116" spans="1:109" x14ac:dyDescent="0.35">
      <c r="A116" s="8" t="s">
        <v>290</v>
      </c>
      <c r="B116" s="9" t="s">
        <v>74</v>
      </c>
      <c r="C116" s="9" t="s">
        <v>52</v>
      </c>
      <c r="D116" s="9" t="s">
        <v>291</v>
      </c>
      <c r="E116" s="9" t="s">
        <v>54</v>
      </c>
      <c r="F116" s="9" t="s">
        <v>55</v>
      </c>
      <c r="G116" s="10"/>
      <c r="H116" s="10"/>
      <c r="I116" s="11">
        <v>0</v>
      </c>
      <c r="J116" s="10"/>
      <c r="K116" s="10"/>
      <c r="L116" s="12">
        <v>0</v>
      </c>
      <c r="M116" s="10">
        <v>5500000</v>
      </c>
      <c r="N116" s="10">
        <v>144000</v>
      </c>
      <c r="O116" s="11">
        <f t="shared" si="252"/>
        <v>2.6181818181818181E-2</v>
      </c>
      <c r="P116" s="10"/>
      <c r="Q116" s="10"/>
      <c r="R116" s="11">
        <v>0</v>
      </c>
      <c r="S116" s="10"/>
      <c r="T116" s="10"/>
      <c r="U116" s="11">
        <v>0</v>
      </c>
      <c r="V116" s="10"/>
      <c r="W116" s="10"/>
      <c r="X116" s="11">
        <v>0</v>
      </c>
      <c r="Y116" s="10"/>
      <c r="Z116" s="10"/>
      <c r="AA116" s="11"/>
      <c r="AB116" s="10"/>
      <c r="AC116" s="10"/>
      <c r="AD116" s="11">
        <v>0</v>
      </c>
      <c r="AE116" s="10"/>
      <c r="AF116" s="10"/>
      <c r="AG116" s="11">
        <v>0</v>
      </c>
      <c r="AH116" s="10"/>
      <c r="AI116" s="10"/>
      <c r="AJ116" s="11">
        <v>0</v>
      </c>
      <c r="AK116" s="10"/>
      <c r="AL116" s="10"/>
      <c r="AM116" s="11">
        <v>0</v>
      </c>
      <c r="AN116" s="10"/>
      <c r="AO116" s="10"/>
      <c r="AP116" s="11">
        <v>0</v>
      </c>
      <c r="AQ116" s="10"/>
      <c r="AR116" s="10"/>
      <c r="AS116" s="11">
        <v>0</v>
      </c>
      <c r="AT116" s="10"/>
      <c r="AU116" s="10"/>
      <c r="AV116" s="11">
        <v>0</v>
      </c>
      <c r="AW116" s="10"/>
      <c r="AX116" s="10"/>
      <c r="AY116" s="11">
        <v>0</v>
      </c>
      <c r="AZ116" s="10">
        <v>2489800</v>
      </c>
      <c r="BA116" s="10">
        <v>684000</v>
      </c>
      <c r="BB116" s="11">
        <f t="shared" ref="BB116:BB117" si="257">BA116/AZ116</f>
        <v>0.27472086111334243</v>
      </c>
      <c r="BC116" s="10"/>
      <c r="BD116" s="10"/>
      <c r="BE116" s="11">
        <v>0</v>
      </c>
      <c r="BF116" s="10"/>
      <c r="BG116" s="10"/>
      <c r="BH116" s="11">
        <v>0</v>
      </c>
      <c r="BI116" s="10"/>
      <c r="BJ116" s="10"/>
      <c r="BK116" s="11">
        <v>0</v>
      </c>
      <c r="BL116" s="10"/>
      <c r="BM116" s="10"/>
      <c r="BN116" s="11">
        <v>0</v>
      </c>
      <c r="BO116" s="10"/>
      <c r="BP116" s="10"/>
      <c r="BQ116" s="11">
        <v>0</v>
      </c>
      <c r="BR116" s="10"/>
      <c r="BS116" s="10"/>
      <c r="BT116" s="11">
        <v>0</v>
      </c>
      <c r="BU116" s="10"/>
      <c r="BV116" s="10"/>
      <c r="BW116" s="11">
        <v>0</v>
      </c>
      <c r="BX116" s="10">
        <v>302100</v>
      </c>
      <c r="BY116" s="10"/>
      <c r="BZ116" s="11">
        <f t="shared" ref="BZ116:BZ117" si="258">BY116/BX116</f>
        <v>0</v>
      </c>
      <c r="CA116" s="10">
        <v>232000</v>
      </c>
      <c r="CB116" s="10">
        <v>1291000</v>
      </c>
      <c r="CC116" s="11">
        <f t="shared" ref="CC116" si="259">CB116/CA116</f>
        <v>5.5646551724137927</v>
      </c>
      <c r="CD116" s="10"/>
      <c r="CE116" s="10"/>
      <c r="CF116" s="11">
        <v>0</v>
      </c>
      <c r="CG116" s="10"/>
      <c r="CH116" s="10"/>
      <c r="CI116" s="11">
        <v>0</v>
      </c>
      <c r="CJ116" s="10"/>
      <c r="CK116" s="10"/>
      <c r="CL116" s="11">
        <v>0</v>
      </c>
      <c r="CM116" s="10"/>
      <c r="CN116" s="10"/>
      <c r="CO116" s="11">
        <v>0</v>
      </c>
      <c r="CP116" s="10"/>
      <c r="CQ116" s="10"/>
      <c r="CR116" s="11">
        <v>0</v>
      </c>
      <c r="CS116" s="10"/>
      <c r="CT116" s="10"/>
      <c r="CU116" s="11">
        <v>0</v>
      </c>
      <c r="CV116" s="10"/>
      <c r="CW116" s="10"/>
      <c r="CX116" s="11">
        <v>0</v>
      </c>
      <c r="CY116" s="10"/>
      <c r="CZ116" s="10"/>
      <c r="DA116" s="11">
        <v>0</v>
      </c>
      <c r="DB116" s="10">
        <v>8523900</v>
      </c>
      <c r="DC116" s="10">
        <f t="shared" si="249"/>
        <v>2119000</v>
      </c>
      <c r="DD116" s="13">
        <f t="shared" si="250"/>
        <v>0.24859512664390712</v>
      </c>
      <c r="DE116" s="14"/>
    </row>
    <row r="117" spans="1:109" x14ac:dyDescent="0.35">
      <c r="A117" s="8" t="s">
        <v>292</v>
      </c>
      <c r="B117" s="9" t="s">
        <v>42</v>
      </c>
      <c r="C117" s="9" t="s">
        <v>43</v>
      </c>
      <c r="D117" s="9" t="s">
        <v>293</v>
      </c>
      <c r="E117" s="9" t="s">
        <v>45</v>
      </c>
      <c r="F117" s="9" t="s">
        <v>46</v>
      </c>
      <c r="G117" s="10"/>
      <c r="H117" s="10"/>
      <c r="I117" s="11">
        <v>0</v>
      </c>
      <c r="J117" s="10"/>
      <c r="K117" s="10"/>
      <c r="L117" s="12">
        <v>0</v>
      </c>
      <c r="M117" s="10"/>
      <c r="N117" s="10">
        <v>76000</v>
      </c>
      <c r="O117" s="11">
        <v>0</v>
      </c>
      <c r="P117" s="10"/>
      <c r="Q117" s="10">
        <v>95000</v>
      </c>
      <c r="R117" s="11">
        <v>0</v>
      </c>
      <c r="S117" s="10"/>
      <c r="T117" s="10"/>
      <c r="U117" s="11">
        <v>0</v>
      </c>
      <c r="V117" s="10"/>
      <c r="W117" s="10"/>
      <c r="X117" s="11">
        <v>0</v>
      </c>
      <c r="Y117" s="10"/>
      <c r="Z117" s="10"/>
      <c r="AA117" s="11"/>
      <c r="AB117" s="10"/>
      <c r="AC117" s="10"/>
      <c r="AD117" s="11">
        <v>0</v>
      </c>
      <c r="AE117" s="10"/>
      <c r="AF117" s="10"/>
      <c r="AG117" s="11">
        <v>0</v>
      </c>
      <c r="AH117" s="10"/>
      <c r="AI117" s="10">
        <v>76000</v>
      </c>
      <c r="AJ117" s="11">
        <v>0</v>
      </c>
      <c r="AK117" s="10"/>
      <c r="AL117" s="10">
        <v>10600</v>
      </c>
      <c r="AM117" s="11">
        <v>0</v>
      </c>
      <c r="AN117" s="10"/>
      <c r="AO117" s="10"/>
      <c r="AP117" s="11">
        <v>0</v>
      </c>
      <c r="AQ117" s="10"/>
      <c r="AR117" s="10"/>
      <c r="AS117" s="11">
        <v>0</v>
      </c>
      <c r="AT117" s="10"/>
      <c r="AU117" s="10"/>
      <c r="AV117" s="11">
        <v>0</v>
      </c>
      <c r="AW117" s="10"/>
      <c r="AX117" s="10"/>
      <c r="AY117" s="11">
        <v>0</v>
      </c>
      <c r="AZ117" s="10">
        <v>205000</v>
      </c>
      <c r="BA117" s="10">
        <v>180000</v>
      </c>
      <c r="BB117" s="11">
        <f t="shared" si="257"/>
        <v>0.87804878048780488</v>
      </c>
      <c r="BC117" s="10"/>
      <c r="BD117" s="10"/>
      <c r="BE117" s="11">
        <v>0</v>
      </c>
      <c r="BF117" s="10"/>
      <c r="BG117" s="10"/>
      <c r="BH117" s="11">
        <v>0</v>
      </c>
      <c r="BI117" s="10"/>
      <c r="BJ117" s="10">
        <v>3300</v>
      </c>
      <c r="BK117" s="11">
        <v>0</v>
      </c>
      <c r="BL117" s="10"/>
      <c r="BM117" s="10"/>
      <c r="BN117" s="11">
        <v>0</v>
      </c>
      <c r="BO117" s="10"/>
      <c r="BP117" s="10"/>
      <c r="BQ117" s="11">
        <v>0</v>
      </c>
      <c r="BR117" s="10"/>
      <c r="BS117" s="10">
        <v>42700</v>
      </c>
      <c r="BT117" s="11">
        <v>0</v>
      </c>
      <c r="BU117" s="10"/>
      <c r="BV117" s="10"/>
      <c r="BW117" s="11">
        <v>0</v>
      </c>
      <c r="BX117" s="10">
        <v>13780</v>
      </c>
      <c r="BY117" s="10"/>
      <c r="BZ117" s="11">
        <f t="shared" si="258"/>
        <v>0</v>
      </c>
      <c r="CA117" s="10"/>
      <c r="CB117" s="10"/>
      <c r="CC117" s="11">
        <v>0</v>
      </c>
      <c r="CD117" s="10">
        <v>500000</v>
      </c>
      <c r="CE117" s="10">
        <v>57800</v>
      </c>
      <c r="CF117" s="11">
        <f t="shared" ref="CF117" si="260">CE117/CD117</f>
        <v>0.11559999999999999</v>
      </c>
      <c r="CG117" s="10"/>
      <c r="CH117" s="10">
        <v>160620</v>
      </c>
      <c r="CI117" s="11">
        <v>0</v>
      </c>
      <c r="CJ117" s="10"/>
      <c r="CK117" s="10"/>
      <c r="CL117" s="11">
        <v>0</v>
      </c>
      <c r="CM117" s="10">
        <v>100000</v>
      </c>
      <c r="CN117" s="10"/>
      <c r="CO117" s="11">
        <v>0</v>
      </c>
      <c r="CP117" s="10">
        <v>200000</v>
      </c>
      <c r="CQ117" s="10">
        <v>25200</v>
      </c>
      <c r="CR117" s="11">
        <f t="shared" ref="CR117" si="261">CQ117/CP117</f>
        <v>0.126</v>
      </c>
      <c r="CS117" s="10"/>
      <c r="CT117" s="10">
        <v>527550</v>
      </c>
      <c r="CU117" s="11">
        <v>0</v>
      </c>
      <c r="CV117" s="10">
        <v>300000</v>
      </c>
      <c r="CW117" s="10">
        <v>559900</v>
      </c>
      <c r="CX117" s="11">
        <f t="shared" ref="CX117" si="262">CW117/CV117</f>
        <v>1.8663333333333334</v>
      </c>
      <c r="CY117" s="10"/>
      <c r="CZ117" s="10">
        <v>65000</v>
      </c>
      <c r="DA117" s="11">
        <v>0</v>
      </c>
      <c r="DB117" s="10">
        <v>1318780</v>
      </c>
      <c r="DC117" s="10">
        <f t="shared" si="249"/>
        <v>1879670</v>
      </c>
      <c r="DD117" s="13">
        <f t="shared" si="250"/>
        <v>1.4253097559865937</v>
      </c>
      <c r="DE117" s="14"/>
    </row>
    <row r="118" spans="1:109" x14ac:dyDescent="0.35">
      <c r="A118" s="8" t="s">
        <v>294</v>
      </c>
      <c r="B118" s="9" t="s">
        <v>140</v>
      </c>
      <c r="C118" s="9" t="s">
        <v>43</v>
      </c>
      <c r="D118" s="9" t="s">
        <v>295</v>
      </c>
      <c r="E118" s="9" t="s">
        <v>45</v>
      </c>
      <c r="F118" s="9" t="s">
        <v>46</v>
      </c>
      <c r="G118" s="10"/>
      <c r="H118" s="10"/>
      <c r="I118" s="11">
        <v>0</v>
      </c>
      <c r="J118" s="10"/>
      <c r="K118" s="10"/>
      <c r="L118" s="12">
        <v>0</v>
      </c>
      <c r="M118" s="10">
        <v>3360000</v>
      </c>
      <c r="N118" s="10">
        <v>1863500</v>
      </c>
      <c r="O118" s="11">
        <f t="shared" si="252"/>
        <v>0.55461309523809521</v>
      </c>
      <c r="P118" s="10"/>
      <c r="Q118" s="10"/>
      <c r="R118" s="11">
        <v>0</v>
      </c>
      <c r="S118" s="10"/>
      <c r="T118" s="10"/>
      <c r="U118" s="11">
        <v>0</v>
      </c>
      <c r="V118" s="10"/>
      <c r="W118" s="10"/>
      <c r="X118" s="11">
        <v>0</v>
      </c>
      <c r="Y118" s="10"/>
      <c r="Z118" s="10"/>
      <c r="AA118" s="11"/>
      <c r="AB118" s="10"/>
      <c r="AC118" s="10"/>
      <c r="AD118" s="11">
        <v>0</v>
      </c>
      <c r="AE118" s="10"/>
      <c r="AF118" s="10"/>
      <c r="AG118" s="11">
        <v>0</v>
      </c>
      <c r="AH118" s="10"/>
      <c r="AI118" s="10"/>
      <c r="AJ118" s="11">
        <v>0</v>
      </c>
      <c r="AK118" s="10"/>
      <c r="AL118" s="10"/>
      <c r="AM118" s="11">
        <v>0</v>
      </c>
      <c r="AN118" s="10"/>
      <c r="AO118" s="10"/>
      <c r="AP118" s="11">
        <v>0</v>
      </c>
      <c r="AQ118" s="10"/>
      <c r="AR118" s="10"/>
      <c r="AS118" s="11">
        <v>0</v>
      </c>
      <c r="AT118" s="10"/>
      <c r="AU118" s="10"/>
      <c r="AV118" s="11">
        <v>0</v>
      </c>
      <c r="AW118" s="10"/>
      <c r="AX118" s="10"/>
      <c r="AY118" s="11">
        <v>0</v>
      </c>
      <c r="AZ118" s="10"/>
      <c r="BA118" s="10"/>
      <c r="BB118" s="11">
        <v>0</v>
      </c>
      <c r="BC118" s="10"/>
      <c r="BD118" s="10"/>
      <c r="BE118" s="11">
        <v>0</v>
      </c>
      <c r="BF118" s="10"/>
      <c r="BG118" s="10"/>
      <c r="BH118" s="11">
        <v>0</v>
      </c>
      <c r="BI118" s="10"/>
      <c r="BJ118" s="10"/>
      <c r="BK118" s="11">
        <v>0</v>
      </c>
      <c r="BL118" s="10"/>
      <c r="BM118" s="10"/>
      <c r="BN118" s="11">
        <v>0</v>
      </c>
      <c r="BO118" s="10"/>
      <c r="BP118" s="10"/>
      <c r="BQ118" s="11">
        <v>0</v>
      </c>
      <c r="BR118" s="10"/>
      <c r="BS118" s="10"/>
      <c r="BT118" s="11">
        <v>0</v>
      </c>
      <c r="BU118" s="10"/>
      <c r="BV118" s="10"/>
      <c r="BW118" s="11">
        <v>0</v>
      </c>
      <c r="BX118" s="10"/>
      <c r="BY118" s="10"/>
      <c r="BZ118" s="11">
        <v>0</v>
      </c>
      <c r="CA118" s="10"/>
      <c r="CB118" s="10"/>
      <c r="CC118" s="11">
        <v>0</v>
      </c>
      <c r="CD118" s="10"/>
      <c r="CE118" s="10"/>
      <c r="CF118" s="11">
        <v>0</v>
      </c>
      <c r="CG118" s="10"/>
      <c r="CH118" s="10"/>
      <c r="CI118" s="11">
        <v>0</v>
      </c>
      <c r="CJ118" s="10"/>
      <c r="CK118" s="10"/>
      <c r="CL118" s="11">
        <v>0</v>
      </c>
      <c r="CM118" s="10"/>
      <c r="CN118" s="10"/>
      <c r="CO118" s="11">
        <v>0</v>
      </c>
      <c r="CP118" s="10"/>
      <c r="CQ118" s="10"/>
      <c r="CR118" s="11">
        <v>0</v>
      </c>
      <c r="CS118" s="10"/>
      <c r="CT118" s="10"/>
      <c r="CU118" s="11">
        <v>0</v>
      </c>
      <c r="CV118" s="10"/>
      <c r="CW118" s="10"/>
      <c r="CX118" s="11">
        <v>0</v>
      </c>
      <c r="CY118" s="10"/>
      <c r="CZ118" s="10"/>
      <c r="DA118" s="11">
        <v>0</v>
      </c>
      <c r="DB118" s="10">
        <v>3360000</v>
      </c>
      <c r="DC118" s="10">
        <f t="shared" si="249"/>
        <v>1863500</v>
      </c>
      <c r="DD118" s="13">
        <f t="shared" si="250"/>
        <v>0.55461309523809521</v>
      </c>
      <c r="DE118" s="14"/>
    </row>
    <row r="119" spans="1:109" x14ac:dyDescent="0.35">
      <c r="A119" s="8" t="s">
        <v>296</v>
      </c>
      <c r="B119" s="9" t="s">
        <v>108</v>
      </c>
      <c r="C119" s="9" t="s">
        <v>52</v>
      </c>
      <c r="D119" s="9" t="s">
        <v>297</v>
      </c>
      <c r="E119" s="9" t="s">
        <v>54</v>
      </c>
      <c r="F119" s="9" t="s">
        <v>55</v>
      </c>
      <c r="G119" s="10"/>
      <c r="H119" s="10"/>
      <c r="I119" s="11">
        <v>0</v>
      </c>
      <c r="J119" s="10"/>
      <c r="K119" s="10"/>
      <c r="L119" s="12">
        <v>0</v>
      </c>
      <c r="M119" s="10">
        <v>250000</v>
      </c>
      <c r="N119" s="10">
        <v>6480</v>
      </c>
      <c r="O119" s="11">
        <f t="shared" si="252"/>
        <v>2.5919999999999999E-2</v>
      </c>
      <c r="P119" s="10"/>
      <c r="Q119" s="10"/>
      <c r="R119" s="11">
        <v>0</v>
      </c>
      <c r="S119" s="10">
        <v>100000</v>
      </c>
      <c r="T119" s="10"/>
      <c r="U119" s="11">
        <f t="shared" ref="U119:U125" si="263">T119/S119</f>
        <v>0</v>
      </c>
      <c r="V119" s="10"/>
      <c r="W119" s="10"/>
      <c r="X119" s="11">
        <v>0</v>
      </c>
      <c r="Y119" s="10"/>
      <c r="Z119" s="10"/>
      <c r="AA119" s="11"/>
      <c r="AB119" s="10">
        <v>130000</v>
      </c>
      <c r="AC119" s="10">
        <v>3900</v>
      </c>
      <c r="AD119" s="11">
        <v>0.03</v>
      </c>
      <c r="AE119" s="10">
        <v>100000</v>
      </c>
      <c r="AF119" s="10">
        <v>2250</v>
      </c>
      <c r="AG119" s="11">
        <f t="shared" ref="AG119" si="264">AF119/AE119</f>
        <v>2.2499999999999999E-2</v>
      </c>
      <c r="AH119" s="10"/>
      <c r="AI119" s="10"/>
      <c r="AJ119" s="11">
        <v>0</v>
      </c>
      <c r="AK119" s="10"/>
      <c r="AL119" s="10"/>
      <c r="AM119" s="11">
        <v>0</v>
      </c>
      <c r="AN119" s="10"/>
      <c r="AO119" s="10"/>
      <c r="AP119" s="11">
        <v>0</v>
      </c>
      <c r="AQ119" s="10"/>
      <c r="AR119" s="10"/>
      <c r="AS119" s="11">
        <v>0</v>
      </c>
      <c r="AT119" s="10"/>
      <c r="AU119" s="10"/>
      <c r="AV119" s="11">
        <v>0</v>
      </c>
      <c r="AW119" s="10"/>
      <c r="AX119" s="10"/>
      <c r="AY119" s="11">
        <v>0</v>
      </c>
      <c r="AZ119" s="10"/>
      <c r="BA119" s="10"/>
      <c r="BB119" s="11">
        <v>0</v>
      </c>
      <c r="BC119" s="10"/>
      <c r="BD119" s="10"/>
      <c r="BE119" s="11">
        <v>0</v>
      </c>
      <c r="BF119" s="10">
        <v>200000</v>
      </c>
      <c r="BG119" s="10">
        <f>VLOOKUP(A:A,'[1]2026 Customer Brand Sales'!$A:$BA,53,0)</f>
        <v>19500</v>
      </c>
      <c r="BH119" s="11">
        <f t="shared" ref="BH119:BH125" si="265">BG119/BF119</f>
        <v>9.7500000000000003E-2</v>
      </c>
      <c r="BI119" s="10"/>
      <c r="BJ119" s="10">
        <v>4500</v>
      </c>
      <c r="BK119" s="11">
        <v>0</v>
      </c>
      <c r="BL119" s="10"/>
      <c r="BM119" s="10"/>
      <c r="BN119" s="11">
        <v>0</v>
      </c>
      <c r="BO119" s="10">
        <v>20000</v>
      </c>
      <c r="BP119" s="10"/>
      <c r="BQ119" s="11">
        <f t="shared" ref="BQ119:BQ124" si="266">BP119/BO119</f>
        <v>0</v>
      </c>
      <c r="BR119" s="10"/>
      <c r="BS119" s="10"/>
      <c r="BT119" s="11">
        <v>0</v>
      </c>
      <c r="BU119" s="10"/>
      <c r="BV119" s="10"/>
      <c r="BW119" s="11">
        <v>0</v>
      </c>
      <c r="BX119" s="10"/>
      <c r="BY119" s="10"/>
      <c r="BZ119" s="11">
        <v>0</v>
      </c>
      <c r="CA119" s="10"/>
      <c r="CB119" s="10"/>
      <c r="CC119" s="11">
        <v>0</v>
      </c>
      <c r="CD119" s="10"/>
      <c r="CE119" s="10"/>
      <c r="CF119" s="11">
        <v>0</v>
      </c>
      <c r="CG119" s="10"/>
      <c r="CH119" s="10"/>
      <c r="CI119" s="11">
        <v>0</v>
      </c>
      <c r="CJ119" s="10"/>
      <c r="CK119" s="10"/>
      <c r="CL119" s="11">
        <v>0</v>
      </c>
      <c r="CM119" s="10"/>
      <c r="CN119" s="10"/>
      <c r="CO119" s="11">
        <v>0</v>
      </c>
      <c r="CP119" s="10"/>
      <c r="CQ119" s="10"/>
      <c r="CR119" s="11">
        <v>0</v>
      </c>
      <c r="CS119" s="10"/>
      <c r="CT119" s="10"/>
      <c r="CU119" s="11">
        <v>0</v>
      </c>
      <c r="CV119" s="10"/>
      <c r="CW119" s="10"/>
      <c r="CX119" s="11">
        <v>0</v>
      </c>
      <c r="CY119" s="10"/>
      <c r="CZ119" s="10"/>
      <c r="DA119" s="11">
        <v>0</v>
      </c>
      <c r="DB119" s="10">
        <v>800000</v>
      </c>
      <c r="DC119" s="10">
        <f t="shared" si="249"/>
        <v>36630</v>
      </c>
      <c r="DD119" s="13">
        <f t="shared" si="250"/>
        <v>4.5787500000000002E-2</v>
      </c>
      <c r="DE119" s="14"/>
    </row>
    <row r="120" spans="1:109" x14ac:dyDescent="0.35">
      <c r="A120" s="8" t="s">
        <v>298</v>
      </c>
      <c r="B120" s="9" t="s">
        <v>108</v>
      </c>
      <c r="C120" s="9" t="s">
        <v>52</v>
      </c>
      <c r="D120" s="9" t="s">
        <v>299</v>
      </c>
      <c r="E120" s="9" t="s">
        <v>54</v>
      </c>
      <c r="F120" s="9" t="s">
        <v>55</v>
      </c>
      <c r="G120" s="10"/>
      <c r="H120" s="10"/>
      <c r="I120" s="11">
        <v>0</v>
      </c>
      <c r="J120" s="10"/>
      <c r="K120" s="10"/>
      <c r="L120" s="12">
        <v>0</v>
      </c>
      <c r="M120" s="10"/>
      <c r="N120" s="10"/>
      <c r="O120" s="11">
        <v>0</v>
      </c>
      <c r="P120" s="10"/>
      <c r="Q120" s="10">
        <v>38500</v>
      </c>
      <c r="R120" s="11">
        <v>0</v>
      </c>
      <c r="S120" s="10"/>
      <c r="T120" s="10"/>
      <c r="U120" s="11">
        <v>0</v>
      </c>
      <c r="V120" s="10">
        <v>100000</v>
      </c>
      <c r="W120" s="10"/>
      <c r="X120" s="11">
        <v>0</v>
      </c>
      <c r="Y120" s="10"/>
      <c r="Z120" s="10"/>
      <c r="AA120" s="11"/>
      <c r="AB120" s="10"/>
      <c r="AC120" s="10"/>
      <c r="AD120" s="11">
        <v>0</v>
      </c>
      <c r="AE120" s="10"/>
      <c r="AF120" s="10"/>
      <c r="AG120" s="11">
        <v>0</v>
      </c>
      <c r="AH120" s="10"/>
      <c r="AI120" s="10"/>
      <c r="AJ120" s="11">
        <v>0</v>
      </c>
      <c r="AK120" s="10">
        <v>200000</v>
      </c>
      <c r="AL120" s="10"/>
      <c r="AM120" s="11">
        <f t="shared" ref="AM120:AM122" si="267">AL120/AK120</f>
        <v>0</v>
      </c>
      <c r="AN120" s="10"/>
      <c r="AO120" s="10"/>
      <c r="AP120" s="11">
        <v>0</v>
      </c>
      <c r="AQ120" s="10"/>
      <c r="AR120" s="10"/>
      <c r="AS120" s="11">
        <v>0</v>
      </c>
      <c r="AT120" s="10"/>
      <c r="AU120" s="10">
        <v>46200</v>
      </c>
      <c r="AV120" s="11">
        <v>0</v>
      </c>
      <c r="AW120" s="10"/>
      <c r="AX120" s="10"/>
      <c r="AY120" s="11">
        <v>0</v>
      </c>
      <c r="AZ120" s="10"/>
      <c r="BA120" s="10"/>
      <c r="BB120" s="11">
        <v>0</v>
      </c>
      <c r="BC120" s="10"/>
      <c r="BD120" s="10"/>
      <c r="BE120" s="11">
        <v>0</v>
      </c>
      <c r="BF120" s="10">
        <v>3500000</v>
      </c>
      <c r="BG120" s="10">
        <f>VLOOKUP(A:A,'[1]2026 Customer Brand Sales'!$A:$BA,53,0)</f>
        <v>760705</v>
      </c>
      <c r="BH120" s="11">
        <f t="shared" si="265"/>
        <v>0.21734428571428571</v>
      </c>
      <c r="BI120" s="10"/>
      <c r="BJ120" s="10"/>
      <c r="BK120" s="11">
        <v>0</v>
      </c>
      <c r="BL120" s="10">
        <v>800000</v>
      </c>
      <c r="BM120" s="10">
        <v>254615</v>
      </c>
      <c r="BN120" s="11">
        <f t="shared" ref="BN120:BN125" si="268">BM120/BL120</f>
        <v>0.31826874999999999</v>
      </c>
      <c r="BO120" s="10">
        <v>50000</v>
      </c>
      <c r="BP120" s="10">
        <v>64930</v>
      </c>
      <c r="BQ120" s="11">
        <f t="shared" si="266"/>
        <v>1.2986</v>
      </c>
      <c r="BR120" s="10"/>
      <c r="BS120" s="10"/>
      <c r="BT120" s="11">
        <v>0</v>
      </c>
      <c r="BU120" s="10"/>
      <c r="BV120" s="10"/>
      <c r="BW120" s="11">
        <v>0</v>
      </c>
      <c r="BX120" s="10"/>
      <c r="BY120" s="10"/>
      <c r="BZ120" s="11">
        <v>0</v>
      </c>
      <c r="CA120" s="10"/>
      <c r="CB120" s="10"/>
      <c r="CC120" s="11">
        <v>0</v>
      </c>
      <c r="CD120" s="10"/>
      <c r="CE120" s="10"/>
      <c r="CF120" s="11">
        <v>0</v>
      </c>
      <c r="CG120" s="10"/>
      <c r="CH120" s="10"/>
      <c r="CI120" s="11">
        <v>0</v>
      </c>
      <c r="CJ120" s="10"/>
      <c r="CK120" s="10"/>
      <c r="CL120" s="11">
        <v>0</v>
      </c>
      <c r="CM120" s="10"/>
      <c r="CN120" s="10"/>
      <c r="CO120" s="11">
        <v>0</v>
      </c>
      <c r="CP120" s="10"/>
      <c r="CQ120" s="10"/>
      <c r="CR120" s="11">
        <v>0</v>
      </c>
      <c r="CS120" s="10"/>
      <c r="CT120" s="10"/>
      <c r="CU120" s="11">
        <v>0</v>
      </c>
      <c r="CV120" s="10"/>
      <c r="CW120" s="10"/>
      <c r="CX120" s="11">
        <v>0</v>
      </c>
      <c r="CY120" s="10"/>
      <c r="CZ120" s="10"/>
      <c r="DA120" s="11">
        <v>0</v>
      </c>
      <c r="DB120" s="10">
        <v>4650000</v>
      </c>
      <c r="DC120" s="10">
        <f t="shared" ref="DC120:DC125" si="269">SUM(H120,K120,N120,Q120,T120,W120,Z120,AC120,AF120,AI120,AL120,AO120,AR120,AU120,AX120,BA120,BD120,BG120,BJ120,BM120,BP120,BS120,BV120,BY120,CB120,CE120,CH120,CK120,CN120,CQ120,CT120,CW120,CZ120)</f>
        <v>1164950</v>
      </c>
      <c r="DD120" s="13">
        <f t="shared" ref="DD120:DD125" si="270">DC120/DB120</f>
        <v>0.25052688172043008</v>
      </c>
      <c r="DE120" s="14"/>
    </row>
    <row r="121" spans="1:109" x14ac:dyDescent="0.35">
      <c r="A121" s="8" t="s">
        <v>300</v>
      </c>
      <c r="B121" s="9" t="s">
        <v>118</v>
      </c>
      <c r="C121" s="9" t="s">
        <v>43</v>
      </c>
      <c r="D121" s="9" t="s">
        <v>301</v>
      </c>
      <c r="E121" s="9" t="s">
        <v>61</v>
      </c>
      <c r="F121" s="9" t="s">
        <v>62</v>
      </c>
      <c r="G121" s="10"/>
      <c r="H121" s="10"/>
      <c r="I121" s="11">
        <v>0</v>
      </c>
      <c r="J121" s="10"/>
      <c r="K121" s="10"/>
      <c r="L121" s="12">
        <v>0</v>
      </c>
      <c r="M121" s="10"/>
      <c r="N121" s="10"/>
      <c r="O121" s="11">
        <v>0</v>
      </c>
      <c r="P121" s="10"/>
      <c r="Q121" s="10"/>
      <c r="R121" s="11">
        <v>0</v>
      </c>
      <c r="S121" s="10"/>
      <c r="T121" s="10"/>
      <c r="U121" s="11">
        <v>0</v>
      </c>
      <c r="V121" s="10"/>
      <c r="W121" s="10">
        <v>360050</v>
      </c>
      <c r="X121" s="11">
        <v>0</v>
      </c>
      <c r="Y121" s="10"/>
      <c r="Z121" s="10"/>
      <c r="AA121" s="11"/>
      <c r="AB121" s="10"/>
      <c r="AC121" s="10"/>
      <c r="AD121" s="11">
        <v>0</v>
      </c>
      <c r="AE121" s="10"/>
      <c r="AF121" s="10"/>
      <c r="AG121" s="11">
        <v>0</v>
      </c>
      <c r="AH121" s="10"/>
      <c r="AI121" s="10"/>
      <c r="AJ121" s="11">
        <v>0</v>
      </c>
      <c r="AK121" s="10"/>
      <c r="AL121" s="10"/>
      <c r="AM121" s="11">
        <v>0</v>
      </c>
      <c r="AN121" s="10"/>
      <c r="AO121" s="10"/>
      <c r="AP121" s="11">
        <v>0</v>
      </c>
      <c r="AQ121" s="10"/>
      <c r="AR121" s="10"/>
      <c r="AS121" s="11">
        <v>0</v>
      </c>
      <c r="AT121" s="10"/>
      <c r="AU121" s="10"/>
      <c r="AV121" s="11">
        <v>0</v>
      </c>
      <c r="AW121" s="10"/>
      <c r="AX121" s="10"/>
      <c r="AY121" s="11">
        <v>0</v>
      </c>
      <c r="AZ121" s="10"/>
      <c r="BA121" s="10"/>
      <c r="BB121" s="11">
        <v>0</v>
      </c>
      <c r="BC121" s="10"/>
      <c r="BD121" s="10"/>
      <c r="BE121" s="11">
        <v>0</v>
      </c>
      <c r="BF121" s="10"/>
      <c r="BG121" s="10"/>
      <c r="BH121" s="11">
        <v>0</v>
      </c>
      <c r="BI121" s="10"/>
      <c r="BJ121" s="10"/>
      <c r="BK121" s="11">
        <v>0</v>
      </c>
      <c r="BL121" s="10"/>
      <c r="BM121" s="10"/>
      <c r="BN121" s="11">
        <v>0</v>
      </c>
      <c r="BO121" s="10"/>
      <c r="BP121" s="10"/>
      <c r="BQ121" s="11">
        <v>0</v>
      </c>
      <c r="BR121" s="10"/>
      <c r="BS121" s="10"/>
      <c r="BT121" s="11">
        <v>0</v>
      </c>
      <c r="BU121" s="10"/>
      <c r="BV121" s="10"/>
      <c r="BW121" s="11">
        <v>0</v>
      </c>
      <c r="BX121" s="10"/>
      <c r="BY121" s="10"/>
      <c r="BZ121" s="11">
        <v>0</v>
      </c>
      <c r="CA121" s="10"/>
      <c r="CB121" s="10"/>
      <c r="CC121" s="11">
        <v>0</v>
      </c>
      <c r="CD121" s="10"/>
      <c r="CE121" s="10"/>
      <c r="CF121" s="11">
        <v>0</v>
      </c>
      <c r="CG121" s="10"/>
      <c r="CH121" s="10"/>
      <c r="CI121" s="11">
        <v>0</v>
      </c>
      <c r="CJ121" s="10"/>
      <c r="CK121" s="10"/>
      <c r="CL121" s="11">
        <v>0</v>
      </c>
      <c r="CM121" s="10"/>
      <c r="CN121" s="10"/>
      <c r="CO121" s="11">
        <v>0</v>
      </c>
      <c r="CP121" s="10"/>
      <c r="CQ121" s="10"/>
      <c r="CR121" s="11">
        <v>0</v>
      </c>
      <c r="CS121" s="10"/>
      <c r="CT121" s="10"/>
      <c r="CU121" s="11">
        <v>0</v>
      </c>
      <c r="CV121" s="10"/>
      <c r="CW121" s="10"/>
      <c r="CX121" s="11">
        <v>0</v>
      </c>
      <c r="CY121" s="10"/>
      <c r="CZ121" s="10"/>
      <c r="DA121" s="11">
        <v>0</v>
      </c>
      <c r="DB121" s="10"/>
      <c r="DC121" s="10">
        <f t="shared" si="269"/>
        <v>360050</v>
      </c>
      <c r="DD121" s="13">
        <v>0</v>
      </c>
      <c r="DE121" s="14"/>
    </row>
    <row r="122" spans="1:109" x14ac:dyDescent="0.35">
      <c r="A122" s="8" t="s">
        <v>302</v>
      </c>
      <c r="B122" s="9" t="s">
        <v>77</v>
      </c>
      <c r="C122" s="9" t="s">
        <v>43</v>
      </c>
      <c r="D122" s="9" t="s">
        <v>303</v>
      </c>
      <c r="E122" s="9" t="s">
        <v>61</v>
      </c>
      <c r="F122" s="9" t="s">
        <v>62</v>
      </c>
      <c r="G122" s="10"/>
      <c r="H122" s="10"/>
      <c r="I122" s="11">
        <v>0</v>
      </c>
      <c r="J122" s="10"/>
      <c r="K122" s="10"/>
      <c r="L122" s="12">
        <v>0</v>
      </c>
      <c r="M122" s="10"/>
      <c r="N122" s="10"/>
      <c r="O122" s="11">
        <v>0</v>
      </c>
      <c r="P122" s="10"/>
      <c r="Q122" s="10"/>
      <c r="R122" s="11">
        <v>0</v>
      </c>
      <c r="S122" s="10"/>
      <c r="T122" s="10"/>
      <c r="U122" s="11">
        <v>0</v>
      </c>
      <c r="V122" s="10">
        <v>12000000</v>
      </c>
      <c r="W122" s="10">
        <v>2096700</v>
      </c>
      <c r="X122" s="11">
        <v>0.17472499999999999</v>
      </c>
      <c r="Y122" s="10"/>
      <c r="Z122" s="10"/>
      <c r="AA122" s="11"/>
      <c r="AB122" s="10"/>
      <c r="AC122" s="10"/>
      <c r="AD122" s="11">
        <v>0</v>
      </c>
      <c r="AE122" s="10"/>
      <c r="AF122" s="10"/>
      <c r="AG122" s="11">
        <v>0</v>
      </c>
      <c r="AH122" s="10"/>
      <c r="AI122" s="10"/>
      <c r="AJ122" s="11">
        <v>0</v>
      </c>
      <c r="AK122" s="10">
        <v>1500000</v>
      </c>
      <c r="AL122" s="10">
        <v>112000</v>
      </c>
      <c r="AM122" s="11">
        <f t="shared" si="267"/>
        <v>7.4666666666666673E-2</v>
      </c>
      <c r="AN122" s="10">
        <v>50000</v>
      </c>
      <c r="AO122" s="10"/>
      <c r="AP122" s="11">
        <f t="shared" ref="AP122" si="271">AO122/AN122</f>
        <v>0</v>
      </c>
      <c r="AQ122" s="10"/>
      <c r="AR122" s="10"/>
      <c r="AS122" s="11">
        <v>0</v>
      </c>
      <c r="AT122" s="10">
        <v>500000</v>
      </c>
      <c r="AU122" s="10"/>
      <c r="AV122" s="11">
        <f t="shared" ref="AV122:AV124" si="272">AU122/AT122</f>
        <v>0</v>
      </c>
      <c r="AW122" s="10"/>
      <c r="AX122" s="10"/>
      <c r="AY122" s="11">
        <v>0</v>
      </c>
      <c r="AZ122" s="10"/>
      <c r="BA122" s="10"/>
      <c r="BB122" s="11">
        <v>0</v>
      </c>
      <c r="BC122" s="10"/>
      <c r="BD122" s="10"/>
      <c r="BE122" s="11">
        <v>0</v>
      </c>
      <c r="BF122" s="10">
        <v>18700000</v>
      </c>
      <c r="BG122" s="10">
        <f>VLOOKUP(A:A,'[1]2026 Customer Brand Sales'!$A:$BA,53,0)</f>
        <v>18041655</v>
      </c>
      <c r="BH122" s="11">
        <f t="shared" si="265"/>
        <v>0.96479438502673798</v>
      </c>
      <c r="BI122" s="10">
        <v>300000</v>
      </c>
      <c r="BJ122" s="10"/>
      <c r="BK122" s="11">
        <f t="shared" ref="BK122:BK124" si="273">BJ122/BI122</f>
        <v>0</v>
      </c>
      <c r="BL122" s="10">
        <v>4000000</v>
      </c>
      <c r="BM122" s="10">
        <v>612250</v>
      </c>
      <c r="BN122" s="11">
        <f t="shared" si="268"/>
        <v>0.15306249999999999</v>
      </c>
      <c r="BO122" s="10">
        <v>200000</v>
      </c>
      <c r="BP122" s="10"/>
      <c r="BQ122" s="11">
        <f t="shared" si="266"/>
        <v>0</v>
      </c>
      <c r="BR122" s="10"/>
      <c r="BS122" s="10"/>
      <c r="BT122" s="11">
        <v>0</v>
      </c>
      <c r="BU122" s="10"/>
      <c r="BV122" s="10"/>
      <c r="BW122" s="11">
        <v>0</v>
      </c>
      <c r="BX122" s="10"/>
      <c r="BY122" s="10"/>
      <c r="BZ122" s="11">
        <v>0</v>
      </c>
      <c r="CA122" s="10"/>
      <c r="CB122" s="10"/>
      <c r="CC122" s="11">
        <v>0</v>
      </c>
      <c r="CD122" s="10"/>
      <c r="CE122" s="10"/>
      <c r="CF122" s="11">
        <v>0</v>
      </c>
      <c r="CG122" s="10"/>
      <c r="CH122" s="10"/>
      <c r="CI122" s="11">
        <v>0</v>
      </c>
      <c r="CJ122" s="10"/>
      <c r="CK122" s="10"/>
      <c r="CL122" s="11">
        <v>0</v>
      </c>
      <c r="CM122" s="10"/>
      <c r="CN122" s="10"/>
      <c r="CO122" s="11">
        <v>0</v>
      </c>
      <c r="CP122" s="10"/>
      <c r="CQ122" s="10"/>
      <c r="CR122" s="11">
        <v>0</v>
      </c>
      <c r="CS122" s="10"/>
      <c r="CT122" s="10"/>
      <c r="CU122" s="11">
        <v>0</v>
      </c>
      <c r="CV122" s="10"/>
      <c r="CW122" s="10"/>
      <c r="CX122" s="11">
        <v>0</v>
      </c>
      <c r="CY122" s="10"/>
      <c r="CZ122" s="10"/>
      <c r="DA122" s="11">
        <v>0</v>
      </c>
      <c r="DB122" s="10">
        <v>37250000</v>
      </c>
      <c r="DC122" s="10">
        <f t="shared" si="269"/>
        <v>20862605</v>
      </c>
      <c r="DD122" s="13">
        <f t="shared" si="270"/>
        <v>0.56006993288590601</v>
      </c>
      <c r="DE122" s="14"/>
    </row>
    <row r="123" spans="1:109" x14ac:dyDescent="0.35">
      <c r="A123" s="8" t="s">
        <v>304</v>
      </c>
      <c r="B123" s="9" t="s">
        <v>74</v>
      </c>
      <c r="C123" s="9" t="s">
        <v>52</v>
      </c>
      <c r="D123" s="9" t="s">
        <v>305</v>
      </c>
      <c r="E123" s="9" t="s">
        <v>54</v>
      </c>
      <c r="F123" s="9" t="s">
        <v>55</v>
      </c>
      <c r="G123" s="10"/>
      <c r="H123" s="10">
        <v>72500</v>
      </c>
      <c r="I123" s="11">
        <v>0</v>
      </c>
      <c r="J123" s="10"/>
      <c r="K123" s="10"/>
      <c r="L123" s="12">
        <v>0</v>
      </c>
      <c r="M123" s="10"/>
      <c r="N123" s="10"/>
      <c r="O123" s="11">
        <v>0</v>
      </c>
      <c r="P123" s="10"/>
      <c r="Q123" s="10"/>
      <c r="R123" s="11">
        <v>0</v>
      </c>
      <c r="S123" s="10"/>
      <c r="T123" s="10"/>
      <c r="U123" s="11">
        <v>0</v>
      </c>
      <c r="V123" s="10"/>
      <c r="W123" s="10"/>
      <c r="X123" s="11">
        <v>0</v>
      </c>
      <c r="Y123" s="10">
        <v>300000</v>
      </c>
      <c r="Z123" s="10">
        <v>160500</v>
      </c>
      <c r="AA123" s="11">
        <f t="shared" ref="AA123:AA124" si="274">Z123/Y123</f>
        <v>0.53500000000000003</v>
      </c>
      <c r="AB123" s="10"/>
      <c r="AC123" s="10"/>
      <c r="AD123" s="11">
        <v>0</v>
      </c>
      <c r="AE123" s="10"/>
      <c r="AF123" s="10"/>
      <c r="AG123" s="11">
        <v>0</v>
      </c>
      <c r="AH123" s="10"/>
      <c r="AI123" s="10"/>
      <c r="AJ123" s="11">
        <v>0</v>
      </c>
      <c r="AK123" s="10"/>
      <c r="AL123" s="10"/>
      <c r="AM123" s="11">
        <v>0</v>
      </c>
      <c r="AN123" s="10"/>
      <c r="AO123" s="10"/>
      <c r="AP123" s="11">
        <v>0</v>
      </c>
      <c r="AQ123" s="10"/>
      <c r="AR123" s="10"/>
      <c r="AS123" s="11">
        <v>0</v>
      </c>
      <c r="AT123" s="10"/>
      <c r="AU123" s="10"/>
      <c r="AV123" s="11">
        <v>0</v>
      </c>
      <c r="AW123" s="10"/>
      <c r="AX123" s="10"/>
      <c r="AY123" s="11">
        <v>0</v>
      </c>
      <c r="AZ123" s="10"/>
      <c r="BA123" s="10"/>
      <c r="BB123" s="11">
        <v>0</v>
      </c>
      <c r="BC123" s="10"/>
      <c r="BD123" s="10"/>
      <c r="BE123" s="11">
        <v>0</v>
      </c>
      <c r="BF123" s="10"/>
      <c r="BG123" s="10"/>
      <c r="BH123" s="11">
        <v>0</v>
      </c>
      <c r="BI123" s="10"/>
      <c r="BJ123" s="10"/>
      <c r="BK123" s="11">
        <v>0</v>
      </c>
      <c r="BL123" s="10"/>
      <c r="BM123" s="10"/>
      <c r="BN123" s="11">
        <v>0</v>
      </c>
      <c r="BO123" s="10"/>
      <c r="BP123" s="10"/>
      <c r="BQ123" s="11">
        <v>0</v>
      </c>
      <c r="BR123" s="10"/>
      <c r="BS123" s="10"/>
      <c r="BT123" s="11">
        <v>0</v>
      </c>
      <c r="BU123" s="10"/>
      <c r="BV123" s="10"/>
      <c r="BW123" s="11">
        <v>0</v>
      </c>
      <c r="BX123" s="10"/>
      <c r="BY123" s="10"/>
      <c r="BZ123" s="11">
        <v>0</v>
      </c>
      <c r="CA123" s="10"/>
      <c r="CB123" s="10"/>
      <c r="CC123" s="11">
        <v>0</v>
      </c>
      <c r="CD123" s="10"/>
      <c r="CE123" s="10"/>
      <c r="CF123" s="11">
        <v>0</v>
      </c>
      <c r="CG123" s="10"/>
      <c r="CH123" s="10"/>
      <c r="CI123" s="11">
        <v>0</v>
      </c>
      <c r="CJ123" s="10"/>
      <c r="CK123" s="10"/>
      <c r="CL123" s="11">
        <v>0</v>
      </c>
      <c r="CM123" s="10"/>
      <c r="CN123" s="10"/>
      <c r="CO123" s="11">
        <v>0</v>
      </c>
      <c r="CP123" s="10"/>
      <c r="CQ123" s="10"/>
      <c r="CR123" s="11">
        <v>0</v>
      </c>
      <c r="CS123" s="10"/>
      <c r="CT123" s="10">
        <v>75000</v>
      </c>
      <c r="CU123" s="11">
        <v>0</v>
      </c>
      <c r="CV123" s="10"/>
      <c r="CW123" s="10"/>
      <c r="CX123" s="11">
        <v>0</v>
      </c>
      <c r="CY123" s="10"/>
      <c r="CZ123" s="10"/>
      <c r="DA123" s="11">
        <v>0</v>
      </c>
      <c r="DB123" s="10">
        <v>300000</v>
      </c>
      <c r="DC123" s="10">
        <f t="shared" si="269"/>
        <v>308000</v>
      </c>
      <c r="DD123" s="13">
        <f t="shared" si="270"/>
        <v>1.0266666666666666</v>
      </c>
      <c r="DE123" s="14"/>
    </row>
    <row r="124" spans="1:109" x14ac:dyDescent="0.35">
      <c r="A124" s="8" t="s">
        <v>306</v>
      </c>
      <c r="B124" s="9" t="s">
        <v>108</v>
      </c>
      <c r="C124" s="9" t="s">
        <v>52</v>
      </c>
      <c r="D124" s="9" t="s">
        <v>307</v>
      </c>
      <c r="E124" s="9" t="s">
        <v>54</v>
      </c>
      <c r="F124" s="9" t="s">
        <v>55</v>
      </c>
      <c r="G124" s="10"/>
      <c r="H124" s="10">
        <v>574000</v>
      </c>
      <c r="I124" s="11">
        <v>0</v>
      </c>
      <c r="J124" s="10"/>
      <c r="K124" s="10"/>
      <c r="L124" s="12">
        <v>0</v>
      </c>
      <c r="M124" s="10"/>
      <c r="N124" s="10"/>
      <c r="O124" s="11">
        <v>0</v>
      </c>
      <c r="P124" s="10"/>
      <c r="Q124" s="10"/>
      <c r="R124" s="11">
        <v>0</v>
      </c>
      <c r="S124" s="10"/>
      <c r="T124" s="10"/>
      <c r="U124" s="11">
        <v>0</v>
      </c>
      <c r="V124" s="10"/>
      <c r="W124" s="10"/>
      <c r="X124" s="11">
        <v>0</v>
      </c>
      <c r="Y124" s="10">
        <v>250000</v>
      </c>
      <c r="Z124" s="10">
        <v>13000</v>
      </c>
      <c r="AA124" s="11">
        <f t="shared" si="274"/>
        <v>5.1999999999999998E-2</v>
      </c>
      <c r="AB124" s="10"/>
      <c r="AC124" s="10"/>
      <c r="AD124" s="11">
        <v>0</v>
      </c>
      <c r="AE124" s="10"/>
      <c r="AF124" s="10"/>
      <c r="AG124" s="11">
        <v>0</v>
      </c>
      <c r="AH124" s="10"/>
      <c r="AI124" s="10"/>
      <c r="AJ124" s="11">
        <v>0</v>
      </c>
      <c r="AK124" s="10"/>
      <c r="AL124" s="10"/>
      <c r="AM124" s="11">
        <v>0</v>
      </c>
      <c r="AN124" s="10"/>
      <c r="AO124" s="10"/>
      <c r="AP124" s="11">
        <v>0</v>
      </c>
      <c r="AQ124" s="10"/>
      <c r="AR124" s="10"/>
      <c r="AS124" s="11">
        <v>0</v>
      </c>
      <c r="AT124" s="10">
        <v>1000000</v>
      </c>
      <c r="AU124" s="10">
        <v>754050</v>
      </c>
      <c r="AV124" s="11">
        <f t="shared" si="272"/>
        <v>0.75405</v>
      </c>
      <c r="AW124" s="10">
        <v>500000</v>
      </c>
      <c r="AX124" s="10">
        <v>347300</v>
      </c>
      <c r="AY124" s="11">
        <f t="shared" ref="AY124" si="275">AX124/AW124</f>
        <v>0.6946</v>
      </c>
      <c r="AZ124" s="10"/>
      <c r="BA124" s="10"/>
      <c r="BB124" s="11">
        <v>0</v>
      </c>
      <c r="BC124" s="10">
        <v>1229099</v>
      </c>
      <c r="BD124" s="10"/>
      <c r="BE124" s="11">
        <f t="shared" ref="BE124" si="276">BD124/BC124</f>
        <v>0</v>
      </c>
      <c r="BF124" s="10">
        <v>39500000</v>
      </c>
      <c r="BG124" s="10">
        <f>VLOOKUP(A:A,'[1]2026 Customer Brand Sales'!$A:$BA,53,0)</f>
        <v>21578955</v>
      </c>
      <c r="BH124" s="11">
        <f t="shared" si="265"/>
        <v>0.54630265822784807</v>
      </c>
      <c r="BI124" s="10">
        <v>500000</v>
      </c>
      <c r="BJ124" s="10"/>
      <c r="BK124" s="11">
        <f t="shared" si="273"/>
        <v>0</v>
      </c>
      <c r="BL124" s="10">
        <v>5500000</v>
      </c>
      <c r="BM124" s="10">
        <v>2491160</v>
      </c>
      <c r="BN124" s="11">
        <f t="shared" si="268"/>
        <v>0.4529381818181818</v>
      </c>
      <c r="BO124" s="10">
        <v>700000</v>
      </c>
      <c r="BP124" s="10">
        <v>311375</v>
      </c>
      <c r="BQ124" s="11">
        <f t="shared" si="266"/>
        <v>0.44482142857142859</v>
      </c>
      <c r="BR124" s="10"/>
      <c r="BS124" s="10"/>
      <c r="BT124" s="11">
        <v>0</v>
      </c>
      <c r="BU124" s="10"/>
      <c r="BV124" s="10"/>
      <c r="BW124" s="11">
        <v>0</v>
      </c>
      <c r="BX124" s="10"/>
      <c r="BY124" s="10"/>
      <c r="BZ124" s="11">
        <v>0</v>
      </c>
      <c r="CA124" s="10"/>
      <c r="CB124" s="10"/>
      <c r="CC124" s="11">
        <v>0</v>
      </c>
      <c r="CD124" s="10"/>
      <c r="CE124" s="10"/>
      <c r="CF124" s="11">
        <v>0</v>
      </c>
      <c r="CG124" s="10"/>
      <c r="CH124" s="10"/>
      <c r="CI124" s="11">
        <v>0</v>
      </c>
      <c r="CJ124" s="10"/>
      <c r="CK124" s="10"/>
      <c r="CL124" s="11">
        <v>0</v>
      </c>
      <c r="CM124" s="10"/>
      <c r="CN124" s="10"/>
      <c r="CO124" s="11">
        <v>0</v>
      </c>
      <c r="CP124" s="10"/>
      <c r="CQ124" s="10"/>
      <c r="CR124" s="11">
        <v>0</v>
      </c>
      <c r="CS124" s="10"/>
      <c r="CT124" s="10"/>
      <c r="CU124" s="11">
        <v>0</v>
      </c>
      <c r="CV124" s="10"/>
      <c r="CW124" s="10"/>
      <c r="CX124" s="11">
        <v>0</v>
      </c>
      <c r="CY124" s="10"/>
      <c r="CZ124" s="10"/>
      <c r="DA124" s="11">
        <v>0</v>
      </c>
      <c r="DB124" s="10">
        <v>49179099</v>
      </c>
      <c r="DC124" s="10">
        <f t="shared" si="269"/>
        <v>26069840</v>
      </c>
      <c r="DD124" s="13">
        <f t="shared" si="270"/>
        <v>0.53009999227517368</v>
      </c>
      <c r="DE124" s="14"/>
    </row>
    <row r="125" spans="1:109" x14ac:dyDescent="0.35">
      <c r="A125" s="8" t="s">
        <v>308</v>
      </c>
      <c r="B125" s="9" t="s">
        <v>74</v>
      </c>
      <c r="C125" s="9" t="s">
        <v>52</v>
      </c>
      <c r="D125" s="9" t="s">
        <v>309</v>
      </c>
      <c r="E125" s="9" t="s">
        <v>54</v>
      </c>
      <c r="F125" s="9" t="s">
        <v>55</v>
      </c>
      <c r="G125" s="10"/>
      <c r="H125" s="10"/>
      <c r="I125" s="11">
        <v>0</v>
      </c>
      <c r="J125" s="10"/>
      <c r="K125" s="10"/>
      <c r="L125" s="12">
        <v>0</v>
      </c>
      <c r="M125" s="10"/>
      <c r="N125" s="10"/>
      <c r="O125" s="11">
        <v>0</v>
      </c>
      <c r="P125" s="10"/>
      <c r="Q125" s="10"/>
      <c r="R125" s="11">
        <v>0</v>
      </c>
      <c r="S125" s="10">
        <v>500000</v>
      </c>
      <c r="T125" s="10">
        <v>200150</v>
      </c>
      <c r="U125" s="11">
        <f t="shared" si="263"/>
        <v>0.40029999999999999</v>
      </c>
      <c r="V125" s="10"/>
      <c r="W125" s="10"/>
      <c r="X125" s="11">
        <v>0</v>
      </c>
      <c r="Y125" s="10"/>
      <c r="Z125" s="10"/>
      <c r="AA125" s="11"/>
      <c r="AB125" s="10"/>
      <c r="AC125" s="10"/>
      <c r="AD125" s="11">
        <v>0</v>
      </c>
      <c r="AE125" s="10"/>
      <c r="AF125" s="10"/>
      <c r="AG125" s="11">
        <v>0</v>
      </c>
      <c r="AH125" s="10"/>
      <c r="AI125" s="10"/>
      <c r="AJ125" s="11">
        <v>0</v>
      </c>
      <c r="AK125" s="10"/>
      <c r="AL125" s="10"/>
      <c r="AM125" s="11">
        <v>0</v>
      </c>
      <c r="AN125" s="10"/>
      <c r="AO125" s="10"/>
      <c r="AP125" s="11">
        <v>0</v>
      </c>
      <c r="AQ125" s="10"/>
      <c r="AR125" s="10"/>
      <c r="AS125" s="11">
        <v>0</v>
      </c>
      <c r="AT125" s="10"/>
      <c r="AU125" s="10">
        <v>14240</v>
      </c>
      <c r="AV125" s="11">
        <v>0</v>
      </c>
      <c r="AW125" s="10"/>
      <c r="AX125" s="10"/>
      <c r="AY125" s="11">
        <v>0</v>
      </c>
      <c r="AZ125" s="10"/>
      <c r="BA125" s="10"/>
      <c r="BB125" s="11">
        <v>0</v>
      </c>
      <c r="BC125" s="10"/>
      <c r="BD125" s="10"/>
      <c r="BE125" s="11">
        <v>0</v>
      </c>
      <c r="BF125" s="10">
        <v>1000000</v>
      </c>
      <c r="BG125" s="10">
        <f>VLOOKUP(A:A,'[1]2026 Customer Brand Sales'!$A:$BA,53,0)</f>
        <v>229995</v>
      </c>
      <c r="BH125" s="11">
        <f t="shared" si="265"/>
        <v>0.229995</v>
      </c>
      <c r="BI125" s="10"/>
      <c r="BJ125" s="10"/>
      <c r="BK125" s="11">
        <v>0</v>
      </c>
      <c r="BL125" s="10">
        <v>200000</v>
      </c>
      <c r="BM125" s="10"/>
      <c r="BN125" s="11">
        <f t="shared" si="268"/>
        <v>0</v>
      </c>
      <c r="BO125" s="10"/>
      <c r="BP125" s="10"/>
      <c r="BQ125" s="11">
        <v>0</v>
      </c>
      <c r="BR125" s="10">
        <v>50000</v>
      </c>
      <c r="BS125" s="10"/>
      <c r="BT125" s="11">
        <f t="shared" ref="BT125" si="277">BS125/BR125</f>
        <v>0</v>
      </c>
      <c r="BU125" s="10">
        <v>30000</v>
      </c>
      <c r="BV125" s="10"/>
      <c r="BW125" s="11">
        <f t="shared" ref="BW125" si="278">BV125/BU125</f>
        <v>0</v>
      </c>
      <c r="BX125" s="10"/>
      <c r="BY125" s="10"/>
      <c r="BZ125" s="11">
        <v>0</v>
      </c>
      <c r="CA125" s="10"/>
      <c r="CB125" s="10"/>
      <c r="CC125" s="11">
        <v>0</v>
      </c>
      <c r="CD125" s="10"/>
      <c r="CE125" s="10"/>
      <c r="CF125" s="11">
        <v>0</v>
      </c>
      <c r="CG125" s="10"/>
      <c r="CH125" s="10"/>
      <c r="CI125" s="11">
        <v>0</v>
      </c>
      <c r="CJ125" s="10"/>
      <c r="CK125" s="10"/>
      <c r="CL125" s="11">
        <v>0</v>
      </c>
      <c r="CM125" s="10"/>
      <c r="CN125" s="10"/>
      <c r="CO125" s="11">
        <v>0</v>
      </c>
      <c r="CP125" s="10"/>
      <c r="CQ125" s="10"/>
      <c r="CR125" s="11">
        <v>0</v>
      </c>
      <c r="CS125" s="10"/>
      <c r="CT125" s="10"/>
      <c r="CU125" s="11">
        <v>0</v>
      </c>
      <c r="CV125" s="10"/>
      <c r="CW125" s="10"/>
      <c r="CX125" s="11">
        <v>0</v>
      </c>
      <c r="CY125" s="10"/>
      <c r="CZ125" s="10"/>
      <c r="DA125" s="11">
        <v>0</v>
      </c>
      <c r="DB125" s="10">
        <v>1780000</v>
      </c>
      <c r="DC125" s="10">
        <f t="shared" si="269"/>
        <v>444385</v>
      </c>
      <c r="DD125" s="13">
        <f t="shared" si="270"/>
        <v>0.24965449438202247</v>
      </c>
      <c r="DE125" s="14"/>
    </row>
    <row r="126" spans="1:109" x14ac:dyDescent="0.35">
      <c r="A126" s="8" t="s">
        <v>310</v>
      </c>
      <c r="B126" s="9" t="s">
        <v>59</v>
      </c>
      <c r="C126" s="9" t="s">
        <v>43</v>
      </c>
      <c r="D126" s="9" t="s">
        <v>311</v>
      </c>
      <c r="E126" s="9" t="s">
        <v>61</v>
      </c>
      <c r="F126" s="9" t="s">
        <v>62</v>
      </c>
      <c r="G126" s="10">
        <v>1000000</v>
      </c>
      <c r="H126" s="10">
        <v>1195775</v>
      </c>
      <c r="I126" s="11">
        <f t="shared" ref="I126:I130" si="279">H126/G126</f>
        <v>1.195775</v>
      </c>
      <c r="J126" s="10">
        <v>300000</v>
      </c>
      <c r="K126" s="10"/>
      <c r="L126" s="11">
        <f t="shared" ref="L126:L130" si="280">K126/J126</f>
        <v>0</v>
      </c>
      <c r="M126" s="10"/>
      <c r="N126" s="10"/>
      <c r="O126" s="11">
        <v>0</v>
      </c>
      <c r="P126" s="10"/>
      <c r="Q126" s="10"/>
      <c r="R126" s="11">
        <v>0</v>
      </c>
      <c r="S126" s="10"/>
      <c r="T126" s="10"/>
      <c r="U126" s="11">
        <v>0</v>
      </c>
      <c r="V126" s="10"/>
      <c r="W126" s="10"/>
      <c r="X126" s="11">
        <v>0</v>
      </c>
      <c r="Y126" s="10"/>
      <c r="Z126" s="10"/>
      <c r="AA126" s="11"/>
      <c r="AB126" s="10"/>
      <c r="AC126" s="10"/>
      <c r="AD126" s="11">
        <v>0</v>
      </c>
      <c r="AE126" s="10"/>
      <c r="AF126" s="10"/>
      <c r="AG126" s="11">
        <v>0</v>
      </c>
      <c r="AH126" s="10"/>
      <c r="AI126" s="10"/>
      <c r="AJ126" s="11">
        <v>0</v>
      </c>
      <c r="AK126" s="10"/>
      <c r="AL126" s="10"/>
      <c r="AM126" s="11">
        <v>0</v>
      </c>
      <c r="AN126" s="10"/>
      <c r="AO126" s="10"/>
      <c r="AP126" s="11">
        <v>0</v>
      </c>
      <c r="AQ126" s="10"/>
      <c r="AR126" s="10"/>
      <c r="AS126" s="11">
        <v>0</v>
      </c>
      <c r="AT126" s="10">
        <v>500000</v>
      </c>
      <c r="AU126" s="10"/>
      <c r="AV126" s="11">
        <f t="shared" ref="AV126:AV130" si="281">AU126/AT126</f>
        <v>0</v>
      </c>
      <c r="AW126" s="10">
        <v>500000</v>
      </c>
      <c r="AX126" s="10"/>
      <c r="AY126" s="11">
        <f t="shared" ref="AY126:AY130" si="282">AX126/AW126</f>
        <v>0</v>
      </c>
      <c r="AZ126" s="10"/>
      <c r="BA126" s="10"/>
      <c r="BB126" s="11">
        <v>0</v>
      </c>
      <c r="BC126" s="10"/>
      <c r="BD126" s="10"/>
      <c r="BE126" s="11">
        <v>0</v>
      </c>
      <c r="BF126" s="10">
        <v>3000000</v>
      </c>
      <c r="BG126" s="10">
        <f>VLOOKUP(A:A,'[1]2026 Customer Brand Sales'!$A:$BA,53,0)</f>
        <v>1617905</v>
      </c>
      <c r="BH126" s="11">
        <f t="shared" ref="BH126:BH129" si="283">BG126/BF126</f>
        <v>0.53930166666666668</v>
      </c>
      <c r="BI126" s="10"/>
      <c r="BJ126" s="10"/>
      <c r="BK126" s="11">
        <v>0</v>
      </c>
      <c r="BL126" s="10">
        <v>300000</v>
      </c>
      <c r="BM126" s="10">
        <v>74615</v>
      </c>
      <c r="BN126" s="11">
        <f t="shared" ref="BN126:BN129" si="284">BM126/BL126</f>
        <v>0.24871666666666667</v>
      </c>
      <c r="BO126" s="10"/>
      <c r="BP126" s="10">
        <v>63600</v>
      </c>
      <c r="BQ126" s="11">
        <v>0</v>
      </c>
      <c r="BR126" s="10"/>
      <c r="BS126" s="10"/>
      <c r="BT126" s="11">
        <v>0</v>
      </c>
      <c r="BU126" s="10"/>
      <c r="BV126" s="10"/>
      <c r="BW126" s="11">
        <v>0</v>
      </c>
      <c r="BX126" s="10"/>
      <c r="BY126" s="10"/>
      <c r="BZ126" s="11">
        <v>0</v>
      </c>
      <c r="CA126" s="10"/>
      <c r="CB126" s="10"/>
      <c r="CC126" s="11">
        <v>0</v>
      </c>
      <c r="CD126" s="10"/>
      <c r="CE126" s="10"/>
      <c r="CF126" s="11">
        <v>0</v>
      </c>
      <c r="CG126" s="10"/>
      <c r="CH126" s="10"/>
      <c r="CI126" s="11">
        <v>0</v>
      </c>
      <c r="CJ126" s="10"/>
      <c r="CK126" s="10"/>
      <c r="CL126" s="11">
        <v>0</v>
      </c>
      <c r="CM126" s="10"/>
      <c r="CN126" s="10"/>
      <c r="CO126" s="11">
        <v>0</v>
      </c>
      <c r="CP126" s="10"/>
      <c r="CQ126" s="10"/>
      <c r="CR126" s="11">
        <v>0</v>
      </c>
      <c r="CS126" s="10"/>
      <c r="CT126" s="10"/>
      <c r="CU126" s="11">
        <v>0</v>
      </c>
      <c r="CV126" s="10"/>
      <c r="CW126" s="10"/>
      <c r="CX126" s="11">
        <v>0</v>
      </c>
      <c r="CY126" s="10"/>
      <c r="CZ126" s="10"/>
      <c r="DA126" s="11">
        <v>0</v>
      </c>
      <c r="DB126" s="10">
        <v>5600000</v>
      </c>
      <c r="DC126" s="10">
        <f t="shared" ref="DC126:DC130" si="285">SUM(H126,K126,N126,Q126,T126,W126,Z126,AC126,AF126,AI126,AL126,AO126,AR126,AU126,AX126,BA126,BD126,BG126,BJ126,BM126,BP126,BS126,BV126,BY126,CB126,CE126,CH126,CK126,CN126,CQ126,CT126,CW126,CZ126)</f>
        <v>2951895</v>
      </c>
      <c r="DD126" s="13">
        <f t="shared" ref="DD126:DD131" si="286">DC126/DB126</f>
        <v>0.52712410714285718</v>
      </c>
      <c r="DE126" s="14"/>
    </row>
    <row r="127" spans="1:109" x14ac:dyDescent="0.35">
      <c r="A127" s="8" t="s">
        <v>312</v>
      </c>
      <c r="B127" s="9" t="s">
        <v>111</v>
      </c>
      <c r="C127" s="9" t="s">
        <v>52</v>
      </c>
      <c r="D127" s="9" t="s">
        <v>313</v>
      </c>
      <c r="E127" s="9" t="s">
        <v>54</v>
      </c>
      <c r="F127" s="9" t="s">
        <v>55</v>
      </c>
      <c r="G127" s="10"/>
      <c r="H127" s="10"/>
      <c r="I127" s="11">
        <v>0</v>
      </c>
      <c r="J127" s="10"/>
      <c r="K127" s="10"/>
      <c r="L127" s="12">
        <v>0</v>
      </c>
      <c r="M127" s="10">
        <v>200000</v>
      </c>
      <c r="N127" s="10">
        <v>5200</v>
      </c>
      <c r="O127" s="11">
        <f t="shared" ref="O127:O129" si="287">N127/M127</f>
        <v>2.5999999999999999E-2</v>
      </c>
      <c r="P127" s="10"/>
      <c r="Q127" s="10"/>
      <c r="R127" s="11">
        <v>0</v>
      </c>
      <c r="S127" s="10"/>
      <c r="T127" s="10"/>
      <c r="U127" s="11">
        <v>0</v>
      </c>
      <c r="V127" s="10"/>
      <c r="W127" s="10"/>
      <c r="X127" s="11">
        <v>0</v>
      </c>
      <c r="Y127" s="10">
        <v>100000</v>
      </c>
      <c r="Z127" s="10"/>
      <c r="AA127" s="11">
        <f t="shared" ref="AA127:AA128" si="288">Z127/Y127</f>
        <v>0</v>
      </c>
      <c r="AB127" s="10"/>
      <c r="AC127" s="10"/>
      <c r="AD127" s="11">
        <v>0</v>
      </c>
      <c r="AE127" s="10"/>
      <c r="AF127" s="10"/>
      <c r="AG127" s="11">
        <v>0</v>
      </c>
      <c r="AH127" s="10"/>
      <c r="AI127" s="10"/>
      <c r="AJ127" s="11">
        <v>0</v>
      </c>
      <c r="AK127" s="10"/>
      <c r="AL127" s="10"/>
      <c r="AM127" s="11">
        <v>0</v>
      </c>
      <c r="AN127" s="10"/>
      <c r="AO127" s="10"/>
      <c r="AP127" s="11">
        <v>0</v>
      </c>
      <c r="AQ127" s="10"/>
      <c r="AR127" s="10"/>
      <c r="AS127" s="11">
        <v>0</v>
      </c>
      <c r="AT127" s="10"/>
      <c r="AU127" s="10"/>
      <c r="AV127" s="11">
        <v>0</v>
      </c>
      <c r="AW127" s="10"/>
      <c r="AX127" s="10"/>
      <c r="AY127" s="11">
        <v>0</v>
      </c>
      <c r="AZ127" s="10"/>
      <c r="BA127" s="10"/>
      <c r="BB127" s="11">
        <v>0</v>
      </c>
      <c r="BC127" s="10"/>
      <c r="BD127" s="10"/>
      <c r="BE127" s="11">
        <v>0</v>
      </c>
      <c r="BF127" s="10"/>
      <c r="BG127" s="10"/>
      <c r="BH127" s="11">
        <v>0</v>
      </c>
      <c r="BI127" s="10"/>
      <c r="BJ127" s="10"/>
      <c r="BK127" s="11">
        <v>0</v>
      </c>
      <c r="BL127" s="10"/>
      <c r="BM127" s="10"/>
      <c r="BN127" s="11">
        <v>0</v>
      </c>
      <c r="BO127" s="10"/>
      <c r="BP127" s="10"/>
      <c r="BQ127" s="11">
        <v>0</v>
      </c>
      <c r="BR127" s="10"/>
      <c r="BS127" s="10"/>
      <c r="BT127" s="11">
        <v>0</v>
      </c>
      <c r="BU127" s="10"/>
      <c r="BV127" s="10"/>
      <c r="BW127" s="11">
        <v>0</v>
      </c>
      <c r="BX127" s="10"/>
      <c r="BY127" s="10"/>
      <c r="BZ127" s="11">
        <v>0</v>
      </c>
      <c r="CA127" s="10"/>
      <c r="CB127" s="10"/>
      <c r="CC127" s="11">
        <v>0</v>
      </c>
      <c r="CD127" s="10"/>
      <c r="CE127" s="10"/>
      <c r="CF127" s="11">
        <v>0</v>
      </c>
      <c r="CG127" s="10"/>
      <c r="CH127" s="10"/>
      <c r="CI127" s="11">
        <v>0</v>
      </c>
      <c r="CJ127" s="10"/>
      <c r="CK127" s="10"/>
      <c r="CL127" s="11">
        <v>0</v>
      </c>
      <c r="CM127" s="10"/>
      <c r="CN127" s="10"/>
      <c r="CO127" s="11">
        <v>0</v>
      </c>
      <c r="CP127" s="10"/>
      <c r="CQ127" s="10"/>
      <c r="CR127" s="11">
        <v>0</v>
      </c>
      <c r="CS127" s="10"/>
      <c r="CT127" s="10"/>
      <c r="CU127" s="11">
        <v>0</v>
      </c>
      <c r="CV127" s="10"/>
      <c r="CW127" s="10"/>
      <c r="CX127" s="11">
        <v>0</v>
      </c>
      <c r="CY127" s="10"/>
      <c r="CZ127" s="10"/>
      <c r="DA127" s="11">
        <v>0</v>
      </c>
      <c r="DB127" s="10">
        <v>300000</v>
      </c>
      <c r="DC127" s="10">
        <f t="shared" si="285"/>
        <v>5200</v>
      </c>
      <c r="DD127" s="13">
        <f t="shared" si="286"/>
        <v>1.7333333333333333E-2</v>
      </c>
      <c r="DE127" s="14"/>
    </row>
    <row r="128" spans="1:109" x14ac:dyDescent="0.35">
      <c r="A128" s="8" t="s">
        <v>314</v>
      </c>
      <c r="B128" s="9" t="s">
        <v>77</v>
      </c>
      <c r="C128" s="9" t="s">
        <v>43</v>
      </c>
      <c r="D128" s="9" t="s">
        <v>315</v>
      </c>
      <c r="E128" s="9" t="s">
        <v>61</v>
      </c>
      <c r="F128" s="9" t="s">
        <v>62</v>
      </c>
      <c r="G128" s="10"/>
      <c r="H128" s="10">
        <v>88000</v>
      </c>
      <c r="I128" s="11">
        <v>0</v>
      </c>
      <c r="J128" s="10"/>
      <c r="K128" s="10">
        <v>143500</v>
      </c>
      <c r="L128" s="12">
        <v>0</v>
      </c>
      <c r="M128" s="10"/>
      <c r="N128" s="10"/>
      <c r="O128" s="11">
        <v>0</v>
      </c>
      <c r="P128" s="10"/>
      <c r="Q128" s="10"/>
      <c r="R128" s="11">
        <v>0</v>
      </c>
      <c r="S128" s="10"/>
      <c r="T128" s="10"/>
      <c r="U128" s="11">
        <v>0</v>
      </c>
      <c r="V128" s="10"/>
      <c r="W128" s="10"/>
      <c r="X128" s="11">
        <v>0</v>
      </c>
      <c r="Y128" s="10">
        <v>50000</v>
      </c>
      <c r="Z128" s="10"/>
      <c r="AA128" s="11">
        <f t="shared" si="288"/>
        <v>0</v>
      </c>
      <c r="AB128" s="10">
        <v>150000</v>
      </c>
      <c r="AC128" s="10">
        <v>30000</v>
      </c>
      <c r="AD128" s="11">
        <v>0.2</v>
      </c>
      <c r="AE128" s="10">
        <v>800000</v>
      </c>
      <c r="AF128" s="10">
        <v>553900</v>
      </c>
      <c r="AG128" s="11">
        <f t="shared" ref="AG128:AG129" si="289">AF128/AE128</f>
        <v>0.69237499999999996</v>
      </c>
      <c r="AH128" s="10"/>
      <c r="AI128" s="10"/>
      <c r="AJ128" s="11">
        <v>0</v>
      </c>
      <c r="AK128" s="10"/>
      <c r="AL128" s="10"/>
      <c r="AM128" s="11">
        <v>0</v>
      </c>
      <c r="AN128" s="10"/>
      <c r="AO128" s="10"/>
      <c r="AP128" s="11">
        <v>0</v>
      </c>
      <c r="AQ128" s="10"/>
      <c r="AR128" s="10"/>
      <c r="AS128" s="11">
        <v>0</v>
      </c>
      <c r="AT128" s="10">
        <v>500000</v>
      </c>
      <c r="AU128" s="10">
        <v>57000</v>
      </c>
      <c r="AV128" s="11">
        <f t="shared" si="281"/>
        <v>0.114</v>
      </c>
      <c r="AW128" s="10"/>
      <c r="AX128" s="10"/>
      <c r="AY128" s="11">
        <v>0</v>
      </c>
      <c r="AZ128" s="10"/>
      <c r="BA128" s="10"/>
      <c r="BB128" s="11">
        <v>0</v>
      </c>
      <c r="BC128" s="10"/>
      <c r="BD128" s="10"/>
      <c r="BE128" s="11">
        <v>0</v>
      </c>
      <c r="BF128" s="10"/>
      <c r="BG128" s="10"/>
      <c r="BH128" s="11">
        <v>0</v>
      </c>
      <c r="BI128" s="10"/>
      <c r="BJ128" s="10"/>
      <c r="BK128" s="11">
        <v>0</v>
      </c>
      <c r="BL128" s="10"/>
      <c r="BM128" s="10"/>
      <c r="BN128" s="11">
        <v>0</v>
      </c>
      <c r="BO128" s="10">
        <v>500000</v>
      </c>
      <c r="BP128" s="10">
        <v>302970</v>
      </c>
      <c r="BQ128" s="11">
        <f t="shared" ref="BQ128:BQ130" si="290">BP128/BO128</f>
        <v>0.60594000000000003</v>
      </c>
      <c r="BR128" s="10"/>
      <c r="BS128" s="10"/>
      <c r="BT128" s="11">
        <v>0</v>
      </c>
      <c r="BU128" s="10"/>
      <c r="BV128" s="10"/>
      <c r="BW128" s="11">
        <v>0</v>
      </c>
      <c r="BX128" s="10"/>
      <c r="BY128" s="10"/>
      <c r="BZ128" s="11">
        <v>0</v>
      </c>
      <c r="CA128" s="10"/>
      <c r="CB128" s="10"/>
      <c r="CC128" s="11">
        <v>0</v>
      </c>
      <c r="CD128" s="10"/>
      <c r="CE128" s="10"/>
      <c r="CF128" s="11">
        <v>0</v>
      </c>
      <c r="CG128" s="10"/>
      <c r="CH128" s="10"/>
      <c r="CI128" s="11">
        <v>0</v>
      </c>
      <c r="CJ128" s="10"/>
      <c r="CK128" s="10"/>
      <c r="CL128" s="11">
        <v>0</v>
      </c>
      <c r="CM128" s="10"/>
      <c r="CN128" s="10"/>
      <c r="CO128" s="11">
        <v>0</v>
      </c>
      <c r="CP128" s="10"/>
      <c r="CQ128" s="10"/>
      <c r="CR128" s="11">
        <v>0</v>
      </c>
      <c r="CS128" s="10"/>
      <c r="CT128" s="10"/>
      <c r="CU128" s="11">
        <v>0</v>
      </c>
      <c r="CV128" s="10"/>
      <c r="CW128" s="10"/>
      <c r="CX128" s="11">
        <v>0</v>
      </c>
      <c r="CY128" s="10"/>
      <c r="CZ128" s="10"/>
      <c r="DA128" s="11">
        <v>0</v>
      </c>
      <c r="DB128" s="10">
        <v>2000000</v>
      </c>
      <c r="DC128" s="10">
        <f t="shared" si="285"/>
        <v>1175370</v>
      </c>
      <c r="DD128" s="13">
        <f t="shared" si="286"/>
        <v>0.58768500000000001</v>
      </c>
      <c r="DE128" s="14"/>
    </row>
    <row r="129" spans="1:109" x14ac:dyDescent="0.35">
      <c r="A129" s="8" t="s">
        <v>316</v>
      </c>
      <c r="B129" s="9" t="s">
        <v>108</v>
      </c>
      <c r="C129" s="9" t="s">
        <v>52</v>
      </c>
      <c r="D129" s="9" t="s">
        <v>317</v>
      </c>
      <c r="E129" s="9" t="s">
        <v>54</v>
      </c>
      <c r="F129" s="9" t="s">
        <v>55</v>
      </c>
      <c r="G129" s="10"/>
      <c r="H129" s="10">
        <v>18000</v>
      </c>
      <c r="I129" s="11">
        <v>0</v>
      </c>
      <c r="J129" s="10"/>
      <c r="K129" s="10"/>
      <c r="L129" s="12">
        <v>0</v>
      </c>
      <c r="M129" s="10">
        <v>100000</v>
      </c>
      <c r="N129" s="10">
        <v>51520</v>
      </c>
      <c r="O129" s="11">
        <f t="shared" si="287"/>
        <v>0.51519999999999999</v>
      </c>
      <c r="P129" s="10"/>
      <c r="Q129" s="10"/>
      <c r="R129" s="11">
        <v>0</v>
      </c>
      <c r="S129" s="10">
        <v>100000</v>
      </c>
      <c r="T129" s="10">
        <v>18230</v>
      </c>
      <c r="U129" s="11">
        <f t="shared" ref="U129" si="291">T129/S129</f>
        <v>0.18229999999999999</v>
      </c>
      <c r="V129" s="10"/>
      <c r="W129" s="10">
        <v>9450</v>
      </c>
      <c r="X129" s="11">
        <v>0</v>
      </c>
      <c r="Y129" s="10"/>
      <c r="Z129" s="10"/>
      <c r="AA129" s="11"/>
      <c r="AB129" s="10">
        <v>100000</v>
      </c>
      <c r="AC129" s="10">
        <v>2700</v>
      </c>
      <c r="AD129" s="11">
        <v>2.7E-2</v>
      </c>
      <c r="AE129" s="10">
        <v>100000</v>
      </c>
      <c r="AF129" s="10">
        <v>7800</v>
      </c>
      <c r="AG129" s="11">
        <f t="shared" si="289"/>
        <v>7.8E-2</v>
      </c>
      <c r="AH129" s="10"/>
      <c r="AI129" s="10"/>
      <c r="AJ129" s="11">
        <v>0</v>
      </c>
      <c r="AK129" s="10">
        <v>200000</v>
      </c>
      <c r="AL129" s="10"/>
      <c r="AM129" s="11">
        <f t="shared" ref="AM129:AM130" si="292">AL129/AK129</f>
        <v>0</v>
      </c>
      <c r="AN129" s="10"/>
      <c r="AO129" s="10"/>
      <c r="AP129" s="11">
        <v>0</v>
      </c>
      <c r="AQ129" s="10"/>
      <c r="AR129" s="10"/>
      <c r="AS129" s="11">
        <v>0</v>
      </c>
      <c r="AT129" s="10"/>
      <c r="AU129" s="10">
        <v>53580</v>
      </c>
      <c r="AV129" s="11">
        <v>0</v>
      </c>
      <c r="AW129" s="10"/>
      <c r="AX129" s="10"/>
      <c r="AY129" s="11">
        <v>0</v>
      </c>
      <c r="AZ129" s="10"/>
      <c r="BA129" s="10"/>
      <c r="BB129" s="11">
        <v>0</v>
      </c>
      <c r="BC129" s="10"/>
      <c r="BD129" s="10"/>
      <c r="BE129" s="11">
        <v>0</v>
      </c>
      <c r="BF129" s="10">
        <v>1200000</v>
      </c>
      <c r="BG129" s="10">
        <f>VLOOKUP(A:A,'[1]2026 Customer Brand Sales'!$A:$BA,53,0)</f>
        <v>367615</v>
      </c>
      <c r="BH129" s="11">
        <f t="shared" si="283"/>
        <v>0.30634583333333332</v>
      </c>
      <c r="BI129" s="10"/>
      <c r="BJ129" s="10"/>
      <c r="BK129" s="11">
        <v>0</v>
      </c>
      <c r="BL129" s="10">
        <v>200000</v>
      </c>
      <c r="BM129" s="10">
        <v>15680</v>
      </c>
      <c r="BN129" s="11">
        <f t="shared" si="284"/>
        <v>7.8399999999999997E-2</v>
      </c>
      <c r="BO129" s="10">
        <v>20000</v>
      </c>
      <c r="BP129" s="10"/>
      <c r="BQ129" s="11">
        <f t="shared" si="290"/>
        <v>0</v>
      </c>
      <c r="BR129" s="10"/>
      <c r="BS129" s="10"/>
      <c r="BT129" s="11">
        <v>0</v>
      </c>
      <c r="BU129" s="10"/>
      <c r="BV129" s="10"/>
      <c r="BW129" s="11">
        <v>0</v>
      </c>
      <c r="BX129" s="10"/>
      <c r="BY129" s="10"/>
      <c r="BZ129" s="11">
        <v>0</v>
      </c>
      <c r="CA129" s="10"/>
      <c r="CB129" s="10"/>
      <c r="CC129" s="11">
        <v>0</v>
      </c>
      <c r="CD129" s="10"/>
      <c r="CE129" s="10"/>
      <c r="CF129" s="11">
        <v>0</v>
      </c>
      <c r="CG129" s="10"/>
      <c r="CH129" s="10"/>
      <c r="CI129" s="11">
        <v>0</v>
      </c>
      <c r="CJ129" s="10"/>
      <c r="CK129" s="10"/>
      <c r="CL129" s="11">
        <v>0</v>
      </c>
      <c r="CM129" s="10"/>
      <c r="CN129" s="10"/>
      <c r="CO129" s="11">
        <v>0</v>
      </c>
      <c r="CP129" s="10"/>
      <c r="CQ129" s="10"/>
      <c r="CR129" s="11">
        <v>0</v>
      </c>
      <c r="CS129" s="10"/>
      <c r="CT129" s="10"/>
      <c r="CU129" s="11">
        <v>0</v>
      </c>
      <c r="CV129" s="10"/>
      <c r="CW129" s="10"/>
      <c r="CX129" s="11">
        <v>0</v>
      </c>
      <c r="CY129" s="10"/>
      <c r="CZ129" s="10"/>
      <c r="DA129" s="11">
        <v>0</v>
      </c>
      <c r="DB129" s="10">
        <v>2020000</v>
      </c>
      <c r="DC129" s="10">
        <f t="shared" si="285"/>
        <v>544575</v>
      </c>
      <c r="DD129" s="13">
        <f t="shared" si="286"/>
        <v>0.26959158415841583</v>
      </c>
      <c r="DE129" s="14"/>
    </row>
    <row r="130" spans="1:109" x14ac:dyDescent="0.35">
      <c r="A130" s="8" t="s">
        <v>318</v>
      </c>
      <c r="B130" s="9" t="s">
        <v>59</v>
      </c>
      <c r="C130" s="9" t="s">
        <v>43</v>
      </c>
      <c r="D130" s="9" t="s">
        <v>319</v>
      </c>
      <c r="E130" s="9" t="s">
        <v>61</v>
      </c>
      <c r="F130" s="9" t="s">
        <v>62</v>
      </c>
      <c r="G130" s="10">
        <v>7000000</v>
      </c>
      <c r="H130" s="10">
        <v>6097600</v>
      </c>
      <c r="I130" s="11">
        <f t="shared" si="279"/>
        <v>0.87108571428571424</v>
      </c>
      <c r="J130" s="10">
        <v>2000000</v>
      </c>
      <c r="K130" s="10">
        <v>575450</v>
      </c>
      <c r="L130" s="11">
        <f t="shared" si="280"/>
        <v>0.28772500000000001</v>
      </c>
      <c r="M130" s="10"/>
      <c r="N130" s="10"/>
      <c r="O130" s="11">
        <v>0</v>
      </c>
      <c r="P130" s="10"/>
      <c r="Q130" s="10"/>
      <c r="R130" s="11">
        <v>0</v>
      </c>
      <c r="S130" s="10"/>
      <c r="T130" s="10"/>
      <c r="U130" s="11">
        <v>0</v>
      </c>
      <c r="V130" s="10"/>
      <c r="W130" s="10"/>
      <c r="X130" s="11">
        <v>0</v>
      </c>
      <c r="Y130" s="10"/>
      <c r="Z130" s="10"/>
      <c r="AA130" s="11"/>
      <c r="AB130" s="10"/>
      <c r="AC130" s="10"/>
      <c r="AD130" s="11">
        <v>0</v>
      </c>
      <c r="AE130" s="10"/>
      <c r="AF130" s="10"/>
      <c r="AG130" s="11">
        <v>0</v>
      </c>
      <c r="AH130" s="10"/>
      <c r="AI130" s="10"/>
      <c r="AJ130" s="11">
        <v>0</v>
      </c>
      <c r="AK130" s="10">
        <v>600000</v>
      </c>
      <c r="AL130" s="10"/>
      <c r="AM130" s="11">
        <f t="shared" si="292"/>
        <v>0</v>
      </c>
      <c r="AN130" s="10">
        <v>100000</v>
      </c>
      <c r="AO130" s="10"/>
      <c r="AP130" s="11">
        <f t="shared" ref="AP130" si="293">AO130/AN130</f>
        <v>0</v>
      </c>
      <c r="AQ130" s="10"/>
      <c r="AR130" s="10"/>
      <c r="AS130" s="11">
        <v>0</v>
      </c>
      <c r="AT130" s="10">
        <v>500000</v>
      </c>
      <c r="AU130" s="10"/>
      <c r="AV130" s="11">
        <f t="shared" si="281"/>
        <v>0</v>
      </c>
      <c r="AW130" s="10">
        <v>500000</v>
      </c>
      <c r="AX130" s="10"/>
      <c r="AY130" s="11">
        <f t="shared" si="282"/>
        <v>0</v>
      </c>
      <c r="AZ130" s="10"/>
      <c r="BA130" s="10"/>
      <c r="BB130" s="11">
        <v>0</v>
      </c>
      <c r="BC130" s="10"/>
      <c r="BD130" s="10"/>
      <c r="BE130" s="11">
        <v>0</v>
      </c>
      <c r="BF130" s="10"/>
      <c r="BG130" s="10"/>
      <c r="BH130" s="11">
        <v>0</v>
      </c>
      <c r="BI130" s="10"/>
      <c r="BJ130" s="10"/>
      <c r="BK130" s="11">
        <v>0</v>
      </c>
      <c r="BL130" s="10"/>
      <c r="BM130" s="10"/>
      <c r="BN130" s="11">
        <v>0</v>
      </c>
      <c r="BO130" s="10">
        <v>300000</v>
      </c>
      <c r="BP130" s="10"/>
      <c r="BQ130" s="11">
        <f t="shared" si="290"/>
        <v>0</v>
      </c>
      <c r="BR130" s="10"/>
      <c r="BS130" s="10"/>
      <c r="BT130" s="11">
        <v>0</v>
      </c>
      <c r="BU130" s="10"/>
      <c r="BV130" s="10"/>
      <c r="BW130" s="11">
        <v>0</v>
      </c>
      <c r="BX130" s="10"/>
      <c r="BY130" s="10"/>
      <c r="BZ130" s="11">
        <v>0</v>
      </c>
      <c r="CA130" s="10"/>
      <c r="CB130" s="10"/>
      <c r="CC130" s="11">
        <v>0</v>
      </c>
      <c r="CD130" s="10"/>
      <c r="CE130" s="10"/>
      <c r="CF130" s="11">
        <v>0</v>
      </c>
      <c r="CG130" s="10"/>
      <c r="CH130" s="10"/>
      <c r="CI130" s="11">
        <v>0</v>
      </c>
      <c r="CJ130" s="10"/>
      <c r="CK130" s="10"/>
      <c r="CL130" s="11">
        <v>0</v>
      </c>
      <c r="CM130" s="10"/>
      <c r="CN130" s="10"/>
      <c r="CO130" s="11">
        <v>0</v>
      </c>
      <c r="CP130" s="10"/>
      <c r="CQ130" s="10"/>
      <c r="CR130" s="11">
        <v>0</v>
      </c>
      <c r="CS130" s="10"/>
      <c r="CT130" s="10"/>
      <c r="CU130" s="11">
        <v>0</v>
      </c>
      <c r="CV130" s="10"/>
      <c r="CW130" s="10"/>
      <c r="CX130" s="11">
        <v>0</v>
      </c>
      <c r="CY130" s="10"/>
      <c r="CZ130" s="10"/>
      <c r="DA130" s="11">
        <v>0</v>
      </c>
      <c r="DB130" s="10">
        <v>11000000</v>
      </c>
      <c r="DC130" s="10">
        <f t="shared" si="285"/>
        <v>6673050</v>
      </c>
      <c r="DD130" s="13">
        <f t="shared" si="286"/>
        <v>0.60664090909090906</v>
      </c>
      <c r="DE130" s="14"/>
    </row>
    <row r="131" spans="1:109" x14ac:dyDescent="0.35">
      <c r="A131" s="8" t="s">
        <v>320</v>
      </c>
      <c r="B131" s="9" t="s">
        <v>51</v>
      </c>
      <c r="C131" s="9" t="s">
        <v>52</v>
      </c>
      <c r="D131" s="9" t="s">
        <v>321</v>
      </c>
      <c r="E131" s="9" t="s">
        <v>54</v>
      </c>
      <c r="F131" s="9" t="s">
        <v>55</v>
      </c>
      <c r="G131" s="10"/>
      <c r="H131" s="10">
        <v>102700</v>
      </c>
      <c r="I131" s="11">
        <v>0</v>
      </c>
      <c r="J131" s="10">
        <v>500000</v>
      </c>
      <c r="K131" s="10"/>
      <c r="L131" s="11">
        <f t="shared" ref="L131" si="294">K131/J131</f>
        <v>0</v>
      </c>
      <c r="M131" s="10"/>
      <c r="N131" s="10"/>
      <c r="O131" s="11">
        <v>0</v>
      </c>
      <c r="P131" s="10"/>
      <c r="Q131" s="10"/>
      <c r="R131" s="11">
        <v>0</v>
      </c>
      <c r="S131" s="10"/>
      <c r="T131" s="10"/>
      <c r="U131" s="11">
        <v>0</v>
      </c>
      <c r="V131" s="10"/>
      <c r="W131" s="10"/>
      <c r="X131" s="11">
        <v>0</v>
      </c>
      <c r="Y131" s="10"/>
      <c r="Z131" s="10"/>
      <c r="AA131" s="11"/>
      <c r="AB131" s="10"/>
      <c r="AC131" s="10"/>
      <c r="AD131" s="11">
        <v>0</v>
      </c>
      <c r="AE131" s="10"/>
      <c r="AF131" s="10">
        <v>4500</v>
      </c>
      <c r="AG131" s="11">
        <v>0</v>
      </c>
      <c r="AH131" s="10"/>
      <c r="AI131" s="10"/>
      <c r="AJ131" s="11">
        <v>0</v>
      </c>
      <c r="AK131" s="10"/>
      <c r="AL131" s="10"/>
      <c r="AM131" s="11">
        <v>0</v>
      </c>
      <c r="AN131" s="10"/>
      <c r="AO131" s="10"/>
      <c r="AP131" s="11">
        <v>0</v>
      </c>
      <c r="AQ131" s="10"/>
      <c r="AR131" s="10"/>
      <c r="AS131" s="11">
        <v>0</v>
      </c>
      <c r="AT131" s="10"/>
      <c r="AU131" s="10">
        <v>576000</v>
      </c>
      <c r="AV131" s="11">
        <v>0</v>
      </c>
      <c r="AW131" s="10"/>
      <c r="AX131" s="10"/>
      <c r="AY131" s="11">
        <v>0</v>
      </c>
      <c r="AZ131" s="10"/>
      <c r="BA131" s="10"/>
      <c r="BB131" s="11">
        <v>0</v>
      </c>
      <c r="BC131" s="10"/>
      <c r="BD131" s="10"/>
      <c r="BE131" s="11">
        <v>0</v>
      </c>
      <c r="BF131" s="10">
        <v>3200000</v>
      </c>
      <c r="BG131" s="10">
        <f>VLOOKUP(A:A,'[1]2026 Customer Brand Sales'!$A:$BA,53,0)</f>
        <v>1328270</v>
      </c>
      <c r="BH131" s="11">
        <f t="shared" ref="BH131" si="295">BG131/BF131</f>
        <v>0.41508437500000001</v>
      </c>
      <c r="BI131" s="10"/>
      <c r="BJ131" s="10"/>
      <c r="BK131" s="11">
        <v>0</v>
      </c>
      <c r="BL131" s="10">
        <v>600000</v>
      </c>
      <c r="BM131" s="10">
        <v>100440</v>
      </c>
      <c r="BN131" s="11">
        <f t="shared" ref="BN131" si="296">BM131/BL131</f>
        <v>0.16739999999999999</v>
      </c>
      <c r="BO131" s="10"/>
      <c r="BP131" s="10"/>
      <c r="BQ131" s="11">
        <v>0</v>
      </c>
      <c r="BR131" s="10"/>
      <c r="BS131" s="10"/>
      <c r="BT131" s="11">
        <v>0</v>
      </c>
      <c r="BU131" s="10"/>
      <c r="BV131" s="10"/>
      <c r="BW131" s="11">
        <v>0</v>
      </c>
      <c r="BX131" s="10"/>
      <c r="BY131" s="10"/>
      <c r="BZ131" s="11">
        <v>0</v>
      </c>
      <c r="CA131" s="10"/>
      <c r="CB131" s="10"/>
      <c r="CC131" s="11">
        <v>0</v>
      </c>
      <c r="CD131" s="10"/>
      <c r="CE131" s="10"/>
      <c r="CF131" s="11">
        <v>0</v>
      </c>
      <c r="CG131" s="10">
        <v>25000</v>
      </c>
      <c r="CH131" s="10"/>
      <c r="CI131" s="11">
        <f t="shared" ref="CI131" si="297">CH131/CG131</f>
        <v>0</v>
      </c>
      <c r="CJ131" s="10"/>
      <c r="CK131" s="10"/>
      <c r="CL131" s="11">
        <v>0</v>
      </c>
      <c r="CM131" s="10"/>
      <c r="CN131" s="10"/>
      <c r="CO131" s="11">
        <v>0</v>
      </c>
      <c r="CP131" s="10"/>
      <c r="CQ131" s="10"/>
      <c r="CR131" s="11">
        <v>0</v>
      </c>
      <c r="CS131" s="10"/>
      <c r="CT131" s="10"/>
      <c r="CU131" s="11">
        <v>0</v>
      </c>
      <c r="CV131" s="10"/>
      <c r="CW131" s="10"/>
      <c r="CX131" s="11">
        <v>0</v>
      </c>
      <c r="CY131" s="10"/>
      <c r="CZ131" s="10"/>
      <c r="DA131" s="11">
        <v>0</v>
      </c>
      <c r="DB131" s="10">
        <v>4325000</v>
      </c>
      <c r="DC131" s="10">
        <f t="shared" ref="DC131:DC139" si="298">SUM(H131,K131,N131,Q131,T131,W131,Z131,AC131,AF131,AI131,AL131,AO131,AR131,AU131,AX131,BA131,BD131,BG131,BJ131,BM131,BP131,BS131,BV131,BY131,CB131,CE131,CH131,CK131,CN131,CQ131,CT131,CW131,CZ131)</f>
        <v>2111910</v>
      </c>
      <c r="DD131" s="13">
        <f t="shared" si="286"/>
        <v>0.48830289017341039</v>
      </c>
      <c r="DE131" s="14"/>
    </row>
    <row r="132" spans="1:109" x14ac:dyDescent="0.35">
      <c r="A132" s="8" t="s">
        <v>322</v>
      </c>
      <c r="B132" s="9" t="s">
        <v>59</v>
      </c>
      <c r="C132" s="9" t="s">
        <v>43</v>
      </c>
      <c r="D132" s="9" t="s">
        <v>323</v>
      </c>
      <c r="E132" s="9" t="s">
        <v>61</v>
      </c>
      <c r="F132" s="9" t="s">
        <v>62</v>
      </c>
      <c r="G132" s="10"/>
      <c r="H132" s="10"/>
      <c r="I132" s="11">
        <v>0</v>
      </c>
      <c r="J132" s="10"/>
      <c r="K132" s="10"/>
      <c r="L132" s="12">
        <v>0</v>
      </c>
      <c r="M132" s="10"/>
      <c r="N132" s="10"/>
      <c r="O132" s="11">
        <v>0</v>
      </c>
      <c r="P132" s="10"/>
      <c r="Q132" s="10"/>
      <c r="R132" s="11">
        <v>0</v>
      </c>
      <c r="S132" s="10"/>
      <c r="T132" s="10"/>
      <c r="U132" s="11">
        <v>0</v>
      </c>
      <c r="V132" s="10">
        <v>8000000</v>
      </c>
      <c r="W132" s="10">
        <v>1506350</v>
      </c>
      <c r="X132" s="11">
        <v>0.18829375000000001</v>
      </c>
      <c r="Y132" s="10"/>
      <c r="Z132" s="10"/>
      <c r="AA132" s="11"/>
      <c r="AB132" s="10"/>
      <c r="AC132" s="10"/>
      <c r="AD132" s="11">
        <v>0</v>
      </c>
      <c r="AE132" s="10"/>
      <c r="AF132" s="10"/>
      <c r="AG132" s="11">
        <v>0</v>
      </c>
      <c r="AH132" s="10"/>
      <c r="AI132" s="10"/>
      <c r="AJ132" s="11">
        <v>0</v>
      </c>
      <c r="AK132" s="10"/>
      <c r="AL132" s="10"/>
      <c r="AM132" s="11">
        <v>0</v>
      </c>
      <c r="AN132" s="10"/>
      <c r="AO132" s="10"/>
      <c r="AP132" s="11">
        <v>0</v>
      </c>
      <c r="AQ132" s="10"/>
      <c r="AR132" s="10"/>
      <c r="AS132" s="11">
        <v>0</v>
      </c>
      <c r="AT132" s="10"/>
      <c r="AU132" s="10"/>
      <c r="AV132" s="11">
        <v>0</v>
      </c>
      <c r="AW132" s="10"/>
      <c r="AX132" s="10"/>
      <c r="AY132" s="11">
        <v>0</v>
      </c>
      <c r="AZ132" s="10"/>
      <c r="BA132" s="10"/>
      <c r="BB132" s="11">
        <v>0</v>
      </c>
      <c r="BC132" s="10"/>
      <c r="BD132" s="10"/>
      <c r="BE132" s="11">
        <v>0</v>
      </c>
      <c r="BF132" s="10"/>
      <c r="BG132" s="10"/>
      <c r="BH132" s="11">
        <v>0</v>
      </c>
      <c r="BI132" s="10"/>
      <c r="BJ132" s="10"/>
      <c r="BK132" s="11">
        <v>0</v>
      </c>
      <c r="BL132" s="10"/>
      <c r="BM132" s="10"/>
      <c r="BN132" s="11">
        <v>0</v>
      </c>
      <c r="BO132" s="10"/>
      <c r="BP132" s="10"/>
      <c r="BQ132" s="11">
        <v>0</v>
      </c>
      <c r="BR132" s="10"/>
      <c r="BS132" s="10"/>
      <c r="BT132" s="11">
        <v>0</v>
      </c>
      <c r="BU132" s="10"/>
      <c r="BV132" s="10"/>
      <c r="BW132" s="11">
        <v>0</v>
      </c>
      <c r="BX132" s="10"/>
      <c r="BY132" s="10"/>
      <c r="BZ132" s="11">
        <v>0</v>
      </c>
      <c r="CA132" s="10"/>
      <c r="CB132" s="10"/>
      <c r="CC132" s="11">
        <v>0</v>
      </c>
      <c r="CD132" s="10"/>
      <c r="CE132" s="10"/>
      <c r="CF132" s="11">
        <v>0</v>
      </c>
      <c r="CG132" s="10"/>
      <c r="CH132" s="10"/>
      <c r="CI132" s="11">
        <v>0</v>
      </c>
      <c r="CJ132" s="10"/>
      <c r="CK132" s="10"/>
      <c r="CL132" s="11">
        <v>0</v>
      </c>
      <c r="CM132" s="10"/>
      <c r="CN132" s="10"/>
      <c r="CO132" s="11">
        <v>0</v>
      </c>
      <c r="CP132" s="10"/>
      <c r="CQ132" s="10"/>
      <c r="CR132" s="11">
        <v>0</v>
      </c>
      <c r="CS132" s="10"/>
      <c r="CT132" s="10"/>
      <c r="CU132" s="11">
        <v>0</v>
      </c>
      <c r="CV132" s="10"/>
      <c r="CW132" s="10"/>
      <c r="CX132" s="11">
        <v>0</v>
      </c>
      <c r="CY132" s="10"/>
      <c r="CZ132" s="10"/>
      <c r="DA132" s="11">
        <v>0</v>
      </c>
      <c r="DB132" s="10">
        <v>8000000</v>
      </c>
      <c r="DC132" s="10">
        <f t="shared" si="298"/>
        <v>1506350</v>
      </c>
      <c r="DD132" s="13">
        <f t="shared" ref="DD132:DD138" si="299">DC132/DB132</f>
        <v>0.18829375000000001</v>
      </c>
      <c r="DE132" s="14"/>
    </row>
    <row r="133" spans="1:109" x14ac:dyDescent="0.35">
      <c r="A133" s="8" t="s">
        <v>324</v>
      </c>
      <c r="B133" s="9" t="s">
        <v>51</v>
      </c>
      <c r="C133" s="9" t="s">
        <v>52</v>
      </c>
      <c r="D133" s="9" t="s">
        <v>325</v>
      </c>
      <c r="E133" s="9" t="s">
        <v>54</v>
      </c>
      <c r="F133" s="9" t="s">
        <v>55</v>
      </c>
      <c r="G133" s="10"/>
      <c r="H133" s="10">
        <v>153000</v>
      </c>
      <c r="I133" s="11">
        <v>0</v>
      </c>
      <c r="J133" s="10"/>
      <c r="K133" s="10"/>
      <c r="L133" s="12">
        <v>0</v>
      </c>
      <c r="M133" s="10">
        <v>560000</v>
      </c>
      <c r="N133" s="10"/>
      <c r="O133" s="11">
        <f t="shared" ref="O133:O135" si="300">N133/M133</f>
        <v>0</v>
      </c>
      <c r="P133" s="10"/>
      <c r="Q133" s="10"/>
      <c r="R133" s="11">
        <v>0</v>
      </c>
      <c r="S133" s="10"/>
      <c r="T133" s="10"/>
      <c r="U133" s="11">
        <v>0</v>
      </c>
      <c r="V133" s="10"/>
      <c r="W133" s="10"/>
      <c r="X133" s="11">
        <v>0</v>
      </c>
      <c r="Y133" s="10"/>
      <c r="Z133" s="10"/>
      <c r="AA133" s="11"/>
      <c r="AB133" s="10"/>
      <c r="AC133" s="10"/>
      <c r="AD133" s="11">
        <v>0</v>
      </c>
      <c r="AE133" s="10"/>
      <c r="AF133" s="10"/>
      <c r="AG133" s="11">
        <v>0</v>
      </c>
      <c r="AH133" s="10"/>
      <c r="AI133" s="10"/>
      <c r="AJ133" s="11">
        <v>0</v>
      </c>
      <c r="AK133" s="10"/>
      <c r="AL133" s="10"/>
      <c r="AM133" s="11">
        <v>0</v>
      </c>
      <c r="AN133" s="10"/>
      <c r="AO133" s="10"/>
      <c r="AP133" s="11">
        <v>0</v>
      </c>
      <c r="AQ133" s="10"/>
      <c r="AR133" s="10"/>
      <c r="AS133" s="11">
        <v>0</v>
      </c>
      <c r="AT133" s="10"/>
      <c r="AU133" s="10"/>
      <c r="AV133" s="11">
        <v>0</v>
      </c>
      <c r="AW133" s="10"/>
      <c r="AX133" s="10"/>
      <c r="AY133" s="11">
        <v>0</v>
      </c>
      <c r="AZ133" s="10"/>
      <c r="BA133" s="10"/>
      <c r="BB133" s="11">
        <v>0</v>
      </c>
      <c r="BC133" s="10"/>
      <c r="BD133" s="10"/>
      <c r="BE133" s="11">
        <v>0</v>
      </c>
      <c r="BF133" s="10"/>
      <c r="BG133" s="10"/>
      <c r="BH133" s="11">
        <v>0</v>
      </c>
      <c r="BI133" s="10"/>
      <c r="BJ133" s="10"/>
      <c r="BK133" s="11">
        <v>0</v>
      </c>
      <c r="BL133" s="10"/>
      <c r="BM133" s="10"/>
      <c r="BN133" s="11">
        <v>0</v>
      </c>
      <c r="BO133" s="10"/>
      <c r="BP133" s="10"/>
      <c r="BQ133" s="11">
        <v>0</v>
      </c>
      <c r="BR133" s="10"/>
      <c r="BS133" s="10"/>
      <c r="BT133" s="11">
        <v>0</v>
      </c>
      <c r="BU133" s="10"/>
      <c r="BV133" s="10"/>
      <c r="BW133" s="11">
        <v>0</v>
      </c>
      <c r="BX133" s="10"/>
      <c r="BY133" s="10"/>
      <c r="BZ133" s="11">
        <v>0</v>
      </c>
      <c r="CA133" s="10"/>
      <c r="CB133" s="10"/>
      <c r="CC133" s="11">
        <v>0</v>
      </c>
      <c r="CD133" s="10"/>
      <c r="CE133" s="10"/>
      <c r="CF133" s="11">
        <v>0</v>
      </c>
      <c r="CG133" s="10"/>
      <c r="CH133" s="10"/>
      <c r="CI133" s="11">
        <v>0</v>
      </c>
      <c r="CJ133" s="10"/>
      <c r="CK133" s="10"/>
      <c r="CL133" s="11">
        <v>0</v>
      </c>
      <c r="CM133" s="10">
        <v>25000</v>
      </c>
      <c r="CN133" s="10"/>
      <c r="CO133" s="11">
        <v>0</v>
      </c>
      <c r="CP133" s="10"/>
      <c r="CQ133" s="10"/>
      <c r="CR133" s="11">
        <v>0</v>
      </c>
      <c r="CS133" s="10"/>
      <c r="CT133" s="10"/>
      <c r="CU133" s="11">
        <v>0</v>
      </c>
      <c r="CV133" s="10"/>
      <c r="CW133" s="10"/>
      <c r="CX133" s="11">
        <v>0</v>
      </c>
      <c r="CY133" s="10"/>
      <c r="CZ133" s="10"/>
      <c r="DA133" s="11">
        <v>0</v>
      </c>
      <c r="DB133" s="10">
        <v>585000</v>
      </c>
      <c r="DC133" s="10">
        <f t="shared" si="298"/>
        <v>153000</v>
      </c>
      <c r="DD133" s="13">
        <f t="shared" si="299"/>
        <v>0.26153846153846155</v>
      </c>
      <c r="DE133" s="14"/>
    </row>
    <row r="134" spans="1:109" x14ac:dyDescent="0.35">
      <c r="A134" s="8" t="s">
        <v>326</v>
      </c>
      <c r="B134" s="9" t="s">
        <v>42</v>
      </c>
      <c r="C134" s="9" t="s">
        <v>43</v>
      </c>
      <c r="D134" s="9" t="s">
        <v>327</v>
      </c>
      <c r="E134" s="9" t="s">
        <v>45</v>
      </c>
      <c r="F134" s="9" t="s">
        <v>46</v>
      </c>
      <c r="G134" s="10"/>
      <c r="H134" s="10"/>
      <c r="I134" s="11">
        <v>0</v>
      </c>
      <c r="J134" s="10"/>
      <c r="K134" s="10"/>
      <c r="L134" s="12">
        <v>0</v>
      </c>
      <c r="M134" s="10">
        <v>448000</v>
      </c>
      <c r="N134" s="10">
        <v>164000</v>
      </c>
      <c r="O134" s="11">
        <f t="shared" si="300"/>
        <v>0.36607142857142855</v>
      </c>
      <c r="P134" s="10"/>
      <c r="Q134" s="10"/>
      <c r="R134" s="11">
        <v>0</v>
      </c>
      <c r="S134" s="10"/>
      <c r="T134" s="10"/>
      <c r="U134" s="11">
        <v>0</v>
      </c>
      <c r="V134" s="10"/>
      <c r="W134" s="10"/>
      <c r="X134" s="11">
        <v>0</v>
      </c>
      <c r="Y134" s="10"/>
      <c r="Z134" s="10"/>
      <c r="AA134" s="11"/>
      <c r="AB134" s="10"/>
      <c r="AC134" s="10"/>
      <c r="AD134" s="11">
        <v>0</v>
      </c>
      <c r="AE134" s="10"/>
      <c r="AF134" s="10"/>
      <c r="AG134" s="11">
        <v>0</v>
      </c>
      <c r="AH134" s="10"/>
      <c r="AI134" s="10"/>
      <c r="AJ134" s="11">
        <v>0</v>
      </c>
      <c r="AK134" s="10"/>
      <c r="AL134" s="10"/>
      <c r="AM134" s="11">
        <v>0</v>
      </c>
      <c r="AN134" s="10"/>
      <c r="AO134" s="10"/>
      <c r="AP134" s="11">
        <v>0</v>
      </c>
      <c r="AQ134" s="10"/>
      <c r="AR134" s="10"/>
      <c r="AS134" s="11">
        <v>0</v>
      </c>
      <c r="AT134" s="10"/>
      <c r="AU134" s="10"/>
      <c r="AV134" s="11">
        <v>0</v>
      </c>
      <c r="AW134" s="10"/>
      <c r="AX134" s="10"/>
      <c r="AY134" s="11">
        <v>0</v>
      </c>
      <c r="AZ134" s="10"/>
      <c r="BA134" s="10"/>
      <c r="BB134" s="11">
        <v>0</v>
      </c>
      <c r="BC134" s="10"/>
      <c r="BD134" s="10"/>
      <c r="BE134" s="11">
        <v>0</v>
      </c>
      <c r="BF134" s="10"/>
      <c r="BG134" s="10"/>
      <c r="BH134" s="11">
        <v>0</v>
      </c>
      <c r="BI134" s="10"/>
      <c r="BJ134" s="10"/>
      <c r="BK134" s="11">
        <v>0</v>
      </c>
      <c r="BL134" s="10"/>
      <c r="BM134" s="10"/>
      <c r="BN134" s="11">
        <v>0</v>
      </c>
      <c r="BO134" s="10"/>
      <c r="BP134" s="10"/>
      <c r="BQ134" s="11">
        <v>0</v>
      </c>
      <c r="BR134" s="10"/>
      <c r="BS134" s="10"/>
      <c r="BT134" s="11">
        <v>0</v>
      </c>
      <c r="BU134" s="10"/>
      <c r="BV134" s="10"/>
      <c r="BW134" s="11">
        <v>0</v>
      </c>
      <c r="BX134" s="10">
        <v>82680</v>
      </c>
      <c r="BY134" s="10">
        <v>190000</v>
      </c>
      <c r="BZ134" s="11">
        <f t="shared" ref="BZ134" si="301">BY134/BX134</f>
        <v>2.2980164489598454</v>
      </c>
      <c r="CA134" s="10"/>
      <c r="CB134" s="10"/>
      <c r="CC134" s="11">
        <v>0</v>
      </c>
      <c r="CD134" s="10"/>
      <c r="CE134" s="10"/>
      <c r="CF134" s="11">
        <v>0</v>
      </c>
      <c r="CG134" s="10"/>
      <c r="CH134" s="10"/>
      <c r="CI134" s="11">
        <v>0</v>
      </c>
      <c r="CJ134" s="10"/>
      <c r="CK134" s="10"/>
      <c r="CL134" s="11">
        <v>0</v>
      </c>
      <c r="CM134" s="10"/>
      <c r="CN134" s="10"/>
      <c r="CO134" s="11">
        <v>0</v>
      </c>
      <c r="CP134" s="10"/>
      <c r="CQ134" s="10"/>
      <c r="CR134" s="11">
        <v>0</v>
      </c>
      <c r="CS134" s="10"/>
      <c r="CT134" s="10"/>
      <c r="CU134" s="11">
        <v>0</v>
      </c>
      <c r="CV134" s="10"/>
      <c r="CW134" s="10"/>
      <c r="CX134" s="11">
        <v>0</v>
      </c>
      <c r="CY134" s="10"/>
      <c r="CZ134" s="10"/>
      <c r="DA134" s="11">
        <v>0</v>
      </c>
      <c r="DB134" s="10">
        <v>530680</v>
      </c>
      <c r="DC134" s="10">
        <f t="shared" si="298"/>
        <v>354000</v>
      </c>
      <c r="DD134" s="13">
        <f t="shared" si="299"/>
        <v>0.66706866661641673</v>
      </c>
      <c r="DE134" s="14"/>
    </row>
    <row r="135" spans="1:109" x14ac:dyDescent="0.35">
      <c r="A135" s="8" t="s">
        <v>328</v>
      </c>
      <c r="B135" s="9" t="s">
        <v>42</v>
      </c>
      <c r="C135" s="9" t="s">
        <v>43</v>
      </c>
      <c r="D135" s="9" t="s">
        <v>329</v>
      </c>
      <c r="E135" s="9" t="s">
        <v>45</v>
      </c>
      <c r="F135" s="9" t="s">
        <v>46</v>
      </c>
      <c r="G135" s="10"/>
      <c r="H135" s="10"/>
      <c r="I135" s="11">
        <v>0</v>
      </c>
      <c r="J135" s="10"/>
      <c r="K135" s="10"/>
      <c r="L135" s="12">
        <v>0</v>
      </c>
      <c r="M135" s="10">
        <v>56000</v>
      </c>
      <c r="N135" s="10"/>
      <c r="O135" s="11">
        <f t="shared" si="300"/>
        <v>0</v>
      </c>
      <c r="P135" s="10"/>
      <c r="Q135" s="10"/>
      <c r="R135" s="11">
        <v>0</v>
      </c>
      <c r="S135" s="10"/>
      <c r="T135" s="10"/>
      <c r="U135" s="11">
        <v>0</v>
      </c>
      <c r="V135" s="10"/>
      <c r="W135" s="10"/>
      <c r="X135" s="11">
        <v>0</v>
      </c>
      <c r="Y135" s="10">
        <v>100000</v>
      </c>
      <c r="Z135" s="10">
        <v>660000</v>
      </c>
      <c r="AA135" s="11">
        <f t="shared" ref="AA135:AA136" si="302">Z135/Y135</f>
        <v>6.6</v>
      </c>
      <c r="AB135" s="10"/>
      <c r="AC135" s="10"/>
      <c r="AD135" s="11">
        <v>0</v>
      </c>
      <c r="AE135" s="10"/>
      <c r="AF135" s="10"/>
      <c r="AG135" s="11">
        <v>0</v>
      </c>
      <c r="AH135" s="10"/>
      <c r="AI135" s="10"/>
      <c r="AJ135" s="11">
        <v>0</v>
      </c>
      <c r="AK135" s="10"/>
      <c r="AL135" s="10"/>
      <c r="AM135" s="11">
        <v>0</v>
      </c>
      <c r="AN135" s="10"/>
      <c r="AO135" s="10"/>
      <c r="AP135" s="11">
        <v>0</v>
      </c>
      <c r="AQ135" s="10">
        <v>2041200</v>
      </c>
      <c r="AR135" s="10"/>
      <c r="AS135" s="11">
        <f t="shared" ref="AS135" si="303">AR135/AQ135</f>
        <v>0</v>
      </c>
      <c r="AT135" s="10"/>
      <c r="AU135" s="10"/>
      <c r="AV135" s="11">
        <v>0</v>
      </c>
      <c r="AW135" s="10"/>
      <c r="AX135" s="10"/>
      <c r="AY135" s="11">
        <v>0</v>
      </c>
      <c r="AZ135" s="10"/>
      <c r="BA135" s="10"/>
      <c r="BB135" s="11">
        <v>0</v>
      </c>
      <c r="BC135" s="10"/>
      <c r="BD135" s="10"/>
      <c r="BE135" s="11">
        <v>0</v>
      </c>
      <c r="BF135" s="10"/>
      <c r="BG135" s="10"/>
      <c r="BH135" s="11">
        <v>0</v>
      </c>
      <c r="BI135" s="10"/>
      <c r="BJ135" s="10"/>
      <c r="BK135" s="11">
        <v>0</v>
      </c>
      <c r="BL135" s="10"/>
      <c r="BM135" s="10"/>
      <c r="BN135" s="11">
        <v>0</v>
      </c>
      <c r="BO135" s="10"/>
      <c r="BP135" s="10"/>
      <c r="BQ135" s="11">
        <v>0</v>
      </c>
      <c r="BR135" s="10">
        <v>1500000</v>
      </c>
      <c r="BS135" s="10"/>
      <c r="BT135" s="11">
        <f t="shared" ref="BT135:BT136" si="304">BS135/BR135</f>
        <v>0</v>
      </c>
      <c r="BU135" s="10">
        <v>200000</v>
      </c>
      <c r="BV135" s="10"/>
      <c r="BW135" s="11">
        <f t="shared" ref="BW135:BW136" si="305">BV135/BU135</f>
        <v>0</v>
      </c>
      <c r="BX135" s="10"/>
      <c r="BY135" s="10"/>
      <c r="BZ135" s="11">
        <v>0</v>
      </c>
      <c r="CA135" s="10"/>
      <c r="CB135" s="10"/>
      <c r="CC135" s="11">
        <v>0</v>
      </c>
      <c r="CD135" s="10"/>
      <c r="CE135" s="10"/>
      <c r="CF135" s="11">
        <v>0</v>
      </c>
      <c r="CG135" s="10"/>
      <c r="CH135" s="10"/>
      <c r="CI135" s="11">
        <v>0</v>
      </c>
      <c r="CJ135" s="10"/>
      <c r="CK135" s="10"/>
      <c r="CL135" s="11">
        <v>0</v>
      </c>
      <c r="CM135" s="10"/>
      <c r="CN135" s="10"/>
      <c r="CO135" s="11">
        <v>0</v>
      </c>
      <c r="CP135" s="10"/>
      <c r="CQ135" s="10"/>
      <c r="CR135" s="11">
        <v>0</v>
      </c>
      <c r="CS135" s="10"/>
      <c r="CT135" s="10"/>
      <c r="CU135" s="11">
        <v>0</v>
      </c>
      <c r="CV135" s="10"/>
      <c r="CW135" s="10"/>
      <c r="CX135" s="11">
        <v>0</v>
      </c>
      <c r="CY135" s="10"/>
      <c r="CZ135" s="10"/>
      <c r="DA135" s="11">
        <v>0</v>
      </c>
      <c r="DB135" s="10">
        <v>3897200</v>
      </c>
      <c r="DC135" s="10">
        <f t="shared" si="298"/>
        <v>660000</v>
      </c>
      <c r="DD135" s="13">
        <f t="shared" si="299"/>
        <v>0.16935235553730885</v>
      </c>
      <c r="DE135" s="14"/>
    </row>
    <row r="136" spans="1:109" x14ac:dyDescent="0.35">
      <c r="A136" s="8" t="s">
        <v>330</v>
      </c>
      <c r="B136" s="9" t="s">
        <v>42</v>
      </c>
      <c r="C136" s="9" t="s">
        <v>43</v>
      </c>
      <c r="D136" s="9" t="s">
        <v>331</v>
      </c>
      <c r="E136" s="9" t="s">
        <v>45</v>
      </c>
      <c r="F136" s="9" t="s">
        <v>46</v>
      </c>
      <c r="G136" s="10"/>
      <c r="H136" s="10"/>
      <c r="I136" s="11">
        <v>0</v>
      </c>
      <c r="J136" s="10"/>
      <c r="K136" s="10"/>
      <c r="L136" s="12">
        <v>0</v>
      </c>
      <c r="M136" s="10"/>
      <c r="N136" s="10"/>
      <c r="O136" s="11">
        <v>0</v>
      </c>
      <c r="P136" s="10">
        <v>25000</v>
      </c>
      <c r="Q136" s="10">
        <v>12000</v>
      </c>
      <c r="R136" s="11">
        <f t="shared" ref="R136" si="306">Q136/P136</f>
        <v>0.48</v>
      </c>
      <c r="S136" s="10"/>
      <c r="T136" s="10"/>
      <c r="U136" s="11">
        <v>0</v>
      </c>
      <c r="V136" s="10"/>
      <c r="W136" s="10"/>
      <c r="X136" s="11">
        <v>0</v>
      </c>
      <c r="Y136" s="10">
        <v>500000</v>
      </c>
      <c r="Z136" s="10"/>
      <c r="AA136" s="11">
        <f t="shared" si="302"/>
        <v>0</v>
      </c>
      <c r="AB136" s="10">
        <v>200000</v>
      </c>
      <c r="AC136" s="10">
        <v>187500</v>
      </c>
      <c r="AD136" s="11">
        <v>0.9375</v>
      </c>
      <c r="AE136" s="10">
        <v>600000</v>
      </c>
      <c r="AF136" s="10">
        <v>5400</v>
      </c>
      <c r="AG136" s="11">
        <f t="shared" ref="AG136" si="307">AF136/AE136</f>
        <v>8.9999999999999993E-3</v>
      </c>
      <c r="AH136" s="10"/>
      <c r="AI136" s="10"/>
      <c r="AJ136" s="11">
        <v>0</v>
      </c>
      <c r="AK136" s="10"/>
      <c r="AL136" s="10"/>
      <c r="AM136" s="11">
        <v>0</v>
      </c>
      <c r="AN136" s="10"/>
      <c r="AO136" s="10"/>
      <c r="AP136" s="11">
        <v>0</v>
      </c>
      <c r="AQ136" s="10"/>
      <c r="AR136" s="10">
        <v>286000</v>
      </c>
      <c r="AS136" s="11">
        <v>0</v>
      </c>
      <c r="AT136" s="10"/>
      <c r="AU136" s="10"/>
      <c r="AV136" s="11">
        <v>0</v>
      </c>
      <c r="AW136" s="10"/>
      <c r="AX136" s="10"/>
      <c r="AY136" s="11">
        <v>0</v>
      </c>
      <c r="AZ136" s="10">
        <v>369000</v>
      </c>
      <c r="BA136" s="10"/>
      <c r="BB136" s="11">
        <f t="shared" ref="BB136" si="308">BA136/AZ136</f>
        <v>0</v>
      </c>
      <c r="BC136" s="10"/>
      <c r="BD136" s="10"/>
      <c r="BE136" s="11">
        <v>0</v>
      </c>
      <c r="BF136" s="10"/>
      <c r="BG136" s="10">
        <f>VLOOKUP(A:A,'[1]2026 Customer Brand Sales'!$A:$BA,53,0)</f>
        <v>48750</v>
      </c>
      <c r="BH136" s="11">
        <v>0</v>
      </c>
      <c r="BI136" s="10"/>
      <c r="BJ136" s="10"/>
      <c r="BK136" s="11">
        <v>0</v>
      </c>
      <c r="BL136" s="10"/>
      <c r="BM136" s="10">
        <v>850</v>
      </c>
      <c r="BN136" s="11">
        <v>0</v>
      </c>
      <c r="BO136" s="10"/>
      <c r="BP136" s="10"/>
      <c r="BQ136" s="11">
        <v>0</v>
      </c>
      <c r="BR136" s="10">
        <v>800000</v>
      </c>
      <c r="BS136" s="10"/>
      <c r="BT136" s="11">
        <f t="shared" si="304"/>
        <v>0</v>
      </c>
      <c r="BU136" s="10">
        <v>200000</v>
      </c>
      <c r="BV136" s="10"/>
      <c r="BW136" s="11">
        <f t="shared" si="305"/>
        <v>0</v>
      </c>
      <c r="BX136" s="10"/>
      <c r="BY136" s="10"/>
      <c r="BZ136" s="11">
        <v>0</v>
      </c>
      <c r="CA136" s="10"/>
      <c r="CB136" s="10"/>
      <c r="CC136" s="11">
        <v>0</v>
      </c>
      <c r="CD136" s="10"/>
      <c r="CE136" s="10">
        <v>101000</v>
      </c>
      <c r="CF136" s="11">
        <v>0</v>
      </c>
      <c r="CG136" s="10"/>
      <c r="CH136" s="10"/>
      <c r="CI136" s="11">
        <v>0</v>
      </c>
      <c r="CJ136" s="10"/>
      <c r="CK136" s="10"/>
      <c r="CL136" s="11">
        <v>0</v>
      </c>
      <c r="CM136" s="10"/>
      <c r="CN136" s="10"/>
      <c r="CO136" s="11">
        <v>0</v>
      </c>
      <c r="CP136" s="10"/>
      <c r="CQ136" s="10"/>
      <c r="CR136" s="11">
        <v>0</v>
      </c>
      <c r="CS136" s="10"/>
      <c r="CT136" s="10"/>
      <c r="CU136" s="11">
        <v>0</v>
      </c>
      <c r="CV136" s="10"/>
      <c r="CW136" s="10"/>
      <c r="CX136" s="11">
        <v>0</v>
      </c>
      <c r="CY136" s="10"/>
      <c r="CZ136" s="10">
        <v>144000</v>
      </c>
      <c r="DA136" s="11">
        <v>0</v>
      </c>
      <c r="DB136" s="10">
        <v>2694000</v>
      </c>
      <c r="DC136" s="10">
        <f t="shared" si="298"/>
        <v>785500</v>
      </c>
      <c r="DD136" s="13">
        <f t="shared" si="299"/>
        <v>0.29157386785449146</v>
      </c>
      <c r="DE136" s="14"/>
    </row>
    <row r="137" spans="1:109" x14ac:dyDescent="0.35">
      <c r="A137" s="8" t="s">
        <v>332</v>
      </c>
      <c r="B137" s="9" t="s">
        <v>59</v>
      </c>
      <c r="C137" s="9" t="s">
        <v>43</v>
      </c>
      <c r="D137" s="9" t="s">
        <v>333</v>
      </c>
      <c r="E137" s="9" t="s">
        <v>61</v>
      </c>
      <c r="F137" s="9" t="s">
        <v>62</v>
      </c>
      <c r="G137" s="10"/>
      <c r="H137" s="10"/>
      <c r="I137" s="11">
        <v>0</v>
      </c>
      <c r="J137" s="10"/>
      <c r="K137" s="10"/>
      <c r="L137" s="12">
        <v>0</v>
      </c>
      <c r="M137" s="10"/>
      <c r="N137" s="10"/>
      <c r="O137" s="11">
        <v>0</v>
      </c>
      <c r="P137" s="10"/>
      <c r="Q137" s="10"/>
      <c r="R137" s="11">
        <v>0</v>
      </c>
      <c r="S137" s="10"/>
      <c r="T137" s="10"/>
      <c r="U137" s="11">
        <v>0</v>
      </c>
      <c r="V137" s="10">
        <v>1100000</v>
      </c>
      <c r="W137" s="10">
        <v>153200</v>
      </c>
      <c r="X137" s="11">
        <v>0.13927272727272727</v>
      </c>
      <c r="Y137" s="10"/>
      <c r="Z137" s="10"/>
      <c r="AA137" s="11"/>
      <c r="AB137" s="10"/>
      <c r="AC137" s="10"/>
      <c r="AD137" s="11">
        <v>0</v>
      </c>
      <c r="AE137" s="10"/>
      <c r="AF137" s="10"/>
      <c r="AG137" s="11">
        <v>0</v>
      </c>
      <c r="AH137" s="10"/>
      <c r="AI137" s="10"/>
      <c r="AJ137" s="11">
        <v>0</v>
      </c>
      <c r="AK137" s="10"/>
      <c r="AL137" s="10"/>
      <c r="AM137" s="11">
        <v>0</v>
      </c>
      <c r="AN137" s="10"/>
      <c r="AO137" s="10"/>
      <c r="AP137" s="11">
        <v>0</v>
      </c>
      <c r="AQ137" s="10"/>
      <c r="AR137" s="10"/>
      <c r="AS137" s="11">
        <v>0</v>
      </c>
      <c r="AT137" s="10"/>
      <c r="AU137" s="10"/>
      <c r="AV137" s="11">
        <v>0</v>
      </c>
      <c r="AW137" s="10"/>
      <c r="AX137" s="10"/>
      <c r="AY137" s="11">
        <v>0</v>
      </c>
      <c r="AZ137" s="10"/>
      <c r="BA137" s="10"/>
      <c r="BB137" s="11">
        <v>0</v>
      </c>
      <c r="BC137" s="10"/>
      <c r="BD137" s="10"/>
      <c r="BE137" s="11">
        <v>0</v>
      </c>
      <c r="BF137" s="10"/>
      <c r="BG137" s="10"/>
      <c r="BH137" s="11">
        <v>0</v>
      </c>
      <c r="BI137" s="10"/>
      <c r="BJ137" s="10"/>
      <c r="BK137" s="11">
        <v>0</v>
      </c>
      <c r="BL137" s="10"/>
      <c r="BM137" s="10"/>
      <c r="BN137" s="11">
        <v>0</v>
      </c>
      <c r="BO137" s="10"/>
      <c r="BP137" s="10"/>
      <c r="BQ137" s="11">
        <v>0</v>
      </c>
      <c r="BR137" s="10"/>
      <c r="BS137" s="10"/>
      <c r="BT137" s="11">
        <v>0</v>
      </c>
      <c r="BU137" s="10"/>
      <c r="BV137" s="10"/>
      <c r="BW137" s="11">
        <v>0</v>
      </c>
      <c r="BX137" s="10"/>
      <c r="BY137" s="10"/>
      <c r="BZ137" s="11">
        <v>0</v>
      </c>
      <c r="CA137" s="10"/>
      <c r="CB137" s="10"/>
      <c r="CC137" s="11">
        <v>0</v>
      </c>
      <c r="CD137" s="10"/>
      <c r="CE137" s="10"/>
      <c r="CF137" s="11">
        <v>0</v>
      </c>
      <c r="CG137" s="10"/>
      <c r="CH137" s="10"/>
      <c r="CI137" s="11">
        <v>0</v>
      </c>
      <c r="CJ137" s="10"/>
      <c r="CK137" s="10"/>
      <c r="CL137" s="11">
        <v>0</v>
      </c>
      <c r="CM137" s="10"/>
      <c r="CN137" s="10"/>
      <c r="CO137" s="11">
        <v>0</v>
      </c>
      <c r="CP137" s="10"/>
      <c r="CQ137" s="10"/>
      <c r="CR137" s="11">
        <v>0</v>
      </c>
      <c r="CS137" s="10"/>
      <c r="CT137" s="10"/>
      <c r="CU137" s="11">
        <v>0</v>
      </c>
      <c r="CV137" s="10"/>
      <c r="CW137" s="10"/>
      <c r="CX137" s="11">
        <v>0</v>
      </c>
      <c r="CY137" s="10"/>
      <c r="CZ137" s="10"/>
      <c r="DA137" s="11">
        <v>0</v>
      </c>
      <c r="DB137" s="10">
        <v>1100000</v>
      </c>
      <c r="DC137" s="10">
        <f t="shared" si="298"/>
        <v>153200</v>
      </c>
      <c r="DD137" s="13">
        <f t="shared" si="299"/>
        <v>0.13927272727272727</v>
      </c>
      <c r="DE137" s="14"/>
    </row>
    <row r="138" spans="1:109" x14ac:dyDescent="0.35">
      <c r="A138" s="8" t="s">
        <v>334</v>
      </c>
      <c r="B138" s="9" t="s">
        <v>77</v>
      </c>
      <c r="C138" s="9" t="s">
        <v>43</v>
      </c>
      <c r="D138" s="9" t="s">
        <v>335</v>
      </c>
      <c r="E138" s="9" t="s">
        <v>61</v>
      </c>
      <c r="F138" s="9" t="s">
        <v>62</v>
      </c>
      <c r="G138" s="10"/>
      <c r="H138" s="10"/>
      <c r="I138" s="11">
        <v>0</v>
      </c>
      <c r="J138" s="10"/>
      <c r="K138" s="10"/>
      <c r="L138" s="12">
        <v>0</v>
      </c>
      <c r="M138" s="10"/>
      <c r="N138" s="10"/>
      <c r="O138" s="11">
        <v>0</v>
      </c>
      <c r="P138" s="10"/>
      <c r="Q138" s="10"/>
      <c r="R138" s="11">
        <v>0</v>
      </c>
      <c r="S138" s="10"/>
      <c r="T138" s="10"/>
      <c r="U138" s="11">
        <v>0</v>
      </c>
      <c r="V138" s="10">
        <v>500000</v>
      </c>
      <c r="W138" s="10">
        <v>294600</v>
      </c>
      <c r="X138" s="11">
        <v>0.58919999999999995</v>
      </c>
      <c r="Y138" s="10"/>
      <c r="Z138" s="10"/>
      <c r="AA138" s="11"/>
      <c r="AB138" s="10"/>
      <c r="AC138" s="10"/>
      <c r="AD138" s="11">
        <v>0</v>
      </c>
      <c r="AE138" s="10"/>
      <c r="AF138" s="10"/>
      <c r="AG138" s="11">
        <v>0</v>
      </c>
      <c r="AH138" s="10"/>
      <c r="AI138" s="10"/>
      <c r="AJ138" s="11">
        <v>0</v>
      </c>
      <c r="AK138" s="10"/>
      <c r="AL138" s="10"/>
      <c r="AM138" s="11">
        <v>0</v>
      </c>
      <c r="AN138" s="10"/>
      <c r="AO138" s="10"/>
      <c r="AP138" s="11">
        <v>0</v>
      </c>
      <c r="AQ138" s="10"/>
      <c r="AR138" s="10"/>
      <c r="AS138" s="11">
        <v>0</v>
      </c>
      <c r="AT138" s="10"/>
      <c r="AU138" s="10"/>
      <c r="AV138" s="11">
        <v>0</v>
      </c>
      <c r="AW138" s="10"/>
      <c r="AX138" s="10"/>
      <c r="AY138" s="11">
        <v>0</v>
      </c>
      <c r="AZ138" s="10"/>
      <c r="BA138" s="10"/>
      <c r="BB138" s="11">
        <v>0</v>
      </c>
      <c r="BC138" s="10"/>
      <c r="BD138" s="10"/>
      <c r="BE138" s="11">
        <v>0</v>
      </c>
      <c r="BF138" s="10"/>
      <c r="BG138" s="10"/>
      <c r="BH138" s="11">
        <v>0</v>
      </c>
      <c r="BI138" s="10"/>
      <c r="BJ138" s="10"/>
      <c r="BK138" s="11">
        <v>0</v>
      </c>
      <c r="BL138" s="10"/>
      <c r="BM138" s="10"/>
      <c r="BN138" s="11">
        <v>0</v>
      </c>
      <c r="BO138" s="10"/>
      <c r="BP138" s="10"/>
      <c r="BQ138" s="11">
        <v>0</v>
      </c>
      <c r="BR138" s="10"/>
      <c r="BS138" s="10"/>
      <c r="BT138" s="11">
        <v>0</v>
      </c>
      <c r="BU138" s="10"/>
      <c r="BV138" s="10"/>
      <c r="BW138" s="11">
        <v>0</v>
      </c>
      <c r="BX138" s="10"/>
      <c r="BY138" s="10"/>
      <c r="BZ138" s="11">
        <v>0</v>
      </c>
      <c r="CA138" s="10"/>
      <c r="CB138" s="10"/>
      <c r="CC138" s="11">
        <v>0</v>
      </c>
      <c r="CD138" s="10"/>
      <c r="CE138" s="10"/>
      <c r="CF138" s="11">
        <v>0</v>
      </c>
      <c r="CG138" s="10"/>
      <c r="CH138" s="10"/>
      <c r="CI138" s="11">
        <v>0</v>
      </c>
      <c r="CJ138" s="10"/>
      <c r="CK138" s="10"/>
      <c r="CL138" s="11">
        <v>0</v>
      </c>
      <c r="CM138" s="10"/>
      <c r="CN138" s="10"/>
      <c r="CO138" s="11">
        <v>0</v>
      </c>
      <c r="CP138" s="10"/>
      <c r="CQ138" s="10"/>
      <c r="CR138" s="11">
        <v>0</v>
      </c>
      <c r="CS138" s="10"/>
      <c r="CT138" s="10"/>
      <c r="CU138" s="11">
        <v>0</v>
      </c>
      <c r="CV138" s="10"/>
      <c r="CW138" s="10"/>
      <c r="CX138" s="11">
        <v>0</v>
      </c>
      <c r="CY138" s="10"/>
      <c r="CZ138" s="10"/>
      <c r="DA138" s="11">
        <v>0</v>
      </c>
      <c r="DB138" s="10">
        <v>500000</v>
      </c>
      <c r="DC138" s="10">
        <f t="shared" si="298"/>
        <v>294600</v>
      </c>
      <c r="DD138" s="13">
        <f t="shared" si="299"/>
        <v>0.58919999999999995</v>
      </c>
      <c r="DE138" s="14"/>
    </row>
    <row r="139" spans="1:109" x14ac:dyDescent="0.35">
      <c r="A139" s="8" t="s">
        <v>336</v>
      </c>
      <c r="B139" s="9" t="s">
        <v>77</v>
      </c>
      <c r="C139" s="9" t="s">
        <v>43</v>
      </c>
      <c r="D139" s="9" t="s">
        <v>337</v>
      </c>
      <c r="E139" s="9" t="s">
        <v>61</v>
      </c>
      <c r="F139" s="9" t="s">
        <v>62</v>
      </c>
      <c r="G139" s="10"/>
      <c r="H139" s="10"/>
      <c r="I139" s="11">
        <v>0</v>
      </c>
      <c r="J139" s="10"/>
      <c r="K139" s="10"/>
      <c r="L139" s="12">
        <v>0</v>
      </c>
      <c r="M139" s="10"/>
      <c r="N139" s="10"/>
      <c r="O139" s="11">
        <v>0</v>
      </c>
      <c r="P139" s="10"/>
      <c r="Q139" s="10"/>
      <c r="R139" s="11">
        <v>0</v>
      </c>
      <c r="S139" s="10"/>
      <c r="T139" s="10"/>
      <c r="U139" s="11">
        <v>0</v>
      </c>
      <c r="V139" s="10">
        <v>6500000</v>
      </c>
      <c r="W139" s="10">
        <v>2652950</v>
      </c>
      <c r="X139" s="11">
        <v>0.40814615384615383</v>
      </c>
      <c r="Y139" s="10"/>
      <c r="Z139" s="10"/>
      <c r="AA139" s="11"/>
      <c r="AB139" s="10"/>
      <c r="AC139" s="10"/>
      <c r="AD139" s="11">
        <v>0</v>
      </c>
      <c r="AE139" s="10"/>
      <c r="AF139" s="10"/>
      <c r="AG139" s="11">
        <v>0</v>
      </c>
      <c r="AH139" s="10"/>
      <c r="AI139" s="10"/>
      <c r="AJ139" s="11">
        <v>0</v>
      </c>
      <c r="AK139" s="10"/>
      <c r="AL139" s="10"/>
      <c r="AM139" s="11">
        <v>0</v>
      </c>
      <c r="AN139" s="10"/>
      <c r="AO139" s="10"/>
      <c r="AP139" s="11">
        <v>0</v>
      </c>
      <c r="AQ139" s="10"/>
      <c r="AR139" s="10"/>
      <c r="AS139" s="11">
        <v>0</v>
      </c>
      <c r="AT139" s="10"/>
      <c r="AU139" s="10"/>
      <c r="AV139" s="11">
        <v>0</v>
      </c>
      <c r="AW139" s="10"/>
      <c r="AX139" s="10"/>
      <c r="AY139" s="11">
        <v>0</v>
      </c>
      <c r="AZ139" s="10"/>
      <c r="BA139" s="10"/>
      <c r="BB139" s="11">
        <v>0</v>
      </c>
      <c r="BC139" s="10"/>
      <c r="BD139" s="10"/>
      <c r="BE139" s="11">
        <v>0</v>
      </c>
      <c r="BF139" s="10"/>
      <c r="BG139" s="10"/>
      <c r="BH139" s="11">
        <v>0</v>
      </c>
      <c r="BI139" s="10"/>
      <c r="BJ139" s="10"/>
      <c r="BK139" s="11">
        <v>0</v>
      </c>
      <c r="BL139" s="10"/>
      <c r="BM139" s="10"/>
      <c r="BN139" s="11">
        <v>0</v>
      </c>
      <c r="BO139" s="10"/>
      <c r="BP139" s="10"/>
      <c r="BQ139" s="11">
        <v>0</v>
      </c>
      <c r="BR139" s="10"/>
      <c r="BS139" s="10"/>
      <c r="BT139" s="11">
        <v>0</v>
      </c>
      <c r="BU139" s="10"/>
      <c r="BV139" s="10"/>
      <c r="BW139" s="11">
        <v>0</v>
      </c>
      <c r="BX139" s="10"/>
      <c r="BY139" s="10"/>
      <c r="BZ139" s="11">
        <v>0</v>
      </c>
      <c r="CA139" s="10"/>
      <c r="CB139" s="10"/>
      <c r="CC139" s="11">
        <v>0</v>
      </c>
      <c r="CD139" s="10"/>
      <c r="CE139" s="10"/>
      <c r="CF139" s="11">
        <v>0</v>
      </c>
      <c r="CG139" s="10"/>
      <c r="CH139" s="10"/>
      <c r="CI139" s="11">
        <v>0</v>
      </c>
      <c r="CJ139" s="10"/>
      <c r="CK139" s="10"/>
      <c r="CL139" s="11">
        <v>0</v>
      </c>
      <c r="CM139" s="10"/>
      <c r="CN139" s="10"/>
      <c r="CO139" s="11">
        <v>0</v>
      </c>
      <c r="CP139" s="10"/>
      <c r="CQ139" s="10"/>
      <c r="CR139" s="11">
        <v>0</v>
      </c>
      <c r="CS139" s="10"/>
      <c r="CT139" s="10"/>
      <c r="CU139" s="11">
        <v>0</v>
      </c>
      <c r="CV139" s="10"/>
      <c r="CW139" s="10"/>
      <c r="CX139" s="11">
        <v>0</v>
      </c>
      <c r="CY139" s="10"/>
      <c r="CZ139" s="10"/>
      <c r="DA139" s="11">
        <v>0</v>
      </c>
      <c r="DB139" s="10">
        <v>6500000</v>
      </c>
      <c r="DC139" s="10">
        <f t="shared" si="298"/>
        <v>2652950</v>
      </c>
      <c r="DD139" s="13">
        <f t="shared" ref="DD139:DD143" si="309">DC139/DB139</f>
        <v>0.40814615384615383</v>
      </c>
      <c r="DE139" s="14"/>
    </row>
    <row r="140" spans="1:109" x14ac:dyDescent="0.35">
      <c r="A140" s="8" t="s">
        <v>338</v>
      </c>
      <c r="B140" s="9" t="s">
        <v>59</v>
      </c>
      <c r="C140" s="9" t="s">
        <v>43</v>
      </c>
      <c r="D140" s="9" t="s">
        <v>339</v>
      </c>
      <c r="E140" s="9" t="s">
        <v>61</v>
      </c>
      <c r="F140" s="9" t="s">
        <v>62</v>
      </c>
      <c r="G140" s="10"/>
      <c r="H140" s="10"/>
      <c r="I140" s="11">
        <v>0</v>
      </c>
      <c r="J140" s="10"/>
      <c r="K140" s="10"/>
      <c r="L140" s="12">
        <v>0</v>
      </c>
      <c r="M140" s="10"/>
      <c r="N140" s="10"/>
      <c r="O140" s="11">
        <v>0</v>
      </c>
      <c r="P140" s="10"/>
      <c r="Q140" s="10"/>
      <c r="R140" s="11">
        <v>0</v>
      </c>
      <c r="S140" s="10"/>
      <c r="T140" s="10"/>
      <c r="U140" s="11">
        <v>0</v>
      </c>
      <c r="V140" s="10">
        <v>1200000</v>
      </c>
      <c r="W140" s="10">
        <v>602750</v>
      </c>
      <c r="X140" s="11">
        <v>0.50229166666666669</v>
      </c>
      <c r="Y140" s="10"/>
      <c r="Z140" s="10"/>
      <c r="AA140" s="11"/>
      <c r="AB140" s="10"/>
      <c r="AC140" s="10"/>
      <c r="AD140" s="11">
        <v>0</v>
      </c>
      <c r="AE140" s="10"/>
      <c r="AF140" s="10"/>
      <c r="AG140" s="11">
        <v>0</v>
      </c>
      <c r="AH140" s="10"/>
      <c r="AI140" s="10"/>
      <c r="AJ140" s="11">
        <v>0</v>
      </c>
      <c r="AK140" s="10"/>
      <c r="AL140" s="10"/>
      <c r="AM140" s="11">
        <v>0</v>
      </c>
      <c r="AN140" s="10"/>
      <c r="AO140" s="10"/>
      <c r="AP140" s="11">
        <v>0</v>
      </c>
      <c r="AQ140" s="10"/>
      <c r="AR140" s="10"/>
      <c r="AS140" s="11">
        <v>0</v>
      </c>
      <c r="AT140" s="10"/>
      <c r="AU140" s="10"/>
      <c r="AV140" s="11">
        <v>0</v>
      </c>
      <c r="AW140" s="10"/>
      <c r="AX140" s="10"/>
      <c r="AY140" s="11">
        <v>0</v>
      </c>
      <c r="AZ140" s="10"/>
      <c r="BA140" s="10"/>
      <c r="BB140" s="11">
        <v>0</v>
      </c>
      <c r="BC140" s="10"/>
      <c r="BD140" s="10"/>
      <c r="BE140" s="11">
        <v>0</v>
      </c>
      <c r="BF140" s="10"/>
      <c r="BG140" s="10"/>
      <c r="BH140" s="11">
        <v>0</v>
      </c>
      <c r="BI140" s="10"/>
      <c r="BJ140" s="10"/>
      <c r="BK140" s="11">
        <v>0</v>
      </c>
      <c r="BL140" s="10"/>
      <c r="BM140" s="10"/>
      <c r="BN140" s="11">
        <v>0</v>
      </c>
      <c r="BO140" s="10"/>
      <c r="BP140" s="10"/>
      <c r="BQ140" s="11">
        <v>0</v>
      </c>
      <c r="BR140" s="10"/>
      <c r="BS140" s="10"/>
      <c r="BT140" s="11">
        <v>0</v>
      </c>
      <c r="BU140" s="10"/>
      <c r="BV140" s="10"/>
      <c r="BW140" s="11">
        <v>0</v>
      </c>
      <c r="BX140" s="10"/>
      <c r="BY140" s="10"/>
      <c r="BZ140" s="11">
        <v>0</v>
      </c>
      <c r="CA140" s="10"/>
      <c r="CB140" s="10"/>
      <c r="CC140" s="11">
        <v>0</v>
      </c>
      <c r="CD140" s="10"/>
      <c r="CE140" s="10"/>
      <c r="CF140" s="11">
        <v>0</v>
      </c>
      <c r="CG140" s="10"/>
      <c r="CH140" s="10"/>
      <c r="CI140" s="11">
        <v>0</v>
      </c>
      <c r="CJ140" s="10"/>
      <c r="CK140" s="10"/>
      <c r="CL140" s="11">
        <v>0</v>
      </c>
      <c r="CM140" s="10"/>
      <c r="CN140" s="10"/>
      <c r="CO140" s="11">
        <v>0</v>
      </c>
      <c r="CP140" s="10"/>
      <c r="CQ140" s="10"/>
      <c r="CR140" s="11">
        <v>0</v>
      </c>
      <c r="CS140" s="10"/>
      <c r="CT140" s="10"/>
      <c r="CU140" s="11">
        <v>0</v>
      </c>
      <c r="CV140" s="10"/>
      <c r="CW140" s="10"/>
      <c r="CX140" s="11">
        <v>0</v>
      </c>
      <c r="CY140" s="10"/>
      <c r="CZ140" s="10"/>
      <c r="DA140" s="11">
        <v>0</v>
      </c>
      <c r="DB140" s="10">
        <v>1200000</v>
      </c>
      <c r="DC140" s="10">
        <f t="shared" ref="DC140:DC144" si="310">SUM(H140,K140,N140,Q140,T140,W140,Z140,AC140,AF140,AI140,AL140,AO140,AR140,AU140,AX140,BA140,BD140,BG140,BJ140,BM140,BP140,BS140,BV140,BY140,CB140,CE140,CH140,CK140,CN140,CQ140,CT140,CW140,CZ140)</f>
        <v>602750</v>
      </c>
      <c r="DD140" s="13">
        <f t="shared" si="309"/>
        <v>0.50229166666666669</v>
      </c>
      <c r="DE140" s="14"/>
    </row>
    <row r="141" spans="1:109" x14ac:dyDescent="0.35">
      <c r="A141" s="8" t="s">
        <v>340</v>
      </c>
      <c r="B141" s="9" t="s">
        <v>51</v>
      </c>
      <c r="C141" s="9" t="s">
        <v>52</v>
      </c>
      <c r="D141" s="9" t="s">
        <v>341</v>
      </c>
      <c r="E141" s="9" t="s">
        <v>54</v>
      </c>
      <c r="F141" s="9" t="s">
        <v>55</v>
      </c>
      <c r="G141" s="10"/>
      <c r="H141" s="10"/>
      <c r="I141" s="11">
        <v>0</v>
      </c>
      <c r="J141" s="10"/>
      <c r="K141" s="10"/>
      <c r="L141" s="12">
        <v>0</v>
      </c>
      <c r="M141" s="10"/>
      <c r="N141" s="10"/>
      <c r="O141" s="11">
        <v>0</v>
      </c>
      <c r="P141" s="10"/>
      <c r="Q141" s="10"/>
      <c r="R141" s="11">
        <v>0</v>
      </c>
      <c r="S141" s="10"/>
      <c r="T141" s="10"/>
      <c r="U141" s="11">
        <v>0</v>
      </c>
      <c r="V141" s="10"/>
      <c r="W141" s="10"/>
      <c r="X141" s="11">
        <v>0</v>
      </c>
      <c r="Y141" s="10"/>
      <c r="Z141" s="10"/>
      <c r="AA141" s="11"/>
      <c r="AB141" s="10"/>
      <c r="AC141" s="10"/>
      <c r="AD141" s="11">
        <v>0</v>
      </c>
      <c r="AE141" s="10"/>
      <c r="AF141" s="10"/>
      <c r="AG141" s="11">
        <v>0</v>
      </c>
      <c r="AH141" s="10"/>
      <c r="AI141" s="10"/>
      <c r="AJ141" s="11">
        <v>0</v>
      </c>
      <c r="AK141" s="10"/>
      <c r="AL141" s="10"/>
      <c r="AM141" s="11">
        <v>0</v>
      </c>
      <c r="AN141" s="10"/>
      <c r="AO141" s="10"/>
      <c r="AP141" s="11">
        <v>0</v>
      </c>
      <c r="AQ141" s="10"/>
      <c r="AR141" s="10"/>
      <c r="AS141" s="11">
        <v>0</v>
      </c>
      <c r="AT141" s="10"/>
      <c r="AU141" s="10"/>
      <c r="AV141" s="11">
        <v>0</v>
      </c>
      <c r="AW141" s="10"/>
      <c r="AX141" s="10"/>
      <c r="AY141" s="11">
        <v>0</v>
      </c>
      <c r="AZ141" s="10"/>
      <c r="BA141" s="10"/>
      <c r="BB141" s="11">
        <v>0</v>
      </c>
      <c r="BC141" s="10"/>
      <c r="BD141" s="10"/>
      <c r="BE141" s="11">
        <v>0</v>
      </c>
      <c r="BF141" s="10"/>
      <c r="BG141" s="10"/>
      <c r="BH141" s="11">
        <v>0</v>
      </c>
      <c r="BI141" s="10"/>
      <c r="BJ141" s="10"/>
      <c r="BK141" s="11">
        <v>0</v>
      </c>
      <c r="BL141" s="10"/>
      <c r="BM141" s="10"/>
      <c r="BN141" s="11">
        <v>0</v>
      </c>
      <c r="BO141" s="10"/>
      <c r="BP141" s="10"/>
      <c r="BQ141" s="11">
        <v>0</v>
      </c>
      <c r="BR141" s="10"/>
      <c r="BS141" s="10"/>
      <c r="BT141" s="11">
        <v>0</v>
      </c>
      <c r="BU141" s="10"/>
      <c r="BV141" s="10"/>
      <c r="BW141" s="11">
        <v>0</v>
      </c>
      <c r="BX141" s="10"/>
      <c r="BY141" s="10"/>
      <c r="BZ141" s="11">
        <v>0</v>
      </c>
      <c r="CA141" s="10"/>
      <c r="CB141" s="10"/>
      <c r="CC141" s="11">
        <v>0</v>
      </c>
      <c r="CD141" s="10"/>
      <c r="CE141" s="10"/>
      <c r="CF141" s="11">
        <v>0</v>
      </c>
      <c r="CG141" s="10"/>
      <c r="CH141" s="10"/>
      <c r="CI141" s="11">
        <v>0</v>
      </c>
      <c r="CJ141" s="10"/>
      <c r="CK141" s="10"/>
      <c r="CL141" s="11">
        <v>0</v>
      </c>
      <c r="CM141" s="10"/>
      <c r="CN141" s="10"/>
      <c r="CO141" s="11">
        <v>0</v>
      </c>
      <c r="CP141" s="10"/>
      <c r="CQ141" s="10"/>
      <c r="CR141" s="11">
        <v>0</v>
      </c>
      <c r="CS141" s="10"/>
      <c r="CT141" s="10"/>
      <c r="CU141" s="11">
        <v>0</v>
      </c>
      <c r="CV141" s="10"/>
      <c r="CW141" s="10"/>
      <c r="CX141" s="11">
        <v>0</v>
      </c>
      <c r="CY141" s="10"/>
      <c r="CZ141" s="10"/>
      <c r="DA141" s="11">
        <v>0</v>
      </c>
      <c r="DB141" s="10"/>
      <c r="DC141" s="10"/>
      <c r="DD141" s="13">
        <v>0</v>
      </c>
      <c r="DE141" s="14"/>
    </row>
    <row r="142" spans="1:109" x14ac:dyDescent="0.35">
      <c r="A142" s="8" t="s">
        <v>342</v>
      </c>
      <c r="B142" s="9" t="s">
        <v>140</v>
      </c>
      <c r="C142" s="9" t="s">
        <v>43</v>
      </c>
      <c r="D142" s="9" t="s">
        <v>343</v>
      </c>
      <c r="E142" s="9" t="s">
        <v>45</v>
      </c>
      <c r="F142" s="9" t="s">
        <v>46</v>
      </c>
      <c r="G142" s="10"/>
      <c r="H142" s="10"/>
      <c r="I142" s="11">
        <v>0</v>
      </c>
      <c r="J142" s="10"/>
      <c r="K142" s="10"/>
      <c r="L142" s="12">
        <v>0</v>
      </c>
      <c r="M142" s="10">
        <v>5432000</v>
      </c>
      <c r="N142" s="10"/>
      <c r="O142" s="11">
        <f t="shared" ref="O142:O145" si="311">N142/M142</f>
        <v>0</v>
      </c>
      <c r="P142" s="10"/>
      <c r="Q142" s="10"/>
      <c r="R142" s="11">
        <v>0</v>
      </c>
      <c r="S142" s="10"/>
      <c r="T142" s="10"/>
      <c r="U142" s="11">
        <v>0</v>
      </c>
      <c r="V142" s="10"/>
      <c r="W142" s="10"/>
      <c r="X142" s="11">
        <v>0</v>
      </c>
      <c r="Y142" s="10"/>
      <c r="Z142" s="10"/>
      <c r="AA142" s="11"/>
      <c r="AB142" s="10"/>
      <c r="AC142" s="10"/>
      <c r="AD142" s="11">
        <v>0</v>
      </c>
      <c r="AE142" s="10"/>
      <c r="AF142" s="10"/>
      <c r="AG142" s="11">
        <v>0</v>
      </c>
      <c r="AH142" s="10"/>
      <c r="AI142" s="10"/>
      <c r="AJ142" s="11">
        <v>0</v>
      </c>
      <c r="AK142" s="10"/>
      <c r="AL142" s="10"/>
      <c r="AM142" s="11">
        <v>0</v>
      </c>
      <c r="AN142" s="10"/>
      <c r="AO142" s="10"/>
      <c r="AP142" s="11">
        <v>0</v>
      </c>
      <c r="AQ142" s="10"/>
      <c r="AR142" s="10"/>
      <c r="AS142" s="11">
        <v>0</v>
      </c>
      <c r="AT142" s="10"/>
      <c r="AU142" s="10"/>
      <c r="AV142" s="11">
        <v>0</v>
      </c>
      <c r="AW142" s="10"/>
      <c r="AX142" s="10"/>
      <c r="AY142" s="11">
        <v>0</v>
      </c>
      <c r="AZ142" s="10"/>
      <c r="BA142" s="10"/>
      <c r="BB142" s="11">
        <v>0</v>
      </c>
      <c r="BC142" s="10"/>
      <c r="BD142" s="10"/>
      <c r="BE142" s="11">
        <v>0</v>
      </c>
      <c r="BF142" s="10"/>
      <c r="BG142" s="10"/>
      <c r="BH142" s="11">
        <v>0</v>
      </c>
      <c r="BI142" s="10"/>
      <c r="BJ142" s="10"/>
      <c r="BK142" s="11">
        <v>0</v>
      </c>
      <c r="BL142" s="10"/>
      <c r="BM142" s="10"/>
      <c r="BN142" s="11">
        <v>0</v>
      </c>
      <c r="BO142" s="10"/>
      <c r="BP142" s="10"/>
      <c r="BQ142" s="11">
        <v>0</v>
      </c>
      <c r="BR142" s="10">
        <v>800000</v>
      </c>
      <c r="BS142" s="10"/>
      <c r="BT142" s="11">
        <f t="shared" ref="BT142" si="312">BS142/BR142</f>
        <v>0</v>
      </c>
      <c r="BU142" s="10">
        <v>400000</v>
      </c>
      <c r="BV142" s="10"/>
      <c r="BW142" s="11">
        <f t="shared" ref="BW142" si="313">BV142/BU142</f>
        <v>0</v>
      </c>
      <c r="BX142" s="10"/>
      <c r="BY142" s="10"/>
      <c r="BZ142" s="11">
        <v>0</v>
      </c>
      <c r="CA142" s="10"/>
      <c r="CB142" s="10"/>
      <c r="CC142" s="11">
        <v>0</v>
      </c>
      <c r="CD142" s="10"/>
      <c r="CE142" s="10"/>
      <c r="CF142" s="11">
        <v>0</v>
      </c>
      <c r="CG142" s="10"/>
      <c r="CH142" s="10"/>
      <c r="CI142" s="11">
        <v>0</v>
      </c>
      <c r="CJ142" s="10"/>
      <c r="CK142" s="10"/>
      <c r="CL142" s="11">
        <v>0</v>
      </c>
      <c r="CM142" s="10"/>
      <c r="CN142" s="10"/>
      <c r="CO142" s="11">
        <v>0</v>
      </c>
      <c r="CP142" s="10"/>
      <c r="CQ142" s="10"/>
      <c r="CR142" s="11">
        <v>0</v>
      </c>
      <c r="CS142" s="10"/>
      <c r="CT142" s="10"/>
      <c r="CU142" s="11">
        <v>0</v>
      </c>
      <c r="CV142" s="10"/>
      <c r="CW142" s="10"/>
      <c r="CX142" s="11">
        <v>0</v>
      </c>
      <c r="CY142" s="10"/>
      <c r="CZ142" s="10"/>
      <c r="DA142" s="11">
        <v>0</v>
      </c>
      <c r="DB142" s="10">
        <v>6632000</v>
      </c>
      <c r="DC142" s="10"/>
      <c r="DD142" s="15">
        <f t="shared" si="309"/>
        <v>0</v>
      </c>
      <c r="DE142" s="16"/>
    </row>
    <row r="143" spans="1:109" x14ac:dyDescent="0.35">
      <c r="A143" s="8" t="s">
        <v>344</v>
      </c>
      <c r="B143" s="9" t="s">
        <v>74</v>
      </c>
      <c r="C143" s="9" t="s">
        <v>52</v>
      </c>
      <c r="D143" s="9" t="s">
        <v>345</v>
      </c>
      <c r="E143" s="9" t="s">
        <v>54</v>
      </c>
      <c r="F143" s="9" t="s">
        <v>55</v>
      </c>
      <c r="G143" s="10"/>
      <c r="H143" s="10">
        <v>36500</v>
      </c>
      <c r="I143" s="11">
        <v>0</v>
      </c>
      <c r="J143" s="10"/>
      <c r="K143" s="10"/>
      <c r="L143" s="12">
        <v>0</v>
      </c>
      <c r="M143" s="10"/>
      <c r="N143" s="10"/>
      <c r="O143" s="11">
        <v>0</v>
      </c>
      <c r="P143" s="10"/>
      <c r="Q143" s="10"/>
      <c r="R143" s="11">
        <v>0</v>
      </c>
      <c r="S143" s="10"/>
      <c r="T143" s="10"/>
      <c r="U143" s="11">
        <v>0</v>
      </c>
      <c r="V143" s="10"/>
      <c r="W143" s="10"/>
      <c r="X143" s="11">
        <v>0</v>
      </c>
      <c r="Y143" s="10"/>
      <c r="Z143" s="10"/>
      <c r="AA143" s="11"/>
      <c r="AB143" s="10">
        <v>120000</v>
      </c>
      <c r="AC143" s="10">
        <v>49750</v>
      </c>
      <c r="AD143" s="11">
        <v>0.41458333333333336</v>
      </c>
      <c r="AE143" s="10">
        <v>200000</v>
      </c>
      <c r="AF143" s="10">
        <v>49925</v>
      </c>
      <c r="AG143" s="11">
        <f t="shared" ref="AG143" si="314">AF143/AE143</f>
        <v>0.24962500000000001</v>
      </c>
      <c r="AH143" s="10"/>
      <c r="AI143" s="10"/>
      <c r="AJ143" s="11">
        <v>0</v>
      </c>
      <c r="AK143" s="10"/>
      <c r="AL143" s="10"/>
      <c r="AM143" s="11">
        <v>0</v>
      </c>
      <c r="AN143" s="10"/>
      <c r="AO143" s="10"/>
      <c r="AP143" s="11">
        <v>0</v>
      </c>
      <c r="AQ143" s="10"/>
      <c r="AR143" s="10"/>
      <c r="AS143" s="11">
        <v>0</v>
      </c>
      <c r="AT143" s="10"/>
      <c r="AU143" s="10">
        <v>42780</v>
      </c>
      <c r="AV143" s="11">
        <v>0</v>
      </c>
      <c r="AW143" s="10"/>
      <c r="AX143" s="10"/>
      <c r="AY143" s="11">
        <v>0</v>
      </c>
      <c r="AZ143" s="10"/>
      <c r="BA143" s="10"/>
      <c r="BB143" s="11">
        <v>0</v>
      </c>
      <c r="BC143" s="10"/>
      <c r="BD143" s="10"/>
      <c r="BE143" s="11">
        <v>0</v>
      </c>
      <c r="BF143" s="10">
        <v>1500000</v>
      </c>
      <c r="BG143" s="10">
        <f>VLOOKUP(A:A,'[1]2026 Customer Brand Sales'!$A:$BA,53,0)</f>
        <v>1123190</v>
      </c>
      <c r="BH143" s="11">
        <f t="shared" ref="BH143" si="315">BG143/BF143</f>
        <v>0.74879333333333331</v>
      </c>
      <c r="BI143" s="10"/>
      <c r="BJ143" s="10"/>
      <c r="BK143" s="11">
        <v>0</v>
      </c>
      <c r="BL143" s="10"/>
      <c r="BM143" s="10">
        <v>14305</v>
      </c>
      <c r="BN143" s="11">
        <v>0</v>
      </c>
      <c r="BO143" s="10"/>
      <c r="BP143" s="10"/>
      <c r="BQ143" s="11">
        <v>0</v>
      </c>
      <c r="BR143" s="10"/>
      <c r="BS143" s="10"/>
      <c r="BT143" s="11">
        <v>0</v>
      </c>
      <c r="BU143" s="10"/>
      <c r="BV143" s="10"/>
      <c r="BW143" s="11">
        <v>0</v>
      </c>
      <c r="BX143" s="10"/>
      <c r="BY143" s="10"/>
      <c r="BZ143" s="11">
        <v>0</v>
      </c>
      <c r="CA143" s="10"/>
      <c r="CB143" s="10"/>
      <c r="CC143" s="11">
        <v>0</v>
      </c>
      <c r="CD143" s="10"/>
      <c r="CE143" s="10"/>
      <c r="CF143" s="11">
        <v>0</v>
      </c>
      <c r="CG143" s="10">
        <v>20000</v>
      </c>
      <c r="CH143" s="10"/>
      <c r="CI143" s="11">
        <f t="shared" ref="CI143" si="316">CH143/CG143</f>
        <v>0</v>
      </c>
      <c r="CJ143" s="10"/>
      <c r="CK143" s="10"/>
      <c r="CL143" s="11">
        <v>0</v>
      </c>
      <c r="CM143" s="10"/>
      <c r="CN143" s="10"/>
      <c r="CO143" s="11">
        <v>0</v>
      </c>
      <c r="CP143" s="10"/>
      <c r="CQ143" s="10"/>
      <c r="CR143" s="11">
        <v>0</v>
      </c>
      <c r="CS143" s="10"/>
      <c r="CT143" s="10">
        <v>30000</v>
      </c>
      <c r="CU143" s="11">
        <v>0</v>
      </c>
      <c r="CV143" s="10"/>
      <c r="CW143" s="10"/>
      <c r="CX143" s="11">
        <v>0</v>
      </c>
      <c r="CY143" s="10"/>
      <c r="CZ143" s="10"/>
      <c r="DA143" s="11">
        <v>0</v>
      </c>
      <c r="DB143" s="10">
        <v>1840000</v>
      </c>
      <c r="DC143" s="10">
        <f t="shared" si="310"/>
        <v>1346450</v>
      </c>
      <c r="DD143" s="13">
        <f t="shared" si="309"/>
        <v>0.73176630434782608</v>
      </c>
      <c r="DE143" s="14"/>
    </row>
    <row r="144" spans="1:109" x14ac:dyDescent="0.35">
      <c r="A144" s="8" t="s">
        <v>346</v>
      </c>
      <c r="B144" s="9" t="s">
        <v>74</v>
      </c>
      <c r="C144" s="9" t="s">
        <v>52</v>
      </c>
      <c r="D144" s="9" t="s">
        <v>347</v>
      </c>
      <c r="E144" s="9" t="s">
        <v>54</v>
      </c>
      <c r="F144" s="9" t="s">
        <v>55</v>
      </c>
      <c r="G144" s="10"/>
      <c r="H144" s="10"/>
      <c r="I144" s="11">
        <v>0</v>
      </c>
      <c r="J144" s="10"/>
      <c r="K144" s="10"/>
      <c r="L144" s="12">
        <v>0</v>
      </c>
      <c r="M144" s="10">
        <v>112000</v>
      </c>
      <c r="N144" s="10"/>
      <c r="O144" s="11">
        <f t="shared" si="311"/>
        <v>0</v>
      </c>
      <c r="P144" s="10"/>
      <c r="Q144" s="10"/>
      <c r="R144" s="11">
        <v>0</v>
      </c>
      <c r="S144" s="10"/>
      <c r="T144" s="10"/>
      <c r="U144" s="11">
        <v>0</v>
      </c>
      <c r="V144" s="10">
        <v>10000</v>
      </c>
      <c r="W144" s="10"/>
      <c r="X144" s="11">
        <v>0</v>
      </c>
      <c r="Y144" s="10"/>
      <c r="Z144" s="10"/>
      <c r="AA144" s="11"/>
      <c r="AB144" s="10">
        <v>90000</v>
      </c>
      <c r="AC144" s="10"/>
      <c r="AD144" s="11">
        <v>0</v>
      </c>
      <c r="AE144" s="10">
        <v>400000</v>
      </c>
      <c r="AF144" s="10">
        <v>475495</v>
      </c>
      <c r="AG144" s="11">
        <f t="shared" ref="AG144" si="317">AF144/AE144</f>
        <v>1.1887375</v>
      </c>
      <c r="AH144" s="10"/>
      <c r="AI144" s="10"/>
      <c r="AJ144" s="11">
        <v>0</v>
      </c>
      <c r="AK144" s="10"/>
      <c r="AL144" s="10"/>
      <c r="AM144" s="11">
        <v>0</v>
      </c>
      <c r="AN144" s="10"/>
      <c r="AO144" s="10"/>
      <c r="AP144" s="11">
        <v>0</v>
      </c>
      <c r="AQ144" s="10"/>
      <c r="AR144" s="10"/>
      <c r="AS144" s="11">
        <v>0</v>
      </c>
      <c r="AT144" s="10"/>
      <c r="AU144" s="10">
        <v>16500</v>
      </c>
      <c r="AV144" s="11">
        <v>0</v>
      </c>
      <c r="AW144" s="10"/>
      <c r="AX144" s="10"/>
      <c r="AY144" s="11">
        <v>0</v>
      </c>
      <c r="AZ144" s="10"/>
      <c r="BA144" s="10"/>
      <c r="BB144" s="11">
        <v>0</v>
      </c>
      <c r="BC144" s="10">
        <v>38600</v>
      </c>
      <c r="BD144" s="10"/>
      <c r="BE144" s="11">
        <f t="shared" ref="BE144:BE147" si="318">BD144/BC144</f>
        <v>0</v>
      </c>
      <c r="BF144" s="10">
        <v>2500000</v>
      </c>
      <c r="BG144" s="10">
        <f>VLOOKUP(A:A,'[1]2026 Customer Brand Sales'!$A:$BA,53,0)</f>
        <v>981425</v>
      </c>
      <c r="BH144" s="11">
        <f t="shared" ref="BH144" si="319">BG144/BF144</f>
        <v>0.39256999999999997</v>
      </c>
      <c r="BI144" s="10"/>
      <c r="BJ144" s="10"/>
      <c r="BK144" s="11">
        <v>0</v>
      </c>
      <c r="BL144" s="10">
        <v>200000</v>
      </c>
      <c r="BM144" s="10">
        <v>17305</v>
      </c>
      <c r="BN144" s="11">
        <f t="shared" ref="BN144" si="320">BM144/BL144</f>
        <v>8.6525000000000005E-2</v>
      </c>
      <c r="BO144" s="10"/>
      <c r="BP144" s="10"/>
      <c r="BQ144" s="11">
        <v>0</v>
      </c>
      <c r="BR144" s="10">
        <v>85000</v>
      </c>
      <c r="BS144" s="10"/>
      <c r="BT144" s="11">
        <f t="shared" ref="BT144" si="321">BS144/BR144</f>
        <v>0</v>
      </c>
      <c r="BU144" s="10">
        <v>20000</v>
      </c>
      <c r="BV144" s="10"/>
      <c r="BW144" s="11">
        <f t="shared" ref="BW144" si="322">BV144/BU144</f>
        <v>0</v>
      </c>
      <c r="BX144" s="10"/>
      <c r="BY144" s="10"/>
      <c r="BZ144" s="11">
        <v>0</v>
      </c>
      <c r="CA144" s="10"/>
      <c r="CB144" s="10"/>
      <c r="CC144" s="11">
        <v>0</v>
      </c>
      <c r="CD144" s="10"/>
      <c r="CE144" s="10"/>
      <c r="CF144" s="11">
        <v>0</v>
      </c>
      <c r="CG144" s="10"/>
      <c r="CH144" s="10"/>
      <c r="CI144" s="11">
        <v>0</v>
      </c>
      <c r="CJ144" s="10"/>
      <c r="CK144" s="10"/>
      <c r="CL144" s="11">
        <v>0</v>
      </c>
      <c r="CM144" s="10"/>
      <c r="CN144" s="10"/>
      <c r="CO144" s="11">
        <v>0</v>
      </c>
      <c r="CP144" s="10"/>
      <c r="CQ144" s="10"/>
      <c r="CR144" s="11">
        <v>0</v>
      </c>
      <c r="CS144" s="10"/>
      <c r="CT144" s="10"/>
      <c r="CU144" s="11">
        <v>0</v>
      </c>
      <c r="CV144" s="10"/>
      <c r="CW144" s="10"/>
      <c r="CX144" s="11">
        <v>0</v>
      </c>
      <c r="CY144" s="10"/>
      <c r="CZ144" s="10"/>
      <c r="DA144" s="11">
        <v>0</v>
      </c>
      <c r="DB144" s="10">
        <v>3455600</v>
      </c>
      <c r="DC144" s="10">
        <f t="shared" si="310"/>
        <v>1490725</v>
      </c>
      <c r="DD144" s="13">
        <f t="shared" ref="DD144:DD147" si="323">DC144/DB144</f>
        <v>0.43139396920939921</v>
      </c>
      <c r="DE144" s="14"/>
    </row>
    <row r="145" spans="1:109" x14ac:dyDescent="0.35">
      <c r="A145" s="8" t="s">
        <v>348</v>
      </c>
      <c r="B145" s="9" t="s">
        <v>111</v>
      </c>
      <c r="C145" s="9" t="s">
        <v>52</v>
      </c>
      <c r="D145" s="9" t="s">
        <v>349</v>
      </c>
      <c r="E145" s="9" t="s">
        <v>54</v>
      </c>
      <c r="F145" s="9" t="s">
        <v>55</v>
      </c>
      <c r="G145" s="10"/>
      <c r="H145" s="10">
        <v>30000</v>
      </c>
      <c r="I145" s="11">
        <v>0</v>
      </c>
      <c r="J145" s="10"/>
      <c r="K145" s="10"/>
      <c r="L145" s="12">
        <v>0</v>
      </c>
      <c r="M145" s="10">
        <v>60000</v>
      </c>
      <c r="N145" s="10"/>
      <c r="O145" s="11">
        <f t="shared" si="311"/>
        <v>0</v>
      </c>
      <c r="P145" s="10"/>
      <c r="Q145" s="10"/>
      <c r="R145" s="11">
        <v>0</v>
      </c>
      <c r="S145" s="10"/>
      <c r="T145" s="10"/>
      <c r="U145" s="11">
        <v>0</v>
      </c>
      <c r="V145" s="10"/>
      <c r="W145" s="10"/>
      <c r="X145" s="11">
        <v>0</v>
      </c>
      <c r="Y145" s="10">
        <v>50000</v>
      </c>
      <c r="Z145" s="10"/>
      <c r="AA145" s="11">
        <f t="shared" ref="AA145" si="324">Z145/Y145</f>
        <v>0</v>
      </c>
      <c r="AB145" s="10"/>
      <c r="AC145" s="10"/>
      <c r="AD145" s="11">
        <v>0</v>
      </c>
      <c r="AE145" s="10"/>
      <c r="AF145" s="10">
        <v>51550</v>
      </c>
      <c r="AG145" s="11">
        <v>0</v>
      </c>
      <c r="AH145" s="10"/>
      <c r="AI145" s="10"/>
      <c r="AJ145" s="11">
        <v>0</v>
      </c>
      <c r="AK145" s="10"/>
      <c r="AL145" s="10"/>
      <c r="AM145" s="11">
        <v>0</v>
      </c>
      <c r="AN145" s="10"/>
      <c r="AO145" s="10"/>
      <c r="AP145" s="11">
        <v>0</v>
      </c>
      <c r="AQ145" s="10"/>
      <c r="AR145" s="10"/>
      <c r="AS145" s="11">
        <v>0</v>
      </c>
      <c r="AT145" s="10"/>
      <c r="AU145" s="10">
        <v>39540</v>
      </c>
      <c r="AV145" s="11">
        <v>0</v>
      </c>
      <c r="AW145" s="10"/>
      <c r="AX145" s="10"/>
      <c r="AY145" s="11">
        <v>0</v>
      </c>
      <c r="AZ145" s="10"/>
      <c r="BA145" s="10"/>
      <c r="BB145" s="11">
        <v>0</v>
      </c>
      <c r="BC145" s="10">
        <v>146680</v>
      </c>
      <c r="BD145" s="10"/>
      <c r="BE145" s="11">
        <f t="shared" si="318"/>
        <v>0</v>
      </c>
      <c r="BF145" s="10"/>
      <c r="BG145" s="10"/>
      <c r="BH145" s="11">
        <v>0</v>
      </c>
      <c r="BI145" s="10"/>
      <c r="BJ145" s="10"/>
      <c r="BK145" s="11">
        <v>0</v>
      </c>
      <c r="BL145" s="10"/>
      <c r="BM145" s="10"/>
      <c r="BN145" s="11">
        <v>0</v>
      </c>
      <c r="BO145" s="10"/>
      <c r="BP145" s="10"/>
      <c r="BQ145" s="11">
        <v>0</v>
      </c>
      <c r="BR145" s="10"/>
      <c r="BS145" s="10"/>
      <c r="BT145" s="11">
        <v>0</v>
      </c>
      <c r="BU145" s="10"/>
      <c r="BV145" s="10"/>
      <c r="BW145" s="11">
        <v>0</v>
      </c>
      <c r="BX145" s="10">
        <v>1729380</v>
      </c>
      <c r="BY145" s="10"/>
      <c r="BZ145" s="11">
        <f t="shared" ref="BZ145" si="325">BY145/BX145</f>
        <v>0</v>
      </c>
      <c r="CA145" s="10"/>
      <c r="CB145" s="10"/>
      <c r="CC145" s="11">
        <v>0</v>
      </c>
      <c r="CD145" s="10"/>
      <c r="CE145" s="10"/>
      <c r="CF145" s="11">
        <v>0</v>
      </c>
      <c r="CG145" s="10"/>
      <c r="CH145" s="10"/>
      <c r="CI145" s="11">
        <v>0</v>
      </c>
      <c r="CJ145" s="10"/>
      <c r="CK145" s="10"/>
      <c r="CL145" s="11">
        <v>0</v>
      </c>
      <c r="CM145" s="10"/>
      <c r="CN145" s="10"/>
      <c r="CO145" s="11">
        <v>0</v>
      </c>
      <c r="CP145" s="10"/>
      <c r="CQ145" s="10"/>
      <c r="CR145" s="11">
        <v>0</v>
      </c>
      <c r="CS145" s="10"/>
      <c r="CT145" s="10"/>
      <c r="CU145" s="11">
        <v>0</v>
      </c>
      <c r="CV145" s="10"/>
      <c r="CW145" s="10"/>
      <c r="CX145" s="11">
        <v>0</v>
      </c>
      <c r="CY145" s="10"/>
      <c r="CZ145" s="10"/>
      <c r="DA145" s="11">
        <v>0</v>
      </c>
      <c r="DB145" s="10">
        <v>1986060</v>
      </c>
      <c r="DC145" s="10">
        <f t="shared" ref="DC145:DC149" si="326">SUM(H145,K145,N145,Q145,T145,W145,Z145,AC145,AF145,AI145,AL145,AO145,AR145,AU145,AX145,BA145,BD145,BG145,BJ145,BM145,BP145,BS145,BV145,BY145,CB145,CE145,CH145,CK145,CN145,CQ145,CT145,CW145,CZ145)</f>
        <v>121090</v>
      </c>
      <c r="DD145" s="13">
        <f t="shared" si="323"/>
        <v>6.0969960625560156E-2</v>
      </c>
      <c r="DE145" s="14"/>
    </row>
    <row r="146" spans="1:109" x14ac:dyDescent="0.35">
      <c r="A146" s="8" t="s">
        <v>350</v>
      </c>
      <c r="B146" s="9" t="s">
        <v>108</v>
      </c>
      <c r="C146" s="9" t="s">
        <v>52</v>
      </c>
      <c r="D146" s="9" t="s">
        <v>351</v>
      </c>
      <c r="E146" s="9" t="s">
        <v>54</v>
      </c>
      <c r="F146" s="9" t="s">
        <v>55</v>
      </c>
      <c r="G146" s="10"/>
      <c r="H146" s="10"/>
      <c r="I146" s="11">
        <v>0</v>
      </c>
      <c r="J146" s="10"/>
      <c r="K146" s="10"/>
      <c r="L146" s="12">
        <v>0</v>
      </c>
      <c r="M146" s="10"/>
      <c r="N146" s="10"/>
      <c r="O146" s="11">
        <v>0</v>
      </c>
      <c r="P146" s="10"/>
      <c r="Q146" s="10"/>
      <c r="R146" s="11">
        <v>0</v>
      </c>
      <c r="S146" s="10"/>
      <c r="T146" s="10"/>
      <c r="U146" s="11">
        <v>0</v>
      </c>
      <c r="V146" s="10"/>
      <c r="W146" s="10"/>
      <c r="X146" s="11">
        <v>0</v>
      </c>
      <c r="Y146" s="10"/>
      <c r="Z146" s="10"/>
      <c r="AA146" s="11"/>
      <c r="AB146" s="10"/>
      <c r="AC146" s="10"/>
      <c r="AD146" s="11">
        <v>0</v>
      </c>
      <c r="AE146" s="10"/>
      <c r="AF146" s="10">
        <v>570</v>
      </c>
      <c r="AG146" s="11">
        <v>0</v>
      </c>
      <c r="AH146" s="10"/>
      <c r="AI146" s="10"/>
      <c r="AJ146" s="11">
        <v>0</v>
      </c>
      <c r="AK146" s="10">
        <v>700000</v>
      </c>
      <c r="AL146" s="10">
        <v>189900</v>
      </c>
      <c r="AM146" s="11">
        <f t="shared" ref="AM146" si="327">AL146/AK146</f>
        <v>0.2712857142857143</v>
      </c>
      <c r="AN146" s="10"/>
      <c r="AO146" s="10"/>
      <c r="AP146" s="11">
        <v>0</v>
      </c>
      <c r="AQ146" s="10"/>
      <c r="AR146" s="10"/>
      <c r="AS146" s="11">
        <v>0</v>
      </c>
      <c r="AT146" s="10"/>
      <c r="AU146" s="10"/>
      <c r="AV146" s="11">
        <v>0</v>
      </c>
      <c r="AW146" s="10"/>
      <c r="AX146" s="10"/>
      <c r="AY146" s="11">
        <v>0</v>
      </c>
      <c r="AZ146" s="10"/>
      <c r="BA146" s="10"/>
      <c r="BB146" s="11">
        <v>0</v>
      </c>
      <c r="BC146" s="10"/>
      <c r="BD146" s="10"/>
      <c r="BE146" s="11">
        <v>0</v>
      </c>
      <c r="BF146" s="10"/>
      <c r="BG146" s="10">
        <f>VLOOKUP(A:A,'[1]2026 Customer Brand Sales'!$A:$BA,53,0)</f>
        <v>3690</v>
      </c>
      <c r="BH146" s="11">
        <v>0</v>
      </c>
      <c r="BI146" s="10"/>
      <c r="BJ146" s="10"/>
      <c r="BK146" s="11">
        <v>0</v>
      </c>
      <c r="BL146" s="10"/>
      <c r="BM146" s="10"/>
      <c r="BN146" s="11">
        <v>0</v>
      </c>
      <c r="BO146" s="10"/>
      <c r="BP146" s="10"/>
      <c r="BQ146" s="11">
        <v>0</v>
      </c>
      <c r="BR146" s="10"/>
      <c r="BS146" s="10"/>
      <c r="BT146" s="11">
        <v>0</v>
      </c>
      <c r="BU146" s="10"/>
      <c r="BV146" s="10"/>
      <c r="BW146" s="11">
        <v>0</v>
      </c>
      <c r="BX146" s="10"/>
      <c r="BY146" s="10"/>
      <c r="BZ146" s="11">
        <v>0</v>
      </c>
      <c r="CA146" s="10"/>
      <c r="CB146" s="10"/>
      <c r="CC146" s="11">
        <v>0</v>
      </c>
      <c r="CD146" s="10"/>
      <c r="CE146" s="10"/>
      <c r="CF146" s="11">
        <v>0</v>
      </c>
      <c r="CG146" s="10"/>
      <c r="CH146" s="10"/>
      <c r="CI146" s="11">
        <v>0</v>
      </c>
      <c r="CJ146" s="10"/>
      <c r="CK146" s="10"/>
      <c r="CL146" s="11">
        <v>0</v>
      </c>
      <c r="CM146" s="10"/>
      <c r="CN146" s="10"/>
      <c r="CO146" s="11">
        <v>0</v>
      </c>
      <c r="CP146" s="10"/>
      <c r="CQ146" s="10"/>
      <c r="CR146" s="11">
        <v>0</v>
      </c>
      <c r="CS146" s="10"/>
      <c r="CT146" s="10"/>
      <c r="CU146" s="11">
        <v>0</v>
      </c>
      <c r="CV146" s="10"/>
      <c r="CW146" s="10"/>
      <c r="CX146" s="11">
        <v>0</v>
      </c>
      <c r="CY146" s="10"/>
      <c r="CZ146" s="10"/>
      <c r="DA146" s="11">
        <v>0</v>
      </c>
      <c r="DB146" s="10">
        <v>700000</v>
      </c>
      <c r="DC146" s="10">
        <f t="shared" si="326"/>
        <v>194160</v>
      </c>
      <c r="DD146" s="13">
        <f t="shared" si="323"/>
        <v>0.27737142857142855</v>
      </c>
      <c r="DE146" s="14"/>
    </row>
    <row r="147" spans="1:109" x14ac:dyDescent="0.35">
      <c r="A147" s="8" t="s">
        <v>352</v>
      </c>
      <c r="B147" s="9" t="s">
        <v>108</v>
      </c>
      <c r="C147" s="9" t="s">
        <v>52</v>
      </c>
      <c r="D147" s="9" t="s">
        <v>353</v>
      </c>
      <c r="E147" s="9" t="s">
        <v>54</v>
      </c>
      <c r="F147" s="9" t="s">
        <v>55</v>
      </c>
      <c r="G147" s="10">
        <v>3000000</v>
      </c>
      <c r="H147" s="10"/>
      <c r="I147" s="11">
        <f t="shared" ref="I147" si="328">H147/G147</f>
        <v>0</v>
      </c>
      <c r="J147" s="10"/>
      <c r="K147" s="10"/>
      <c r="L147" s="12">
        <v>0</v>
      </c>
      <c r="M147" s="10"/>
      <c r="N147" s="10"/>
      <c r="O147" s="11">
        <v>0</v>
      </c>
      <c r="P147" s="10">
        <v>200000</v>
      </c>
      <c r="Q147" s="10"/>
      <c r="R147" s="11">
        <f t="shared" ref="R147" si="329">Q147/P147</f>
        <v>0</v>
      </c>
      <c r="S147" s="10"/>
      <c r="T147" s="10"/>
      <c r="U147" s="11">
        <v>0</v>
      </c>
      <c r="V147" s="10"/>
      <c r="W147" s="10"/>
      <c r="X147" s="11">
        <v>0</v>
      </c>
      <c r="Y147" s="10"/>
      <c r="Z147" s="10"/>
      <c r="AA147" s="11"/>
      <c r="AB147" s="10"/>
      <c r="AC147" s="10"/>
      <c r="AD147" s="11">
        <v>0</v>
      </c>
      <c r="AE147" s="10"/>
      <c r="AF147" s="10"/>
      <c r="AG147" s="11">
        <v>0</v>
      </c>
      <c r="AH147" s="10"/>
      <c r="AI147" s="10"/>
      <c r="AJ147" s="11">
        <v>0</v>
      </c>
      <c r="AK147" s="10"/>
      <c r="AL147" s="10"/>
      <c r="AM147" s="11">
        <v>0</v>
      </c>
      <c r="AN147" s="10"/>
      <c r="AO147" s="10"/>
      <c r="AP147" s="11">
        <v>0</v>
      </c>
      <c r="AQ147" s="10"/>
      <c r="AR147" s="10"/>
      <c r="AS147" s="11">
        <v>0</v>
      </c>
      <c r="AT147" s="10">
        <v>500000</v>
      </c>
      <c r="AU147" s="10"/>
      <c r="AV147" s="11">
        <f t="shared" ref="AV147" si="330">AU147/AT147</f>
        <v>0</v>
      </c>
      <c r="AW147" s="10"/>
      <c r="AX147" s="10"/>
      <c r="AY147" s="11">
        <v>0</v>
      </c>
      <c r="AZ147" s="10"/>
      <c r="BA147" s="10"/>
      <c r="BB147" s="11">
        <v>0</v>
      </c>
      <c r="BC147" s="10">
        <v>386000</v>
      </c>
      <c r="BD147" s="10"/>
      <c r="BE147" s="11">
        <f t="shared" si="318"/>
        <v>0</v>
      </c>
      <c r="BF147" s="10"/>
      <c r="BG147" s="10"/>
      <c r="BH147" s="11">
        <v>0</v>
      </c>
      <c r="BI147" s="10"/>
      <c r="BJ147" s="10"/>
      <c r="BK147" s="11">
        <v>0</v>
      </c>
      <c r="BL147" s="10"/>
      <c r="BM147" s="10"/>
      <c r="BN147" s="11">
        <v>0</v>
      </c>
      <c r="BO147" s="10"/>
      <c r="BP147" s="10"/>
      <c r="BQ147" s="11">
        <v>0</v>
      </c>
      <c r="BR147" s="10"/>
      <c r="BS147" s="10"/>
      <c r="BT147" s="11">
        <v>0</v>
      </c>
      <c r="BU147" s="10"/>
      <c r="BV147" s="10"/>
      <c r="BW147" s="11">
        <v>0</v>
      </c>
      <c r="BX147" s="10"/>
      <c r="BY147" s="10"/>
      <c r="BZ147" s="11">
        <v>0</v>
      </c>
      <c r="CA147" s="10"/>
      <c r="CB147" s="10"/>
      <c r="CC147" s="11">
        <v>0</v>
      </c>
      <c r="CD147" s="10"/>
      <c r="CE147" s="10"/>
      <c r="CF147" s="11">
        <v>0</v>
      </c>
      <c r="CG147" s="10"/>
      <c r="CH147" s="10"/>
      <c r="CI147" s="11">
        <v>0</v>
      </c>
      <c r="CJ147" s="10"/>
      <c r="CK147" s="10"/>
      <c r="CL147" s="11">
        <v>0</v>
      </c>
      <c r="CM147" s="10"/>
      <c r="CN147" s="10"/>
      <c r="CO147" s="11">
        <v>0</v>
      </c>
      <c r="CP147" s="10"/>
      <c r="CQ147" s="10"/>
      <c r="CR147" s="11">
        <v>0</v>
      </c>
      <c r="CS147" s="10"/>
      <c r="CT147" s="10"/>
      <c r="CU147" s="11">
        <v>0</v>
      </c>
      <c r="CV147" s="10"/>
      <c r="CW147" s="10"/>
      <c r="CX147" s="11">
        <v>0</v>
      </c>
      <c r="CY147" s="10"/>
      <c r="CZ147" s="10"/>
      <c r="DA147" s="11">
        <v>0</v>
      </c>
      <c r="DB147" s="10">
        <v>4086000</v>
      </c>
      <c r="DC147" s="10"/>
      <c r="DD147" s="15">
        <f t="shared" si="323"/>
        <v>0</v>
      </c>
      <c r="DE147" s="16"/>
    </row>
    <row r="148" spans="1:109" x14ac:dyDescent="0.35">
      <c r="A148" s="8" t="s">
        <v>354</v>
      </c>
      <c r="B148" s="9" t="s">
        <v>48</v>
      </c>
      <c r="C148" s="9" t="s">
        <v>43</v>
      </c>
      <c r="D148" s="9" t="s">
        <v>355</v>
      </c>
      <c r="E148" s="9" t="s">
        <v>45</v>
      </c>
      <c r="F148" s="9" t="s">
        <v>46</v>
      </c>
      <c r="G148" s="10"/>
      <c r="H148" s="10"/>
      <c r="I148" s="11">
        <v>0</v>
      </c>
      <c r="J148" s="10"/>
      <c r="K148" s="10"/>
      <c r="L148" s="12">
        <v>0</v>
      </c>
      <c r="M148" s="10"/>
      <c r="N148" s="10"/>
      <c r="O148" s="11">
        <v>0</v>
      </c>
      <c r="P148" s="10"/>
      <c r="Q148" s="10"/>
      <c r="R148" s="11">
        <v>0</v>
      </c>
      <c r="S148" s="10"/>
      <c r="T148" s="10"/>
      <c r="U148" s="11">
        <v>0</v>
      </c>
      <c r="V148" s="10"/>
      <c r="W148" s="10"/>
      <c r="X148" s="11">
        <v>0</v>
      </c>
      <c r="Y148" s="10"/>
      <c r="Z148" s="10"/>
      <c r="AA148" s="11"/>
      <c r="AB148" s="10"/>
      <c r="AC148" s="10"/>
      <c r="AD148" s="11">
        <v>0</v>
      </c>
      <c r="AE148" s="10"/>
      <c r="AF148" s="10"/>
      <c r="AG148" s="11">
        <v>0</v>
      </c>
      <c r="AH148" s="10"/>
      <c r="AI148" s="10"/>
      <c r="AJ148" s="11">
        <v>0</v>
      </c>
      <c r="AK148" s="10"/>
      <c r="AL148" s="10"/>
      <c r="AM148" s="11">
        <v>0</v>
      </c>
      <c r="AN148" s="10"/>
      <c r="AO148" s="10"/>
      <c r="AP148" s="11">
        <v>0</v>
      </c>
      <c r="AQ148" s="10"/>
      <c r="AR148" s="10"/>
      <c r="AS148" s="11">
        <v>0</v>
      </c>
      <c r="AT148" s="10"/>
      <c r="AU148" s="10"/>
      <c r="AV148" s="11">
        <v>0</v>
      </c>
      <c r="AW148" s="10"/>
      <c r="AX148" s="10"/>
      <c r="AY148" s="11">
        <v>0</v>
      </c>
      <c r="AZ148" s="10"/>
      <c r="BA148" s="10"/>
      <c r="BB148" s="11">
        <v>0</v>
      </c>
      <c r="BC148" s="10"/>
      <c r="BD148" s="10"/>
      <c r="BE148" s="11">
        <v>0</v>
      </c>
      <c r="BF148" s="10"/>
      <c r="BG148" s="10"/>
      <c r="BH148" s="11">
        <v>0</v>
      </c>
      <c r="BI148" s="10"/>
      <c r="BJ148" s="10"/>
      <c r="BK148" s="11">
        <v>0</v>
      </c>
      <c r="BL148" s="10"/>
      <c r="BM148" s="10"/>
      <c r="BN148" s="11">
        <v>0</v>
      </c>
      <c r="BO148" s="10"/>
      <c r="BP148" s="10"/>
      <c r="BQ148" s="11">
        <v>0</v>
      </c>
      <c r="BR148" s="10"/>
      <c r="BS148" s="10"/>
      <c r="BT148" s="11">
        <v>0</v>
      </c>
      <c r="BU148" s="10"/>
      <c r="BV148" s="10"/>
      <c r="BW148" s="11">
        <v>0</v>
      </c>
      <c r="BX148" s="10"/>
      <c r="BY148" s="10"/>
      <c r="BZ148" s="11">
        <v>0</v>
      </c>
      <c r="CA148" s="10"/>
      <c r="CB148" s="10"/>
      <c r="CC148" s="11">
        <v>0</v>
      </c>
      <c r="CD148" s="10"/>
      <c r="CE148" s="10"/>
      <c r="CF148" s="11">
        <v>0</v>
      </c>
      <c r="CG148" s="10"/>
      <c r="CH148" s="10"/>
      <c r="CI148" s="11">
        <v>0</v>
      </c>
      <c r="CJ148" s="10"/>
      <c r="CK148" s="10"/>
      <c r="CL148" s="11">
        <v>0</v>
      </c>
      <c r="CM148" s="10"/>
      <c r="CN148" s="10"/>
      <c r="CO148" s="11">
        <v>0</v>
      </c>
      <c r="CP148" s="10"/>
      <c r="CQ148" s="10"/>
      <c r="CR148" s="11">
        <v>0</v>
      </c>
      <c r="CS148" s="10"/>
      <c r="CT148" s="10"/>
      <c r="CU148" s="11">
        <v>0</v>
      </c>
      <c r="CV148" s="10"/>
      <c r="CW148" s="10"/>
      <c r="CX148" s="11">
        <v>0</v>
      </c>
      <c r="CY148" s="10"/>
      <c r="CZ148" s="10"/>
      <c r="DA148" s="11">
        <v>0</v>
      </c>
      <c r="DB148" s="10"/>
      <c r="DC148" s="10"/>
      <c r="DD148" s="13">
        <v>0</v>
      </c>
      <c r="DE148" s="14"/>
    </row>
    <row r="149" spans="1:109" x14ac:dyDescent="0.35">
      <c r="A149" s="8" t="s">
        <v>356</v>
      </c>
      <c r="B149" s="9" t="s">
        <v>357</v>
      </c>
      <c r="C149" s="9" t="s">
        <v>43</v>
      </c>
      <c r="D149" s="9" t="s">
        <v>358</v>
      </c>
      <c r="E149" s="9" t="s">
        <v>45</v>
      </c>
      <c r="F149" s="9" t="s">
        <v>46</v>
      </c>
      <c r="G149" s="10"/>
      <c r="H149" s="10"/>
      <c r="I149" s="11">
        <v>0</v>
      </c>
      <c r="J149" s="10"/>
      <c r="K149" s="10">
        <v>9500</v>
      </c>
      <c r="L149" s="12">
        <v>0</v>
      </c>
      <c r="M149" s="10"/>
      <c r="N149" s="10"/>
      <c r="O149" s="11">
        <v>0</v>
      </c>
      <c r="P149" s="10"/>
      <c r="Q149" s="10"/>
      <c r="R149" s="11">
        <v>0</v>
      </c>
      <c r="S149" s="10"/>
      <c r="T149" s="10"/>
      <c r="U149" s="11">
        <v>0</v>
      </c>
      <c r="V149" s="10"/>
      <c r="W149" s="10"/>
      <c r="X149" s="11">
        <v>0</v>
      </c>
      <c r="Y149" s="10"/>
      <c r="Z149" s="10"/>
      <c r="AA149" s="11"/>
      <c r="AB149" s="10"/>
      <c r="AC149" s="10"/>
      <c r="AD149" s="11">
        <v>0</v>
      </c>
      <c r="AE149" s="10"/>
      <c r="AF149" s="10"/>
      <c r="AG149" s="11">
        <v>0</v>
      </c>
      <c r="AH149" s="10"/>
      <c r="AI149" s="10"/>
      <c r="AJ149" s="11">
        <v>0</v>
      </c>
      <c r="AK149" s="10"/>
      <c r="AL149" s="10"/>
      <c r="AM149" s="11">
        <v>0</v>
      </c>
      <c r="AN149" s="10"/>
      <c r="AO149" s="10"/>
      <c r="AP149" s="11">
        <v>0</v>
      </c>
      <c r="AQ149" s="10"/>
      <c r="AR149" s="10"/>
      <c r="AS149" s="11">
        <v>0</v>
      </c>
      <c r="AT149" s="10"/>
      <c r="AU149" s="10"/>
      <c r="AV149" s="11">
        <v>0</v>
      </c>
      <c r="AW149" s="10"/>
      <c r="AX149" s="10"/>
      <c r="AY149" s="11">
        <v>0</v>
      </c>
      <c r="AZ149" s="10"/>
      <c r="BA149" s="10"/>
      <c r="BB149" s="11">
        <v>0</v>
      </c>
      <c r="BC149" s="10"/>
      <c r="BD149" s="10"/>
      <c r="BE149" s="11">
        <v>0</v>
      </c>
      <c r="BF149" s="10"/>
      <c r="BG149" s="10"/>
      <c r="BH149" s="11">
        <v>0</v>
      </c>
      <c r="BI149" s="10"/>
      <c r="BJ149" s="10"/>
      <c r="BK149" s="11">
        <v>0</v>
      </c>
      <c r="BL149" s="10"/>
      <c r="BM149" s="10"/>
      <c r="BN149" s="11">
        <v>0</v>
      </c>
      <c r="BO149" s="10"/>
      <c r="BP149" s="10"/>
      <c r="BQ149" s="11">
        <v>0</v>
      </c>
      <c r="BR149" s="10"/>
      <c r="BS149" s="10"/>
      <c r="BT149" s="11">
        <v>0</v>
      </c>
      <c r="BU149" s="10"/>
      <c r="BV149" s="10"/>
      <c r="BW149" s="11">
        <v>0</v>
      </c>
      <c r="BX149" s="10"/>
      <c r="BY149" s="10"/>
      <c r="BZ149" s="11">
        <v>0</v>
      </c>
      <c r="CA149" s="10"/>
      <c r="CB149" s="10"/>
      <c r="CC149" s="11">
        <v>0</v>
      </c>
      <c r="CD149" s="10"/>
      <c r="CE149" s="10"/>
      <c r="CF149" s="11">
        <v>0</v>
      </c>
      <c r="CG149" s="10"/>
      <c r="CH149" s="10"/>
      <c r="CI149" s="11">
        <v>0</v>
      </c>
      <c r="CJ149" s="10"/>
      <c r="CK149" s="10"/>
      <c r="CL149" s="11">
        <v>0</v>
      </c>
      <c r="CM149" s="10"/>
      <c r="CN149" s="10"/>
      <c r="CO149" s="11">
        <v>0</v>
      </c>
      <c r="CP149" s="10"/>
      <c r="CQ149" s="10"/>
      <c r="CR149" s="11">
        <v>0</v>
      </c>
      <c r="CS149" s="10"/>
      <c r="CT149" s="10"/>
      <c r="CU149" s="11">
        <v>0</v>
      </c>
      <c r="CV149" s="10"/>
      <c r="CW149" s="10"/>
      <c r="CX149" s="11">
        <v>0</v>
      </c>
      <c r="CY149" s="10"/>
      <c r="CZ149" s="10"/>
      <c r="DA149" s="11">
        <v>0</v>
      </c>
      <c r="DB149" s="10"/>
      <c r="DC149" s="10">
        <f t="shared" si="326"/>
        <v>9500</v>
      </c>
      <c r="DD149" s="13">
        <v>0</v>
      </c>
      <c r="DE149" s="14"/>
    </row>
    <row r="150" spans="1:109" x14ac:dyDescent="0.35">
      <c r="A150" s="8" t="s">
        <v>359</v>
      </c>
      <c r="B150" s="9" t="s">
        <v>118</v>
      </c>
      <c r="C150" s="9" t="s">
        <v>43</v>
      </c>
      <c r="D150" s="9" t="s">
        <v>360</v>
      </c>
      <c r="E150" s="9" t="s">
        <v>61</v>
      </c>
      <c r="F150" s="9" t="s">
        <v>62</v>
      </c>
      <c r="G150" s="10"/>
      <c r="H150" s="10"/>
      <c r="I150" s="11">
        <v>0</v>
      </c>
      <c r="J150" s="10"/>
      <c r="K150" s="10"/>
      <c r="L150" s="12">
        <v>0</v>
      </c>
      <c r="M150" s="10"/>
      <c r="N150" s="10"/>
      <c r="O150" s="11">
        <v>0</v>
      </c>
      <c r="P150" s="10"/>
      <c r="Q150" s="10"/>
      <c r="R150" s="11">
        <v>0</v>
      </c>
      <c r="S150" s="10"/>
      <c r="T150" s="10"/>
      <c r="U150" s="11">
        <v>0</v>
      </c>
      <c r="V150" s="10"/>
      <c r="W150" s="10"/>
      <c r="X150" s="11">
        <v>0</v>
      </c>
      <c r="Y150" s="10"/>
      <c r="Z150" s="10"/>
      <c r="AA150" s="11"/>
      <c r="AB150" s="10"/>
      <c r="AC150" s="10"/>
      <c r="AD150" s="11">
        <v>0</v>
      </c>
      <c r="AE150" s="10"/>
      <c r="AF150" s="10"/>
      <c r="AG150" s="11">
        <v>0</v>
      </c>
      <c r="AH150" s="10"/>
      <c r="AI150" s="10"/>
      <c r="AJ150" s="11">
        <v>0</v>
      </c>
      <c r="AK150" s="10"/>
      <c r="AL150" s="10"/>
      <c r="AM150" s="11">
        <v>0</v>
      </c>
      <c r="AN150" s="10"/>
      <c r="AO150" s="10"/>
      <c r="AP150" s="11">
        <v>0</v>
      </c>
      <c r="AQ150" s="10"/>
      <c r="AR150" s="10"/>
      <c r="AS150" s="11">
        <v>0</v>
      </c>
      <c r="AT150" s="10"/>
      <c r="AU150" s="10"/>
      <c r="AV150" s="11">
        <v>0</v>
      </c>
      <c r="AW150" s="10"/>
      <c r="AX150" s="10"/>
      <c r="AY150" s="11">
        <v>0</v>
      </c>
      <c r="AZ150" s="10"/>
      <c r="BA150" s="10"/>
      <c r="BB150" s="11">
        <v>0</v>
      </c>
      <c r="BC150" s="10"/>
      <c r="BD150" s="10"/>
      <c r="BE150" s="11">
        <v>0</v>
      </c>
      <c r="BF150" s="10"/>
      <c r="BG150" s="10"/>
      <c r="BH150" s="11">
        <v>0</v>
      </c>
      <c r="BI150" s="10"/>
      <c r="BJ150" s="10"/>
      <c r="BK150" s="11">
        <v>0</v>
      </c>
      <c r="BL150" s="10"/>
      <c r="BM150" s="10"/>
      <c r="BN150" s="11">
        <v>0</v>
      </c>
      <c r="BO150" s="10"/>
      <c r="BP150" s="10"/>
      <c r="BQ150" s="11">
        <v>0</v>
      </c>
      <c r="BR150" s="10"/>
      <c r="BS150" s="10"/>
      <c r="BT150" s="11">
        <v>0</v>
      </c>
      <c r="BU150" s="10"/>
      <c r="BV150" s="10"/>
      <c r="BW150" s="11">
        <v>0</v>
      </c>
      <c r="BX150" s="10"/>
      <c r="BY150" s="10"/>
      <c r="BZ150" s="11">
        <v>0</v>
      </c>
      <c r="CA150" s="10"/>
      <c r="CB150" s="10"/>
      <c r="CC150" s="11">
        <v>0</v>
      </c>
      <c r="CD150" s="10"/>
      <c r="CE150" s="10"/>
      <c r="CF150" s="11">
        <v>0</v>
      </c>
      <c r="CG150" s="10"/>
      <c r="CH150" s="10"/>
      <c r="CI150" s="11">
        <v>0</v>
      </c>
      <c r="CJ150" s="10"/>
      <c r="CK150" s="10"/>
      <c r="CL150" s="11">
        <v>0</v>
      </c>
      <c r="CM150" s="10"/>
      <c r="CN150" s="10"/>
      <c r="CO150" s="11">
        <v>0</v>
      </c>
      <c r="CP150" s="10"/>
      <c r="CQ150" s="10"/>
      <c r="CR150" s="11">
        <v>0</v>
      </c>
      <c r="CS150" s="10"/>
      <c r="CT150" s="10"/>
      <c r="CU150" s="11">
        <v>0</v>
      </c>
      <c r="CV150" s="10"/>
      <c r="CW150" s="10"/>
      <c r="CX150" s="11">
        <v>0</v>
      </c>
      <c r="CY150" s="10"/>
      <c r="CZ150" s="10"/>
      <c r="DA150" s="11">
        <v>0</v>
      </c>
      <c r="DB150" s="10"/>
      <c r="DC150" s="10"/>
      <c r="DD150" s="13">
        <v>0</v>
      </c>
      <c r="DE150" s="14"/>
    </row>
    <row r="151" spans="1:109" x14ac:dyDescent="0.35">
      <c r="A151" s="8" t="s">
        <v>361</v>
      </c>
      <c r="B151" s="9" t="s">
        <v>59</v>
      </c>
      <c r="C151" s="9" t="s">
        <v>43</v>
      </c>
      <c r="D151" s="9" t="s">
        <v>362</v>
      </c>
      <c r="E151" s="9" t="s">
        <v>61</v>
      </c>
      <c r="F151" s="9" t="s">
        <v>62</v>
      </c>
      <c r="G151" s="10"/>
      <c r="H151" s="10">
        <v>54000</v>
      </c>
      <c r="I151" s="11">
        <v>0</v>
      </c>
      <c r="J151" s="10"/>
      <c r="K151" s="10"/>
      <c r="L151" s="12">
        <v>0</v>
      </c>
      <c r="M151" s="10"/>
      <c r="N151" s="10"/>
      <c r="O151" s="11">
        <v>0</v>
      </c>
      <c r="P151" s="10"/>
      <c r="Q151" s="10"/>
      <c r="R151" s="11">
        <v>0</v>
      </c>
      <c r="S151" s="10"/>
      <c r="T151" s="10"/>
      <c r="U151" s="11">
        <v>0</v>
      </c>
      <c r="V151" s="10"/>
      <c r="W151" s="10"/>
      <c r="X151" s="11">
        <v>0</v>
      </c>
      <c r="Y151" s="10"/>
      <c r="Z151" s="10"/>
      <c r="AA151" s="11"/>
      <c r="AB151" s="10"/>
      <c r="AC151" s="10"/>
      <c r="AD151" s="11">
        <v>0</v>
      </c>
      <c r="AE151" s="10"/>
      <c r="AF151" s="10"/>
      <c r="AG151" s="11">
        <v>0</v>
      </c>
      <c r="AH151" s="10"/>
      <c r="AI151" s="10"/>
      <c r="AJ151" s="11">
        <v>0</v>
      </c>
      <c r="AK151" s="10">
        <v>600000</v>
      </c>
      <c r="AL151" s="10">
        <v>224000</v>
      </c>
      <c r="AM151" s="11">
        <f t="shared" ref="AM151:AM156" si="331">AL151/AK151</f>
        <v>0.37333333333333335</v>
      </c>
      <c r="AN151" s="10">
        <v>50000</v>
      </c>
      <c r="AO151" s="10"/>
      <c r="AP151" s="11">
        <f t="shared" ref="AP151:AP156" si="332">AO151/AN151</f>
        <v>0</v>
      </c>
      <c r="AQ151" s="10"/>
      <c r="AR151" s="10"/>
      <c r="AS151" s="11">
        <v>0</v>
      </c>
      <c r="AT151" s="10"/>
      <c r="AU151" s="10"/>
      <c r="AV151" s="11">
        <v>0</v>
      </c>
      <c r="AW151" s="10"/>
      <c r="AX151" s="10"/>
      <c r="AY151" s="11">
        <v>0</v>
      </c>
      <c r="AZ151" s="10"/>
      <c r="BA151" s="10"/>
      <c r="BB151" s="11">
        <v>0</v>
      </c>
      <c r="BC151" s="10"/>
      <c r="BD151" s="10"/>
      <c r="BE151" s="11">
        <v>0</v>
      </c>
      <c r="BF151" s="10"/>
      <c r="BG151" s="10"/>
      <c r="BH151" s="11">
        <v>0</v>
      </c>
      <c r="BI151" s="10"/>
      <c r="BJ151" s="10"/>
      <c r="BK151" s="11">
        <v>0</v>
      </c>
      <c r="BL151" s="10"/>
      <c r="BM151" s="10"/>
      <c r="BN151" s="11">
        <v>0</v>
      </c>
      <c r="BO151" s="10"/>
      <c r="BP151" s="10"/>
      <c r="BQ151" s="11">
        <v>0</v>
      </c>
      <c r="BR151" s="10"/>
      <c r="BS151" s="10"/>
      <c r="BT151" s="11">
        <v>0</v>
      </c>
      <c r="BU151" s="10"/>
      <c r="BV151" s="10"/>
      <c r="BW151" s="11">
        <v>0</v>
      </c>
      <c r="BX151" s="10"/>
      <c r="BY151" s="10"/>
      <c r="BZ151" s="11">
        <v>0</v>
      </c>
      <c r="CA151" s="10"/>
      <c r="CB151" s="10"/>
      <c r="CC151" s="11">
        <v>0</v>
      </c>
      <c r="CD151" s="10"/>
      <c r="CE151" s="10"/>
      <c r="CF151" s="11">
        <v>0</v>
      </c>
      <c r="CG151" s="10"/>
      <c r="CH151" s="10"/>
      <c r="CI151" s="11">
        <v>0</v>
      </c>
      <c r="CJ151" s="10"/>
      <c r="CK151" s="10"/>
      <c r="CL151" s="11">
        <v>0</v>
      </c>
      <c r="CM151" s="10"/>
      <c r="CN151" s="10"/>
      <c r="CO151" s="11">
        <v>0</v>
      </c>
      <c r="CP151" s="10"/>
      <c r="CQ151" s="10"/>
      <c r="CR151" s="11">
        <v>0</v>
      </c>
      <c r="CS151" s="10"/>
      <c r="CT151" s="10"/>
      <c r="CU151" s="11">
        <v>0</v>
      </c>
      <c r="CV151" s="10"/>
      <c r="CW151" s="10"/>
      <c r="CX151" s="11">
        <v>0</v>
      </c>
      <c r="CY151" s="10"/>
      <c r="CZ151" s="10"/>
      <c r="DA151" s="11">
        <v>0</v>
      </c>
      <c r="DB151" s="10">
        <v>650000</v>
      </c>
      <c r="DC151" s="10">
        <f t="shared" ref="DC151:DC158" si="333">SUM(H151,K151,N151,Q151,T151,W151,Z151,AC151,AF151,AI151,AL151,AO151,AR151,AU151,AX151,BA151,BD151,BG151,BJ151,BM151,BP151,BS151,BV151,BY151,CB151,CE151,CH151,CK151,CN151,CQ151,CT151,CW151,CZ151)</f>
        <v>278000</v>
      </c>
      <c r="DD151" s="13">
        <f t="shared" ref="DD151:DD158" si="334">DC151/DB151</f>
        <v>0.4276923076923077</v>
      </c>
      <c r="DE151" s="14"/>
    </row>
    <row r="152" spans="1:109" x14ac:dyDescent="0.35">
      <c r="A152" s="8" t="s">
        <v>363</v>
      </c>
      <c r="B152" s="9" t="s">
        <v>51</v>
      </c>
      <c r="C152" s="9" t="s">
        <v>52</v>
      </c>
      <c r="D152" s="9" t="s">
        <v>364</v>
      </c>
      <c r="E152" s="9" t="s">
        <v>54</v>
      </c>
      <c r="F152" s="9" t="s">
        <v>55</v>
      </c>
      <c r="G152" s="10"/>
      <c r="H152" s="10"/>
      <c r="I152" s="11">
        <v>0</v>
      </c>
      <c r="J152" s="10"/>
      <c r="K152" s="10"/>
      <c r="L152" s="12">
        <v>0</v>
      </c>
      <c r="M152" s="10"/>
      <c r="N152" s="10"/>
      <c r="O152" s="11">
        <v>0</v>
      </c>
      <c r="P152" s="10"/>
      <c r="Q152" s="10"/>
      <c r="R152" s="11">
        <v>0</v>
      </c>
      <c r="S152" s="10"/>
      <c r="T152" s="10"/>
      <c r="U152" s="11">
        <v>0</v>
      </c>
      <c r="V152" s="10"/>
      <c r="W152" s="10"/>
      <c r="X152" s="11">
        <v>0</v>
      </c>
      <c r="Y152" s="10"/>
      <c r="Z152" s="10"/>
      <c r="AA152" s="11"/>
      <c r="AB152" s="10">
        <v>50000</v>
      </c>
      <c r="AC152" s="10"/>
      <c r="AD152" s="11">
        <v>0</v>
      </c>
      <c r="AE152" s="10"/>
      <c r="AF152" s="10">
        <v>46210</v>
      </c>
      <c r="AG152" s="11">
        <v>0</v>
      </c>
      <c r="AH152" s="10"/>
      <c r="AI152" s="10"/>
      <c r="AJ152" s="11">
        <v>0</v>
      </c>
      <c r="AK152" s="10"/>
      <c r="AL152" s="10"/>
      <c r="AM152" s="11">
        <v>0</v>
      </c>
      <c r="AN152" s="10"/>
      <c r="AO152" s="10"/>
      <c r="AP152" s="11">
        <v>0</v>
      </c>
      <c r="AQ152" s="10"/>
      <c r="AR152" s="10"/>
      <c r="AS152" s="11">
        <v>0</v>
      </c>
      <c r="AT152" s="10"/>
      <c r="AU152" s="10"/>
      <c r="AV152" s="11">
        <v>0</v>
      </c>
      <c r="AW152" s="10"/>
      <c r="AX152" s="10"/>
      <c r="AY152" s="11">
        <v>0</v>
      </c>
      <c r="AZ152" s="10"/>
      <c r="BA152" s="10"/>
      <c r="BB152" s="11">
        <v>0</v>
      </c>
      <c r="BC152" s="10"/>
      <c r="BD152" s="10"/>
      <c r="BE152" s="11">
        <v>0</v>
      </c>
      <c r="BF152" s="10"/>
      <c r="BG152" s="10">
        <f>VLOOKUP(A:A,'[1]2026 Customer Brand Sales'!$A:$BA,53,0)</f>
        <v>9600</v>
      </c>
      <c r="BH152" s="11">
        <v>0</v>
      </c>
      <c r="BI152" s="10"/>
      <c r="BJ152" s="10"/>
      <c r="BK152" s="11">
        <v>0</v>
      </c>
      <c r="BL152" s="10"/>
      <c r="BM152" s="10"/>
      <c r="BN152" s="11">
        <v>0</v>
      </c>
      <c r="BO152" s="10"/>
      <c r="BP152" s="10"/>
      <c r="BQ152" s="11">
        <v>0</v>
      </c>
      <c r="BR152" s="10"/>
      <c r="BS152" s="10"/>
      <c r="BT152" s="11">
        <v>0</v>
      </c>
      <c r="BU152" s="10"/>
      <c r="BV152" s="10"/>
      <c r="BW152" s="11">
        <v>0</v>
      </c>
      <c r="BX152" s="10">
        <v>286200</v>
      </c>
      <c r="BY152" s="10"/>
      <c r="BZ152" s="11">
        <f t="shared" ref="BZ152" si="335">BY152/BX152</f>
        <v>0</v>
      </c>
      <c r="CA152" s="10"/>
      <c r="CB152" s="10"/>
      <c r="CC152" s="11">
        <v>0</v>
      </c>
      <c r="CD152" s="10"/>
      <c r="CE152" s="10"/>
      <c r="CF152" s="11">
        <v>0</v>
      </c>
      <c r="CG152" s="10"/>
      <c r="CH152" s="10"/>
      <c r="CI152" s="11">
        <v>0</v>
      </c>
      <c r="CJ152" s="10"/>
      <c r="CK152" s="10"/>
      <c r="CL152" s="11">
        <v>0</v>
      </c>
      <c r="CM152" s="10"/>
      <c r="CN152" s="10"/>
      <c r="CO152" s="11">
        <v>0</v>
      </c>
      <c r="CP152" s="10"/>
      <c r="CQ152" s="10"/>
      <c r="CR152" s="11">
        <v>0</v>
      </c>
      <c r="CS152" s="10"/>
      <c r="CT152" s="10">
        <v>180000</v>
      </c>
      <c r="CU152" s="11">
        <v>0</v>
      </c>
      <c r="CV152" s="10"/>
      <c r="CW152" s="10"/>
      <c r="CX152" s="11">
        <v>0</v>
      </c>
      <c r="CY152" s="10"/>
      <c r="CZ152" s="10"/>
      <c r="DA152" s="11">
        <v>0</v>
      </c>
      <c r="DB152" s="10">
        <v>336200</v>
      </c>
      <c r="DC152" s="10">
        <f t="shared" si="333"/>
        <v>235810</v>
      </c>
      <c r="DD152" s="13">
        <f t="shared" si="334"/>
        <v>0.70139797739440812</v>
      </c>
      <c r="DE152" s="14"/>
    </row>
    <row r="153" spans="1:109" x14ac:dyDescent="0.35">
      <c r="A153" s="8" t="s">
        <v>365</v>
      </c>
      <c r="B153" s="9" t="s">
        <v>140</v>
      </c>
      <c r="C153" s="9" t="s">
        <v>43</v>
      </c>
      <c r="D153" s="9" t="s">
        <v>366</v>
      </c>
      <c r="E153" s="9" t="s">
        <v>45</v>
      </c>
      <c r="F153" s="9" t="s">
        <v>46</v>
      </c>
      <c r="G153" s="10"/>
      <c r="H153" s="10"/>
      <c r="I153" s="11">
        <v>0</v>
      </c>
      <c r="J153" s="10"/>
      <c r="K153" s="10"/>
      <c r="L153" s="12">
        <v>0</v>
      </c>
      <c r="M153" s="10">
        <v>784000</v>
      </c>
      <c r="N153" s="10"/>
      <c r="O153" s="11">
        <f t="shared" ref="O153:O158" si="336">N153/M153</f>
        <v>0</v>
      </c>
      <c r="P153" s="10"/>
      <c r="Q153" s="10"/>
      <c r="R153" s="11">
        <v>0</v>
      </c>
      <c r="S153" s="10"/>
      <c r="T153" s="10"/>
      <c r="U153" s="11">
        <v>0</v>
      </c>
      <c r="V153" s="10"/>
      <c r="W153" s="10"/>
      <c r="X153" s="11">
        <v>0</v>
      </c>
      <c r="Y153" s="10"/>
      <c r="Z153" s="10"/>
      <c r="AA153" s="11"/>
      <c r="AB153" s="10"/>
      <c r="AC153" s="10"/>
      <c r="AD153" s="11">
        <v>0</v>
      </c>
      <c r="AE153" s="10"/>
      <c r="AF153" s="10"/>
      <c r="AG153" s="11">
        <v>0</v>
      </c>
      <c r="AH153" s="10"/>
      <c r="AI153" s="10"/>
      <c r="AJ153" s="11">
        <v>0</v>
      </c>
      <c r="AK153" s="10"/>
      <c r="AL153" s="10"/>
      <c r="AM153" s="11">
        <v>0</v>
      </c>
      <c r="AN153" s="10"/>
      <c r="AO153" s="10"/>
      <c r="AP153" s="11">
        <v>0</v>
      </c>
      <c r="AQ153" s="10"/>
      <c r="AR153" s="10"/>
      <c r="AS153" s="11">
        <v>0</v>
      </c>
      <c r="AT153" s="10"/>
      <c r="AU153" s="10"/>
      <c r="AV153" s="11">
        <v>0</v>
      </c>
      <c r="AW153" s="10"/>
      <c r="AX153" s="10"/>
      <c r="AY153" s="11">
        <v>0</v>
      </c>
      <c r="AZ153" s="10"/>
      <c r="BA153" s="10"/>
      <c r="BB153" s="11">
        <v>0</v>
      </c>
      <c r="BC153" s="10"/>
      <c r="BD153" s="10"/>
      <c r="BE153" s="11">
        <v>0</v>
      </c>
      <c r="BF153" s="10"/>
      <c r="BG153" s="10"/>
      <c r="BH153" s="11">
        <v>0</v>
      </c>
      <c r="BI153" s="10"/>
      <c r="BJ153" s="10"/>
      <c r="BK153" s="11">
        <v>0</v>
      </c>
      <c r="BL153" s="10"/>
      <c r="BM153" s="10"/>
      <c r="BN153" s="11">
        <v>0</v>
      </c>
      <c r="BO153" s="10"/>
      <c r="BP153" s="10"/>
      <c r="BQ153" s="11">
        <v>0</v>
      </c>
      <c r="BR153" s="10"/>
      <c r="BS153" s="10"/>
      <c r="BT153" s="11">
        <v>0</v>
      </c>
      <c r="BU153" s="10"/>
      <c r="BV153" s="10"/>
      <c r="BW153" s="11">
        <v>0</v>
      </c>
      <c r="BX153" s="10"/>
      <c r="BY153" s="10"/>
      <c r="BZ153" s="11">
        <v>0</v>
      </c>
      <c r="CA153" s="10"/>
      <c r="CB153" s="10"/>
      <c r="CC153" s="11">
        <v>0</v>
      </c>
      <c r="CD153" s="10"/>
      <c r="CE153" s="10"/>
      <c r="CF153" s="11">
        <v>0</v>
      </c>
      <c r="CG153" s="10"/>
      <c r="CH153" s="10"/>
      <c r="CI153" s="11">
        <v>0</v>
      </c>
      <c r="CJ153" s="10"/>
      <c r="CK153" s="10"/>
      <c r="CL153" s="11">
        <v>0</v>
      </c>
      <c r="CM153" s="10"/>
      <c r="CN153" s="10"/>
      <c r="CO153" s="11">
        <v>0</v>
      </c>
      <c r="CP153" s="10"/>
      <c r="CQ153" s="10"/>
      <c r="CR153" s="11">
        <v>0</v>
      </c>
      <c r="CS153" s="10"/>
      <c r="CT153" s="10"/>
      <c r="CU153" s="11">
        <v>0</v>
      </c>
      <c r="CV153" s="10"/>
      <c r="CW153" s="10"/>
      <c r="CX153" s="11">
        <v>0</v>
      </c>
      <c r="CY153" s="10"/>
      <c r="CZ153" s="10"/>
      <c r="DA153" s="11">
        <v>0</v>
      </c>
      <c r="DB153" s="10">
        <v>784000</v>
      </c>
      <c r="DC153" s="10"/>
      <c r="DD153" s="15">
        <f t="shared" si="334"/>
        <v>0</v>
      </c>
      <c r="DE153" s="16"/>
    </row>
    <row r="154" spans="1:109" x14ac:dyDescent="0.35">
      <c r="A154" s="8" t="s">
        <v>367</v>
      </c>
      <c r="B154" s="9" t="s">
        <v>172</v>
      </c>
      <c r="C154" s="9" t="s">
        <v>52</v>
      </c>
      <c r="D154" s="9" t="s">
        <v>368</v>
      </c>
      <c r="E154" s="9" t="s">
        <v>54</v>
      </c>
      <c r="F154" s="9" t="s">
        <v>55</v>
      </c>
      <c r="G154" s="10"/>
      <c r="H154" s="10"/>
      <c r="I154" s="11">
        <v>0</v>
      </c>
      <c r="J154" s="10"/>
      <c r="K154" s="10"/>
      <c r="L154" s="12">
        <v>0</v>
      </c>
      <c r="M154" s="10"/>
      <c r="N154" s="10"/>
      <c r="O154" s="11">
        <v>0</v>
      </c>
      <c r="P154" s="10"/>
      <c r="Q154" s="10"/>
      <c r="R154" s="11">
        <v>0</v>
      </c>
      <c r="S154" s="10"/>
      <c r="T154" s="10"/>
      <c r="U154" s="11">
        <v>0</v>
      </c>
      <c r="V154" s="10">
        <v>150000</v>
      </c>
      <c r="W154" s="10">
        <v>85100</v>
      </c>
      <c r="X154" s="11">
        <v>0.56733333333333336</v>
      </c>
      <c r="Y154" s="10"/>
      <c r="Z154" s="10"/>
      <c r="AA154" s="11"/>
      <c r="AB154" s="10"/>
      <c r="AC154" s="10"/>
      <c r="AD154" s="11">
        <v>0</v>
      </c>
      <c r="AE154" s="10"/>
      <c r="AF154" s="10"/>
      <c r="AG154" s="11">
        <v>0</v>
      </c>
      <c r="AH154" s="10"/>
      <c r="AI154" s="10"/>
      <c r="AJ154" s="11">
        <v>0</v>
      </c>
      <c r="AK154" s="10"/>
      <c r="AL154" s="10"/>
      <c r="AM154" s="11">
        <v>0</v>
      </c>
      <c r="AN154" s="10"/>
      <c r="AO154" s="10"/>
      <c r="AP154" s="11">
        <v>0</v>
      </c>
      <c r="AQ154" s="10"/>
      <c r="AR154" s="10"/>
      <c r="AS154" s="11">
        <v>0</v>
      </c>
      <c r="AT154" s="10"/>
      <c r="AU154" s="10"/>
      <c r="AV154" s="11">
        <v>0</v>
      </c>
      <c r="AW154" s="10"/>
      <c r="AX154" s="10"/>
      <c r="AY154" s="11">
        <v>0</v>
      </c>
      <c r="AZ154" s="10"/>
      <c r="BA154" s="10"/>
      <c r="BB154" s="11">
        <v>0</v>
      </c>
      <c r="BC154" s="10"/>
      <c r="BD154" s="10"/>
      <c r="BE154" s="11">
        <v>0</v>
      </c>
      <c r="BF154" s="10"/>
      <c r="BG154" s="10"/>
      <c r="BH154" s="11">
        <v>0</v>
      </c>
      <c r="BI154" s="10"/>
      <c r="BJ154" s="10"/>
      <c r="BK154" s="11">
        <v>0</v>
      </c>
      <c r="BL154" s="10"/>
      <c r="BM154" s="10"/>
      <c r="BN154" s="11">
        <v>0</v>
      </c>
      <c r="BO154" s="10"/>
      <c r="BP154" s="10"/>
      <c r="BQ154" s="11">
        <v>0</v>
      </c>
      <c r="BR154" s="10"/>
      <c r="BS154" s="10"/>
      <c r="BT154" s="11">
        <v>0</v>
      </c>
      <c r="BU154" s="10"/>
      <c r="BV154" s="10"/>
      <c r="BW154" s="11">
        <v>0</v>
      </c>
      <c r="BX154" s="10"/>
      <c r="BY154" s="10"/>
      <c r="BZ154" s="11">
        <v>0</v>
      </c>
      <c r="CA154" s="10"/>
      <c r="CB154" s="10"/>
      <c r="CC154" s="11">
        <v>0</v>
      </c>
      <c r="CD154" s="10"/>
      <c r="CE154" s="10"/>
      <c r="CF154" s="11">
        <v>0</v>
      </c>
      <c r="CG154" s="10"/>
      <c r="CH154" s="10"/>
      <c r="CI154" s="11">
        <v>0</v>
      </c>
      <c r="CJ154" s="10"/>
      <c r="CK154" s="10"/>
      <c r="CL154" s="11">
        <v>0</v>
      </c>
      <c r="CM154" s="10"/>
      <c r="CN154" s="10"/>
      <c r="CO154" s="11">
        <v>0</v>
      </c>
      <c r="CP154" s="10"/>
      <c r="CQ154" s="10"/>
      <c r="CR154" s="11">
        <v>0</v>
      </c>
      <c r="CS154" s="10"/>
      <c r="CT154" s="10"/>
      <c r="CU154" s="11">
        <v>0</v>
      </c>
      <c r="CV154" s="10"/>
      <c r="CW154" s="10"/>
      <c r="CX154" s="11">
        <v>0</v>
      </c>
      <c r="CY154" s="10"/>
      <c r="CZ154" s="10"/>
      <c r="DA154" s="11">
        <v>0</v>
      </c>
      <c r="DB154" s="10">
        <v>150000</v>
      </c>
      <c r="DC154" s="10">
        <f t="shared" si="333"/>
        <v>85100</v>
      </c>
      <c r="DD154" s="13">
        <f t="shared" si="334"/>
        <v>0.56733333333333336</v>
      </c>
      <c r="DE154" s="14"/>
    </row>
    <row r="155" spans="1:109" x14ac:dyDescent="0.35">
      <c r="A155" s="8" t="s">
        <v>369</v>
      </c>
      <c r="B155" s="9" t="s">
        <v>118</v>
      </c>
      <c r="C155" s="9" t="s">
        <v>43</v>
      </c>
      <c r="D155" s="9" t="s">
        <v>370</v>
      </c>
      <c r="E155" s="9" t="s">
        <v>61</v>
      </c>
      <c r="F155" s="9" t="s">
        <v>62</v>
      </c>
      <c r="G155" s="10"/>
      <c r="H155" s="10"/>
      <c r="I155" s="11">
        <v>0</v>
      </c>
      <c r="J155" s="10">
        <v>6000000</v>
      </c>
      <c r="K155" s="10">
        <v>1412950</v>
      </c>
      <c r="L155" s="11">
        <f t="shared" ref="L155" si="337">K155/J155</f>
        <v>0.23549166666666665</v>
      </c>
      <c r="M155" s="10"/>
      <c r="N155" s="10"/>
      <c r="O155" s="11">
        <v>0</v>
      </c>
      <c r="P155" s="10"/>
      <c r="Q155" s="10"/>
      <c r="R155" s="11">
        <v>0</v>
      </c>
      <c r="S155" s="10"/>
      <c r="T155" s="10"/>
      <c r="U155" s="11">
        <v>0</v>
      </c>
      <c r="V155" s="10"/>
      <c r="W155" s="10"/>
      <c r="X155" s="11">
        <v>0</v>
      </c>
      <c r="Y155" s="10">
        <v>50000</v>
      </c>
      <c r="Z155" s="10"/>
      <c r="AA155" s="11">
        <f t="shared" ref="AA155:AA157" si="338">Z155/Y155</f>
        <v>0</v>
      </c>
      <c r="AB155" s="10">
        <v>100000</v>
      </c>
      <c r="AC155" s="10"/>
      <c r="AD155" s="11">
        <v>0</v>
      </c>
      <c r="AE155" s="10">
        <v>500000</v>
      </c>
      <c r="AF155" s="10"/>
      <c r="AG155" s="11">
        <f t="shared" ref="AG155:AG156" si="339">AF155/AE155</f>
        <v>0</v>
      </c>
      <c r="AH155" s="10"/>
      <c r="AI155" s="10"/>
      <c r="AJ155" s="11">
        <v>0</v>
      </c>
      <c r="AK155" s="10">
        <v>13000000</v>
      </c>
      <c r="AL155" s="10">
        <v>2832000</v>
      </c>
      <c r="AM155" s="11">
        <f t="shared" si="331"/>
        <v>0.21784615384615386</v>
      </c>
      <c r="AN155" s="10">
        <v>100000</v>
      </c>
      <c r="AO155" s="10"/>
      <c r="AP155" s="11">
        <f t="shared" si="332"/>
        <v>0</v>
      </c>
      <c r="AQ155" s="10"/>
      <c r="AR155" s="10"/>
      <c r="AS155" s="11">
        <v>0</v>
      </c>
      <c r="AT155" s="10">
        <v>2000000</v>
      </c>
      <c r="AU155" s="10">
        <v>1149470</v>
      </c>
      <c r="AV155" s="11">
        <f t="shared" ref="AV155" si="340">AU155/AT155</f>
        <v>0.574735</v>
      </c>
      <c r="AW155" s="10">
        <v>1500000</v>
      </c>
      <c r="AX155" s="10"/>
      <c r="AY155" s="11">
        <f t="shared" ref="AY155" si="341">AX155/AW155</f>
        <v>0</v>
      </c>
      <c r="AZ155" s="10"/>
      <c r="BA155" s="10"/>
      <c r="BB155" s="11">
        <v>0</v>
      </c>
      <c r="BC155" s="10"/>
      <c r="BD155" s="10"/>
      <c r="BE155" s="11">
        <v>0</v>
      </c>
      <c r="BF155" s="10">
        <v>37800000</v>
      </c>
      <c r="BG155" s="10">
        <f>VLOOKUP(A:A,'[1]2026 Customer Brand Sales'!$A:$BA,53,0)</f>
        <v>22799805</v>
      </c>
      <c r="BH155" s="11">
        <f t="shared" ref="BH155:BH156" si="342">BG155/BF155</f>
        <v>0.60316944444444442</v>
      </c>
      <c r="BI155" s="10">
        <v>200000</v>
      </c>
      <c r="BJ155" s="10"/>
      <c r="BK155" s="11">
        <f t="shared" ref="BK155" si="343">BJ155/BI155</f>
        <v>0</v>
      </c>
      <c r="BL155" s="10">
        <v>4500000</v>
      </c>
      <c r="BM155" s="10">
        <v>578590</v>
      </c>
      <c r="BN155" s="11">
        <f t="shared" ref="BN155" si="344">BM155/BL155</f>
        <v>0.12857555555555555</v>
      </c>
      <c r="BO155" s="10">
        <v>2640000</v>
      </c>
      <c r="BP155" s="10">
        <v>310200</v>
      </c>
      <c r="BQ155" s="11">
        <f t="shared" ref="BQ155" si="345">BP155/BO155</f>
        <v>0.11749999999999999</v>
      </c>
      <c r="BR155" s="10"/>
      <c r="BS155" s="10"/>
      <c r="BT155" s="11">
        <v>0</v>
      </c>
      <c r="BU155" s="10"/>
      <c r="BV155" s="10"/>
      <c r="BW155" s="11">
        <v>0</v>
      </c>
      <c r="BX155" s="10"/>
      <c r="BY155" s="10"/>
      <c r="BZ155" s="11">
        <v>0</v>
      </c>
      <c r="CA155" s="10"/>
      <c r="CB155" s="10"/>
      <c r="CC155" s="11">
        <v>0</v>
      </c>
      <c r="CD155" s="10"/>
      <c r="CE155" s="10"/>
      <c r="CF155" s="11">
        <v>0</v>
      </c>
      <c r="CG155" s="10"/>
      <c r="CH155" s="10"/>
      <c r="CI155" s="11">
        <v>0</v>
      </c>
      <c r="CJ155" s="10"/>
      <c r="CK155" s="10"/>
      <c r="CL155" s="11">
        <v>0</v>
      </c>
      <c r="CM155" s="10"/>
      <c r="CN155" s="10"/>
      <c r="CO155" s="11">
        <v>0</v>
      </c>
      <c r="CP155" s="10"/>
      <c r="CQ155" s="10"/>
      <c r="CR155" s="11">
        <v>0</v>
      </c>
      <c r="CS155" s="10"/>
      <c r="CT155" s="10"/>
      <c r="CU155" s="11">
        <v>0</v>
      </c>
      <c r="CV155" s="10"/>
      <c r="CW155" s="10"/>
      <c r="CX155" s="11">
        <v>0</v>
      </c>
      <c r="CY155" s="10"/>
      <c r="CZ155" s="10"/>
      <c r="DA155" s="11">
        <v>0</v>
      </c>
      <c r="DB155" s="10">
        <v>68390000</v>
      </c>
      <c r="DC155" s="10">
        <f t="shared" si="333"/>
        <v>29083015</v>
      </c>
      <c r="DD155" s="13">
        <f t="shared" si="334"/>
        <v>0.42525244918847782</v>
      </c>
      <c r="DE155" s="14"/>
    </row>
    <row r="156" spans="1:109" x14ac:dyDescent="0.35">
      <c r="A156" s="8" t="s">
        <v>371</v>
      </c>
      <c r="B156" s="9" t="s">
        <v>51</v>
      </c>
      <c r="C156" s="9" t="s">
        <v>52</v>
      </c>
      <c r="D156" s="9" t="s">
        <v>372</v>
      </c>
      <c r="E156" s="9" t="s">
        <v>54</v>
      </c>
      <c r="F156" s="9" t="s">
        <v>55</v>
      </c>
      <c r="G156" s="10"/>
      <c r="H156" s="10">
        <v>12000</v>
      </c>
      <c r="I156" s="11">
        <v>0</v>
      </c>
      <c r="J156" s="10"/>
      <c r="K156" s="10"/>
      <c r="L156" s="12">
        <v>0</v>
      </c>
      <c r="M156" s="10">
        <v>560000</v>
      </c>
      <c r="N156" s="10">
        <v>181900</v>
      </c>
      <c r="O156" s="11">
        <f t="shared" si="336"/>
        <v>0.32482142857142859</v>
      </c>
      <c r="P156" s="10"/>
      <c r="Q156" s="10"/>
      <c r="R156" s="11">
        <v>0</v>
      </c>
      <c r="S156" s="10"/>
      <c r="T156" s="10">
        <v>4700</v>
      </c>
      <c r="U156" s="11">
        <v>0</v>
      </c>
      <c r="V156" s="10"/>
      <c r="W156" s="10">
        <v>3850</v>
      </c>
      <c r="X156" s="11">
        <v>0</v>
      </c>
      <c r="Y156" s="10"/>
      <c r="Z156" s="10"/>
      <c r="AA156" s="11"/>
      <c r="AB156" s="10">
        <v>200000</v>
      </c>
      <c r="AC156" s="10"/>
      <c r="AD156" s="11">
        <v>0</v>
      </c>
      <c r="AE156" s="10">
        <v>100000</v>
      </c>
      <c r="AF156" s="10">
        <v>6000</v>
      </c>
      <c r="AG156" s="11">
        <f t="shared" si="339"/>
        <v>0.06</v>
      </c>
      <c r="AH156" s="10"/>
      <c r="AI156" s="10"/>
      <c r="AJ156" s="11">
        <v>0</v>
      </c>
      <c r="AK156" s="10">
        <v>200000</v>
      </c>
      <c r="AL156" s="10"/>
      <c r="AM156" s="11">
        <f t="shared" si="331"/>
        <v>0</v>
      </c>
      <c r="AN156" s="10">
        <v>20000</v>
      </c>
      <c r="AO156" s="10"/>
      <c r="AP156" s="11">
        <f t="shared" si="332"/>
        <v>0</v>
      </c>
      <c r="AQ156" s="10"/>
      <c r="AR156" s="10"/>
      <c r="AS156" s="11">
        <v>0</v>
      </c>
      <c r="AT156" s="10"/>
      <c r="AU156" s="10"/>
      <c r="AV156" s="11">
        <v>0</v>
      </c>
      <c r="AW156" s="10"/>
      <c r="AX156" s="10"/>
      <c r="AY156" s="11">
        <v>0</v>
      </c>
      <c r="AZ156" s="10"/>
      <c r="BA156" s="10"/>
      <c r="BB156" s="11">
        <v>0</v>
      </c>
      <c r="BC156" s="10">
        <v>11966</v>
      </c>
      <c r="BD156" s="10"/>
      <c r="BE156" s="11">
        <f t="shared" ref="BE156:BE157" si="346">BD156/BC156</f>
        <v>0</v>
      </c>
      <c r="BF156" s="10">
        <v>600000</v>
      </c>
      <c r="BG156" s="10">
        <f>VLOOKUP(A:A,'[1]2026 Customer Brand Sales'!$A:$BA,53,0)</f>
        <v>217110</v>
      </c>
      <c r="BH156" s="11">
        <f t="shared" si="342"/>
        <v>0.36185</v>
      </c>
      <c r="BI156" s="10"/>
      <c r="BJ156" s="10">
        <v>17000</v>
      </c>
      <c r="BK156" s="11">
        <v>0</v>
      </c>
      <c r="BL156" s="10"/>
      <c r="BM156" s="10">
        <v>5180</v>
      </c>
      <c r="BN156" s="11">
        <v>0</v>
      </c>
      <c r="BO156" s="10"/>
      <c r="BP156" s="10"/>
      <c r="BQ156" s="11">
        <v>0</v>
      </c>
      <c r="BR156" s="10">
        <v>150000</v>
      </c>
      <c r="BS156" s="10"/>
      <c r="BT156" s="11">
        <f t="shared" ref="BT156:BT157" si="347">BS156/BR156</f>
        <v>0</v>
      </c>
      <c r="BU156" s="10">
        <v>100000</v>
      </c>
      <c r="BV156" s="10"/>
      <c r="BW156" s="11">
        <f t="shared" ref="BW156:BW157" si="348">BV156/BU156</f>
        <v>0</v>
      </c>
      <c r="BX156" s="10"/>
      <c r="BY156" s="10"/>
      <c r="BZ156" s="11">
        <v>0</v>
      </c>
      <c r="CA156" s="10"/>
      <c r="CB156" s="10"/>
      <c r="CC156" s="11">
        <v>0</v>
      </c>
      <c r="CD156" s="10"/>
      <c r="CE156" s="10"/>
      <c r="CF156" s="11">
        <v>0</v>
      </c>
      <c r="CG156" s="10">
        <v>10000</v>
      </c>
      <c r="CH156" s="10"/>
      <c r="CI156" s="11">
        <f t="shared" ref="CI156:CI157" si="349">CH156/CG156</f>
        <v>0</v>
      </c>
      <c r="CJ156" s="10"/>
      <c r="CK156" s="10"/>
      <c r="CL156" s="11">
        <v>0</v>
      </c>
      <c r="CM156" s="10"/>
      <c r="CN156" s="10"/>
      <c r="CO156" s="11">
        <v>0</v>
      </c>
      <c r="CP156" s="10"/>
      <c r="CQ156" s="10"/>
      <c r="CR156" s="11">
        <v>0</v>
      </c>
      <c r="CS156" s="10"/>
      <c r="CT156" s="10"/>
      <c r="CU156" s="11">
        <v>0</v>
      </c>
      <c r="CV156" s="10"/>
      <c r="CW156" s="10"/>
      <c r="CX156" s="11">
        <v>0</v>
      </c>
      <c r="CY156" s="10">
        <v>50000</v>
      </c>
      <c r="CZ156" s="10"/>
      <c r="DA156" s="11">
        <f t="shared" ref="DA156:DA158" si="350">CZ156/CY156</f>
        <v>0</v>
      </c>
      <c r="DB156" s="10">
        <v>2001966</v>
      </c>
      <c r="DC156" s="10">
        <f t="shared" si="333"/>
        <v>447740</v>
      </c>
      <c r="DD156" s="13">
        <f t="shared" si="334"/>
        <v>0.22365015190068163</v>
      </c>
      <c r="DE156" s="14"/>
    </row>
    <row r="157" spans="1:109" x14ac:dyDescent="0.35">
      <c r="A157" s="8" t="s">
        <v>373</v>
      </c>
      <c r="B157" s="9" t="s">
        <v>111</v>
      </c>
      <c r="C157" s="9" t="s">
        <v>52</v>
      </c>
      <c r="D157" s="9" t="s">
        <v>374</v>
      </c>
      <c r="E157" s="9" t="s">
        <v>54</v>
      </c>
      <c r="F157" s="9" t="s">
        <v>55</v>
      </c>
      <c r="G157" s="10"/>
      <c r="H157" s="10"/>
      <c r="I157" s="11">
        <v>0</v>
      </c>
      <c r="J157" s="10"/>
      <c r="K157" s="10"/>
      <c r="L157" s="12">
        <v>0</v>
      </c>
      <c r="M157" s="10">
        <v>4500000</v>
      </c>
      <c r="N157" s="10">
        <v>1013080</v>
      </c>
      <c r="O157" s="11">
        <f t="shared" si="336"/>
        <v>0.22512888888888888</v>
      </c>
      <c r="P157" s="10"/>
      <c r="Q157" s="10">
        <v>67800</v>
      </c>
      <c r="R157" s="11">
        <v>0</v>
      </c>
      <c r="S157" s="10">
        <v>400000</v>
      </c>
      <c r="T157" s="10"/>
      <c r="U157" s="11">
        <f t="shared" ref="U157:U158" si="351">T157/S157</f>
        <v>0</v>
      </c>
      <c r="V157" s="10"/>
      <c r="W157" s="10"/>
      <c r="X157" s="11">
        <v>0</v>
      </c>
      <c r="Y157" s="10">
        <v>300000</v>
      </c>
      <c r="Z157" s="10">
        <v>95600</v>
      </c>
      <c r="AA157" s="11">
        <f t="shared" si="338"/>
        <v>0.31866666666666665</v>
      </c>
      <c r="AB157" s="10">
        <v>100000</v>
      </c>
      <c r="AC157" s="10"/>
      <c r="AD157" s="11">
        <v>0</v>
      </c>
      <c r="AE157" s="10"/>
      <c r="AF157" s="10"/>
      <c r="AG157" s="11">
        <v>0</v>
      </c>
      <c r="AH157" s="10"/>
      <c r="AI157" s="10"/>
      <c r="AJ157" s="11">
        <v>0</v>
      </c>
      <c r="AK157" s="10"/>
      <c r="AL157" s="10"/>
      <c r="AM157" s="11">
        <v>0</v>
      </c>
      <c r="AN157" s="10"/>
      <c r="AO157" s="10"/>
      <c r="AP157" s="11">
        <v>0</v>
      </c>
      <c r="AQ157" s="10"/>
      <c r="AR157" s="10"/>
      <c r="AS157" s="11">
        <v>0</v>
      </c>
      <c r="AT157" s="10"/>
      <c r="AU157" s="10"/>
      <c r="AV157" s="11">
        <v>0</v>
      </c>
      <c r="AW157" s="10"/>
      <c r="AX157" s="10"/>
      <c r="AY157" s="11">
        <v>0</v>
      </c>
      <c r="AZ157" s="10"/>
      <c r="BA157" s="10"/>
      <c r="BB157" s="11">
        <v>0</v>
      </c>
      <c r="BC157" s="10">
        <v>937015</v>
      </c>
      <c r="BD157" s="10">
        <v>81495</v>
      </c>
      <c r="BE157" s="11">
        <f t="shared" si="346"/>
        <v>8.6972994028910955E-2</v>
      </c>
      <c r="BF157" s="10"/>
      <c r="BG157" s="10">
        <f>VLOOKUP(A:A,'[1]2026 Customer Brand Sales'!$A:$BA,53,0)</f>
        <v>3750</v>
      </c>
      <c r="BH157" s="11">
        <v>0</v>
      </c>
      <c r="BI157" s="10"/>
      <c r="BJ157" s="10"/>
      <c r="BK157" s="11">
        <v>0</v>
      </c>
      <c r="BL157" s="10"/>
      <c r="BM157" s="10"/>
      <c r="BN157" s="11">
        <v>0</v>
      </c>
      <c r="BO157" s="10"/>
      <c r="BP157" s="10"/>
      <c r="BQ157" s="11">
        <v>0</v>
      </c>
      <c r="BR157" s="10">
        <v>300000</v>
      </c>
      <c r="BS157" s="10"/>
      <c r="BT157" s="11">
        <f t="shared" si="347"/>
        <v>0</v>
      </c>
      <c r="BU157" s="10">
        <v>250000</v>
      </c>
      <c r="BV157" s="10">
        <v>28500</v>
      </c>
      <c r="BW157" s="11">
        <f t="shared" si="348"/>
        <v>0.114</v>
      </c>
      <c r="BX157" s="10"/>
      <c r="BY157" s="10"/>
      <c r="BZ157" s="11">
        <v>0</v>
      </c>
      <c r="CA157" s="10"/>
      <c r="CB157" s="10"/>
      <c r="CC157" s="11">
        <v>0</v>
      </c>
      <c r="CD157" s="10"/>
      <c r="CE157" s="10"/>
      <c r="CF157" s="11">
        <v>0</v>
      </c>
      <c r="CG157" s="10">
        <v>50000</v>
      </c>
      <c r="CH157" s="10">
        <v>429900</v>
      </c>
      <c r="CI157" s="11">
        <f t="shared" si="349"/>
        <v>8.5980000000000008</v>
      </c>
      <c r="CJ157" s="10"/>
      <c r="CK157" s="10"/>
      <c r="CL157" s="11">
        <v>0</v>
      </c>
      <c r="CM157" s="10"/>
      <c r="CN157" s="10"/>
      <c r="CO157" s="11">
        <v>0</v>
      </c>
      <c r="CP157" s="10"/>
      <c r="CQ157" s="10"/>
      <c r="CR157" s="11">
        <v>0</v>
      </c>
      <c r="CS157" s="10"/>
      <c r="CT157" s="10"/>
      <c r="CU157" s="11">
        <v>0</v>
      </c>
      <c r="CV157" s="10"/>
      <c r="CW157" s="10"/>
      <c r="CX157" s="11">
        <v>0</v>
      </c>
      <c r="CY157" s="10"/>
      <c r="CZ157" s="10"/>
      <c r="DA157" s="11">
        <v>0</v>
      </c>
      <c r="DB157" s="10">
        <v>6837015</v>
      </c>
      <c r="DC157" s="10">
        <f t="shared" si="333"/>
        <v>1720125</v>
      </c>
      <c r="DD157" s="13">
        <f t="shared" si="334"/>
        <v>0.25159005794195272</v>
      </c>
      <c r="DE157" s="14"/>
    </row>
    <row r="158" spans="1:109" x14ac:dyDescent="0.35">
      <c r="A158" s="8" t="s">
        <v>375</v>
      </c>
      <c r="B158" s="9" t="s">
        <v>51</v>
      </c>
      <c r="C158" s="9" t="s">
        <v>52</v>
      </c>
      <c r="D158" s="9" t="s">
        <v>376</v>
      </c>
      <c r="E158" s="9" t="s">
        <v>54</v>
      </c>
      <c r="F158" s="9" t="s">
        <v>55</v>
      </c>
      <c r="G158" s="10"/>
      <c r="H158" s="10"/>
      <c r="I158" s="11">
        <v>0</v>
      </c>
      <c r="J158" s="10"/>
      <c r="K158" s="10"/>
      <c r="L158" s="12">
        <v>0</v>
      </c>
      <c r="M158" s="10">
        <v>164000</v>
      </c>
      <c r="N158" s="10">
        <v>39000</v>
      </c>
      <c r="O158" s="11">
        <f t="shared" si="336"/>
        <v>0.23780487804878048</v>
      </c>
      <c r="P158" s="10"/>
      <c r="Q158" s="10"/>
      <c r="R158" s="11">
        <v>0</v>
      </c>
      <c r="S158" s="10">
        <v>300000</v>
      </c>
      <c r="T158" s="10">
        <v>260840</v>
      </c>
      <c r="U158" s="11">
        <f t="shared" si="351"/>
        <v>0.86946666666666672</v>
      </c>
      <c r="V158" s="10"/>
      <c r="W158" s="10"/>
      <c r="X158" s="11">
        <v>0</v>
      </c>
      <c r="Y158" s="10"/>
      <c r="Z158" s="10"/>
      <c r="AA158" s="11"/>
      <c r="AB158" s="10"/>
      <c r="AC158" s="10"/>
      <c r="AD158" s="11">
        <v>0</v>
      </c>
      <c r="AE158" s="10"/>
      <c r="AF158" s="10"/>
      <c r="AG158" s="11">
        <v>0</v>
      </c>
      <c r="AH158" s="10"/>
      <c r="AI158" s="10"/>
      <c r="AJ158" s="11">
        <v>0</v>
      </c>
      <c r="AK158" s="10"/>
      <c r="AL158" s="10"/>
      <c r="AM158" s="11">
        <v>0</v>
      </c>
      <c r="AN158" s="10"/>
      <c r="AO158" s="10"/>
      <c r="AP158" s="11">
        <v>0</v>
      </c>
      <c r="AQ158" s="10"/>
      <c r="AR158" s="10"/>
      <c r="AS158" s="11">
        <v>0</v>
      </c>
      <c r="AT158" s="10"/>
      <c r="AU158" s="10"/>
      <c r="AV158" s="11">
        <v>0</v>
      </c>
      <c r="AW158" s="10"/>
      <c r="AX158" s="10"/>
      <c r="AY158" s="11">
        <v>0</v>
      </c>
      <c r="AZ158" s="10"/>
      <c r="BA158" s="10"/>
      <c r="BB158" s="11">
        <v>0</v>
      </c>
      <c r="BC158" s="10"/>
      <c r="BD158" s="10"/>
      <c r="BE158" s="11">
        <v>0</v>
      </c>
      <c r="BF158" s="10"/>
      <c r="BG158" s="10"/>
      <c r="BH158" s="11">
        <v>0</v>
      </c>
      <c r="BI158" s="10"/>
      <c r="BJ158" s="10"/>
      <c r="BK158" s="11">
        <v>0</v>
      </c>
      <c r="BL158" s="10"/>
      <c r="BM158" s="10"/>
      <c r="BN158" s="11">
        <v>0</v>
      </c>
      <c r="BO158" s="10"/>
      <c r="BP158" s="10">
        <v>1990</v>
      </c>
      <c r="BQ158" s="11">
        <v>0</v>
      </c>
      <c r="BR158" s="10"/>
      <c r="BS158" s="10"/>
      <c r="BT158" s="11">
        <v>0</v>
      </c>
      <c r="BU158" s="10"/>
      <c r="BV158" s="10"/>
      <c r="BW158" s="11">
        <v>0</v>
      </c>
      <c r="BX158" s="10"/>
      <c r="BY158" s="10"/>
      <c r="BZ158" s="11">
        <v>0</v>
      </c>
      <c r="CA158" s="10"/>
      <c r="CB158" s="10"/>
      <c r="CC158" s="11">
        <v>0</v>
      </c>
      <c r="CD158" s="10"/>
      <c r="CE158" s="10"/>
      <c r="CF158" s="11">
        <v>0</v>
      </c>
      <c r="CG158" s="10"/>
      <c r="CH158" s="10">
        <v>2500</v>
      </c>
      <c r="CI158" s="11">
        <v>0</v>
      </c>
      <c r="CJ158" s="10"/>
      <c r="CK158" s="10"/>
      <c r="CL158" s="11">
        <v>0</v>
      </c>
      <c r="CM158" s="10"/>
      <c r="CN158" s="10"/>
      <c r="CO158" s="11">
        <v>0</v>
      </c>
      <c r="CP158" s="10"/>
      <c r="CQ158" s="10"/>
      <c r="CR158" s="11">
        <v>0</v>
      </c>
      <c r="CS158" s="10"/>
      <c r="CT158" s="10"/>
      <c r="CU158" s="11">
        <v>0</v>
      </c>
      <c r="CV158" s="10"/>
      <c r="CW158" s="10"/>
      <c r="CX158" s="11">
        <v>0</v>
      </c>
      <c r="CY158" s="10">
        <v>150000</v>
      </c>
      <c r="CZ158" s="10"/>
      <c r="DA158" s="11">
        <f t="shared" si="350"/>
        <v>0</v>
      </c>
      <c r="DB158" s="10">
        <v>614000</v>
      </c>
      <c r="DC158" s="10">
        <f t="shared" si="333"/>
        <v>304330</v>
      </c>
      <c r="DD158" s="13">
        <f t="shared" si="334"/>
        <v>0.49565146579804559</v>
      </c>
      <c r="DE158" s="14"/>
    </row>
    <row r="159" spans="1:109" x14ac:dyDescent="0.35">
      <c r="A159" s="8" t="s">
        <v>377</v>
      </c>
      <c r="B159" s="9" t="s">
        <v>51</v>
      </c>
      <c r="C159" s="9" t="s">
        <v>52</v>
      </c>
      <c r="D159" s="9" t="s">
        <v>378</v>
      </c>
      <c r="E159" s="9" t="s">
        <v>54</v>
      </c>
      <c r="F159" s="9" t="s">
        <v>55</v>
      </c>
      <c r="G159" s="10"/>
      <c r="H159" s="10"/>
      <c r="I159" s="11">
        <v>0</v>
      </c>
      <c r="J159" s="10"/>
      <c r="K159" s="10"/>
      <c r="L159" s="12">
        <v>0</v>
      </c>
      <c r="M159" s="10"/>
      <c r="N159" s="10"/>
      <c r="O159" s="11">
        <v>0</v>
      </c>
      <c r="P159" s="10"/>
      <c r="Q159" s="10"/>
      <c r="R159" s="11">
        <v>0</v>
      </c>
      <c r="S159" s="10"/>
      <c r="T159" s="10"/>
      <c r="U159" s="11">
        <v>0</v>
      </c>
      <c r="V159" s="10"/>
      <c r="W159" s="10"/>
      <c r="X159" s="11">
        <v>0</v>
      </c>
      <c r="Y159" s="10"/>
      <c r="Z159" s="10"/>
      <c r="AA159" s="11"/>
      <c r="AB159" s="10"/>
      <c r="AC159" s="10"/>
      <c r="AD159" s="11">
        <v>0</v>
      </c>
      <c r="AE159" s="10">
        <v>100000</v>
      </c>
      <c r="AF159" s="10">
        <v>60750</v>
      </c>
      <c r="AG159" s="11">
        <f t="shared" ref="AG159:AG163" si="352">AF159/AE159</f>
        <v>0.60750000000000004</v>
      </c>
      <c r="AH159" s="10"/>
      <c r="AI159" s="10"/>
      <c r="AJ159" s="11">
        <v>0</v>
      </c>
      <c r="AK159" s="10"/>
      <c r="AL159" s="10"/>
      <c r="AM159" s="11">
        <v>0</v>
      </c>
      <c r="AN159" s="10"/>
      <c r="AO159" s="10"/>
      <c r="AP159" s="11">
        <v>0</v>
      </c>
      <c r="AQ159" s="10"/>
      <c r="AR159" s="10"/>
      <c r="AS159" s="11">
        <v>0</v>
      </c>
      <c r="AT159" s="10"/>
      <c r="AU159" s="10"/>
      <c r="AV159" s="11">
        <v>0</v>
      </c>
      <c r="AW159" s="10"/>
      <c r="AX159" s="10"/>
      <c r="AY159" s="11">
        <v>0</v>
      </c>
      <c r="AZ159" s="10"/>
      <c r="BA159" s="10"/>
      <c r="BB159" s="11">
        <v>0</v>
      </c>
      <c r="BC159" s="10">
        <v>23932</v>
      </c>
      <c r="BD159" s="10"/>
      <c r="BE159" s="11">
        <f t="shared" ref="BE159:BE161" si="353">BD159/BC159</f>
        <v>0</v>
      </c>
      <c r="BF159" s="10">
        <v>3000000</v>
      </c>
      <c r="BG159" s="10">
        <f>VLOOKUP(A:A,'[1]2026 Customer Brand Sales'!$A:$BA,53,0)</f>
        <v>327150</v>
      </c>
      <c r="BH159" s="11">
        <f t="shared" ref="BH159:BH163" si="354">BG159/BF159</f>
        <v>0.10904999999999999</v>
      </c>
      <c r="BI159" s="10"/>
      <c r="BJ159" s="10"/>
      <c r="BK159" s="11">
        <v>0</v>
      </c>
      <c r="BL159" s="10">
        <v>600000</v>
      </c>
      <c r="BM159" s="10">
        <v>380</v>
      </c>
      <c r="BN159" s="11">
        <f t="shared" ref="BN159:BN161" si="355">BM159/BL159</f>
        <v>6.333333333333333E-4</v>
      </c>
      <c r="BO159" s="10"/>
      <c r="BP159" s="10"/>
      <c r="BQ159" s="11">
        <v>0</v>
      </c>
      <c r="BR159" s="10"/>
      <c r="BS159" s="10"/>
      <c r="BT159" s="11">
        <v>0</v>
      </c>
      <c r="BU159" s="10"/>
      <c r="BV159" s="10"/>
      <c r="BW159" s="11">
        <v>0</v>
      </c>
      <c r="BX159" s="10"/>
      <c r="BY159" s="10"/>
      <c r="BZ159" s="11">
        <v>0</v>
      </c>
      <c r="CA159" s="10"/>
      <c r="CB159" s="10"/>
      <c r="CC159" s="11">
        <v>0</v>
      </c>
      <c r="CD159" s="10"/>
      <c r="CE159" s="10"/>
      <c r="CF159" s="11">
        <v>0</v>
      </c>
      <c r="CG159" s="10"/>
      <c r="CH159" s="10"/>
      <c r="CI159" s="11">
        <v>0</v>
      </c>
      <c r="CJ159" s="10"/>
      <c r="CK159" s="10"/>
      <c r="CL159" s="11">
        <v>0</v>
      </c>
      <c r="CM159" s="10"/>
      <c r="CN159" s="10"/>
      <c r="CO159" s="11">
        <v>0</v>
      </c>
      <c r="CP159" s="10"/>
      <c r="CQ159" s="10"/>
      <c r="CR159" s="11">
        <v>0</v>
      </c>
      <c r="CS159" s="10"/>
      <c r="CT159" s="10"/>
      <c r="CU159" s="11">
        <v>0</v>
      </c>
      <c r="CV159" s="10"/>
      <c r="CW159" s="10"/>
      <c r="CX159" s="11">
        <v>0</v>
      </c>
      <c r="CY159" s="10"/>
      <c r="CZ159" s="10"/>
      <c r="DA159" s="11">
        <v>0</v>
      </c>
      <c r="DB159" s="10">
        <v>3723932</v>
      </c>
      <c r="DC159" s="10">
        <f t="shared" ref="DC159:DC165" si="356">SUM(H159,K159,N159,Q159,T159,W159,Z159,AC159,AF159,AI159,AL159,AO159,AR159,AU159,AX159,BA159,BD159,BG159,BJ159,BM159,BP159,BS159,BV159,BY159,CB159,CE159,CH159,CK159,CN159,CQ159,CT159,CW159,CZ159)</f>
        <v>388280</v>
      </c>
      <c r="DD159" s="13">
        <f t="shared" ref="DD159:DD165" si="357">DC159/DB159</f>
        <v>0.10426613590151484</v>
      </c>
      <c r="DE159" s="14"/>
    </row>
    <row r="160" spans="1:109" x14ac:dyDescent="0.35">
      <c r="A160" s="8" t="s">
        <v>379</v>
      </c>
      <c r="B160" s="9" t="s">
        <v>108</v>
      </c>
      <c r="C160" s="9" t="s">
        <v>52</v>
      </c>
      <c r="D160" s="9" t="s">
        <v>380</v>
      </c>
      <c r="E160" s="9" t="s">
        <v>54</v>
      </c>
      <c r="F160" s="9" t="s">
        <v>55</v>
      </c>
      <c r="G160" s="10"/>
      <c r="H160" s="10"/>
      <c r="I160" s="11">
        <v>0</v>
      </c>
      <c r="J160" s="10"/>
      <c r="K160" s="10"/>
      <c r="L160" s="12">
        <v>0</v>
      </c>
      <c r="M160" s="10"/>
      <c r="N160" s="10"/>
      <c r="O160" s="11">
        <v>0</v>
      </c>
      <c r="P160" s="10"/>
      <c r="Q160" s="10"/>
      <c r="R160" s="11">
        <v>0</v>
      </c>
      <c r="S160" s="10"/>
      <c r="T160" s="10"/>
      <c r="U160" s="11">
        <v>0</v>
      </c>
      <c r="V160" s="10">
        <v>2000000</v>
      </c>
      <c r="W160" s="10">
        <v>604650</v>
      </c>
      <c r="X160" s="11">
        <v>0.30232500000000001</v>
      </c>
      <c r="Y160" s="10"/>
      <c r="Z160" s="10"/>
      <c r="AA160" s="11"/>
      <c r="AB160" s="10"/>
      <c r="AC160" s="10"/>
      <c r="AD160" s="11">
        <v>0</v>
      </c>
      <c r="AE160" s="10"/>
      <c r="AF160" s="10"/>
      <c r="AG160" s="11">
        <v>0</v>
      </c>
      <c r="AH160" s="10"/>
      <c r="AI160" s="10"/>
      <c r="AJ160" s="11">
        <v>0</v>
      </c>
      <c r="AK160" s="10"/>
      <c r="AL160" s="10"/>
      <c r="AM160" s="11">
        <v>0</v>
      </c>
      <c r="AN160" s="10"/>
      <c r="AO160" s="10"/>
      <c r="AP160" s="11">
        <v>0</v>
      </c>
      <c r="AQ160" s="10"/>
      <c r="AR160" s="10"/>
      <c r="AS160" s="11">
        <v>0</v>
      </c>
      <c r="AT160" s="10"/>
      <c r="AU160" s="10"/>
      <c r="AV160" s="11">
        <v>0</v>
      </c>
      <c r="AW160" s="10"/>
      <c r="AX160" s="10"/>
      <c r="AY160" s="11">
        <v>0</v>
      </c>
      <c r="AZ160" s="10"/>
      <c r="BA160" s="10"/>
      <c r="BB160" s="11">
        <v>0</v>
      </c>
      <c r="BC160" s="10"/>
      <c r="BD160" s="10"/>
      <c r="BE160" s="11">
        <v>0</v>
      </c>
      <c r="BF160" s="10">
        <v>800000</v>
      </c>
      <c r="BG160" s="10">
        <f>VLOOKUP(A:A,'[1]2026 Customer Brand Sales'!$A:$BA,53,0)</f>
        <v>169270</v>
      </c>
      <c r="BH160" s="11">
        <f t="shared" si="354"/>
        <v>0.21158750000000001</v>
      </c>
      <c r="BI160" s="10"/>
      <c r="BJ160" s="10"/>
      <c r="BK160" s="11">
        <v>0</v>
      </c>
      <c r="BL160" s="10">
        <v>400000</v>
      </c>
      <c r="BM160" s="10">
        <v>55850</v>
      </c>
      <c r="BN160" s="11">
        <f t="shared" si="355"/>
        <v>0.139625</v>
      </c>
      <c r="BO160" s="10"/>
      <c r="BP160" s="10"/>
      <c r="BQ160" s="11">
        <v>0</v>
      </c>
      <c r="BR160" s="10"/>
      <c r="BS160" s="10"/>
      <c r="BT160" s="11">
        <v>0</v>
      </c>
      <c r="BU160" s="10"/>
      <c r="BV160" s="10"/>
      <c r="BW160" s="11">
        <v>0</v>
      </c>
      <c r="BX160" s="10"/>
      <c r="BY160" s="10"/>
      <c r="BZ160" s="11">
        <v>0</v>
      </c>
      <c r="CA160" s="10"/>
      <c r="CB160" s="10"/>
      <c r="CC160" s="11">
        <v>0</v>
      </c>
      <c r="CD160" s="10"/>
      <c r="CE160" s="10"/>
      <c r="CF160" s="11">
        <v>0</v>
      </c>
      <c r="CG160" s="10"/>
      <c r="CH160" s="10"/>
      <c r="CI160" s="11">
        <v>0</v>
      </c>
      <c r="CJ160" s="10"/>
      <c r="CK160" s="10"/>
      <c r="CL160" s="11">
        <v>0</v>
      </c>
      <c r="CM160" s="10"/>
      <c r="CN160" s="10"/>
      <c r="CO160" s="11">
        <v>0</v>
      </c>
      <c r="CP160" s="10"/>
      <c r="CQ160" s="10"/>
      <c r="CR160" s="11">
        <v>0</v>
      </c>
      <c r="CS160" s="10"/>
      <c r="CT160" s="10"/>
      <c r="CU160" s="11">
        <v>0</v>
      </c>
      <c r="CV160" s="10"/>
      <c r="CW160" s="10"/>
      <c r="CX160" s="11">
        <v>0</v>
      </c>
      <c r="CY160" s="10"/>
      <c r="CZ160" s="10"/>
      <c r="DA160" s="11">
        <v>0</v>
      </c>
      <c r="DB160" s="10">
        <v>3200000</v>
      </c>
      <c r="DC160" s="10">
        <f t="shared" si="356"/>
        <v>829770</v>
      </c>
      <c r="DD160" s="13">
        <f t="shared" si="357"/>
        <v>0.25930312500000002</v>
      </c>
      <c r="DE160" s="14"/>
    </row>
    <row r="161" spans="1:109" x14ac:dyDescent="0.35">
      <c r="A161" s="8" t="s">
        <v>381</v>
      </c>
      <c r="B161" s="9" t="s">
        <v>51</v>
      </c>
      <c r="C161" s="9" t="s">
        <v>52</v>
      </c>
      <c r="D161" s="9" t="s">
        <v>382</v>
      </c>
      <c r="E161" s="9" t="s">
        <v>54</v>
      </c>
      <c r="F161" s="9" t="s">
        <v>55</v>
      </c>
      <c r="G161" s="10"/>
      <c r="H161" s="10"/>
      <c r="I161" s="11">
        <v>0</v>
      </c>
      <c r="J161" s="10"/>
      <c r="K161" s="10"/>
      <c r="L161" s="12">
        <v>0</v>
      </c>
      <c r="M161" s="10">
        <v>168000</v>
      </c>
      <c r="N161" s="10"/>
      <c r="O161" s="11">
        <f t="shared" ref="O161:O163" si="358">N161/M161</f>
        <v>0</v>
      </c>
      <c r="P161" s="10">
        <v>100000</v>
      </c>
      <c r="Q161" s="10"/>
      <c r="R161" s="11">
        <f t="shared" ref="R161" si="359">Q161/P161</f>
        <v>0</v>
      </c>
      <c r="S161" s="10">
        <v>300000</v>
      </c>
      <c r="T161" s="10">
        <v>145000</v>
      </c>
      <c r="U161" s="11">
        <f t="shared" ref="U161:U163" si="360">T161/S161</f>
        <v>0.48333333333333334</v>
      </c>
      <c r="V161" s="10">
        <v>100000</v>
      </c>
      <c r="W161" s="10"/>
      <c r="X161" s="11">
        <v>0</v>
      </c>
      <c r="Y161" s="10">
        <v>100000</v>
      </c>
      <c r="Z161" s="10"/>
      <c r="AA161" s="11">
        <f t="shared" ref="AA161:AA163" si="361">Z161/Y161</f>
        <v>0</v>
      </c>
      <c r="AB161" s="10">
        <v>50000</v>
      </c>
      <c r="AC161" s="10"/>
      <c r="AD161" s="11">
        <v>0</v>
      </c>
      <c r="AE161" s="10"/>
      <c r="AF161" s="10"/>
      <c r="AG161" s="11">
        <v>0</v>
      </c>
      <c r="AH161" s="10"/>
      <c r="AI161" s="10"/>
      <c r="AJ161" s="11">
        <v>0</v>
      </c>
      <c r="AK161" s="10"/>
      <c r="AL161" s="10"/>
      <c r="AM161" s="11">
        <v>0</v>
      </c>
      <c r="AN161" s="10">
        <v>150000</v>
      </c>
      <c r="AO161" s="10"/>
      <c r="AP161" s="11">
        <f t="shared" ref="AP161" si="362">AO161/AN161</f>
        <v>0</v>
      </c>
      <c r="AQ161" s="10"/>
      <c r="AR161" s="10"/>
      <c r="AS161" s="11">
        <v>0</v>
      </c>
      <c r="AT161" s="10"/>
      <c r="AU161" s="10"/>
      <c r="AV161" s="11">
        <v>0</v>
      </c>
      <c r="AW161" s="10"/>
      <c r="AX161" s="10"/>
      <c r="AY161" s="11">
        <v>0</v>
      </c>
      <c r="AZ161" s="10"/>
      <c r="BA161" s="10"/>
      <c r="BB161" s="11">
        <v>0</v>
      </c>
      <c r="BC161" s="10">
        <v>11580</v>
      </c>
      <c r="BD161" s="10"/>
      <c r="BE161" s="11">
        <f t="shared" si="353"/>
        <v>0</v>
      </c>
      <c r="BF161" s="10">
        <v>3200000</v>
      </c>
      <c r="BG161" s="10">
        <f>VLOOKUP(A:A,'[1]2026 Customer Brand Sales'!$A:$BA,53,0)</f>
        <v>2027890</v>
      </c>
      <c r="BH161" s="11">
        <f t="shared" si="354"/>
        <v>0.633715625</v>
      </c>
      <c r="BI161" s="10"/>
      <c r="BJ161" s="10"/>
      <c r="BK161" s="11">
        <v>0</v>
      </c>
      <c r="BL161" s="10">
        <v>200000</v>
      </c>
      <c r="BM161" s="10"/>
      <c r="BN161" s="11">
        <f t="shared" si="355"/>
        <v>0</v>
      </c>
      <c r="BO161" s="10"/>
      <c r="BP161" s="10"/>
      <c r="BQ161" s="11">
        <v>0</v>
      </c>
      <c r="BR161" s="10">
        <v>50000</v>
      </c>
      <c r="BS161" s="10">
        <v>2500</v>
      </c>
      <c r="BT161" s="11">
        <f t="shared" ref="BT161:BT163" si="363">BS161/BR161</f>
        <v>0.05</v>
      </c>
      <c r="BU161" s="10">
        <v>20000</v>
      </c>
      <c r="BV161" s="10"/>
      <c r="BW161" s="11">
        <f t="shared" ref="BW161:BW163" si="364">BV161/BU161</f>
        <v>0</v>
      </c>
      <c r="BX161" s="10"/>
      <c r="BY161" s="10"/>
      <c r="BZ161" s="11">
        <v>0</v>
      </c>
      <c r="CA161" s="10"/>
      <c r="CB161" s="10"/>
      <c r="CC161" s="11">
        <v>0</v>
      </c>
      <c r="CD161" s="10"/>
      <c r="CE161" s="10"/>
      <c r="CF161" s="11">
        <v>0</v>
      </c>
      <c r="CG161" s="10">
        <v>120000</v>
      </c>
      <c r="CH161" s="10"/>
      <c r="CI161" s="11">
        <f t="shared" ref="CI161" si="365">CH161/CG161</f>
        <v>0</v>
      </c>
      <c r="CJ161" s="10"/>
      <c r="CK161" s="10"/>
      <c r="CL161" s="11">
        <v>0</v>
      </c>
      <c r="CM161" s="10"/>
      <c r="CN161" s="10"/>
      <c r="CO161" s="11">
        <v>0</v>
      </c>
      <c r="CP161" s="10"/>
      <c r="CQ161" s="10"/>
      <c r="CR161" s="11">
        <v>0</v>
      </c>
      <c r="CS161" s="10"/>
      <c r="CT161" s="10"/>
      <c r="CU161" s="11">
        <v>0</v>
      </c>
      <c r="CV161" s="10"/>
      <c r="CW161" s="10"/>
      <c r="CX161" s="11">
        <v>0</v>
      </c>
      <c r="CY161" s="10"/>
      <c r="CZ161" s="10"/>
      <c r="DA161" s="11">
        <v>0</v>
      </c>
      <c r="DB161" s="10">
        <v>4569580</v>
      </c>
      <c r="DC161" s="10">
        <f t="shared" si="356"/>
        <v>2175390</v>
      </c>
      <c r="DD161" s="13">
        <f t="shared" si="357"/>
        <v>0.47605906888598076</v>
      </c>
      <c r="DE161" s="14"/>
    </row>
    <row r="162" spans="1:109" x14ac:dyDescent="0.35">
      <c r="A162" s="8" t="s">
        <v>383</v>
      </c>
      <c r="B162" s="9" t="s">
        <v>140</v>
      </c>
      <c r="C162" s="9" t="s">
        <v>43</v>
      </c>
      <c r="D162" s="9" t="s">
        <v>384</v>
      </c>
      <c r="E162" s="9" t="s">
        <v>45</v>
      </c>
      <c r="F162" s="9" t="s">
        <v>46</v>
      </c>
      <c r="G162" s="10"/>
      <c r="H162" s="10"/>
      <c r="I162" s="11">
        <v>0</v>
      </c>
      <c r="J162" s="10"/>
      <c r="K162" s="10"/>
      <c r="L162" s="12">
        <v>0</v>
      </c>
      <c r="M162" s="10">
        <v>3360000</v>
      </c>
      <c r="N162" s="10">
        <v>1528500</v>
      </c>
      <c r="O162" s="11">
        <f t="shared" si="358"/>
        <v>0.45491071428571428</v>
      </c>
      <c r="P162" s="10"/>
      <c r="Q162" s="10"/>
      <c r="R162" s="11">
        <v>0</v>
      </c>
      <c r="S162" s="10"/>
      <c r="T162" s="10"/>
      <c r="U162" s="11">
        <v>0</v>
      </c>
      <c r="V162" s="10"/>
      <c r="W162" s="10"/>
      <c r="X162" s="11">
        <v>0</v>
      </c>
      <c r="Y162" s="10"/>
      <c r="Z162" s="10"/>
      <c r="AA162" s="11"/>
      <c r="AB162" s="10"/>
      <c r="AC162" s="10"/>
      <c r="AD162" s="11">
        <v>0</v>
      </c>
      <c r="AE162" s="10"/>
      <c r="AF162" s="10"/>
      <c r="AG162" s="11">
        <v>0</v>
      </c>
      <c r="AH162" s="10"/>
      <c r="AI162" s="10"/>
      <c r="AJ162" s="11">
        <v>0</v>
      </c>
      <c r="AK162" s="10"/>
      <c r="AL162" s="10"/>
      <c r="AM162" s="11">
        <v>0</v>
      </c>
      <c r="AN162" s="10"/>
      <c r="AO162" s="10"/>
      <c r="AP162" s="11">
        <v>0</v>
      </c>
      <c r="AQ162" s="10"/>
      <c r="AR162" s="10"/>
      <c r="AS162" s="11">
        <v>0</v>
      </c>
      <c r="AT162" s="10"/>
      <c r="AU162" s="10"/>
      <c r="AV162" s="11">
        <v>0</v>
      </c>
      <c r="AW162" s="10"/>
      <c r="AX162" s="10"/>
      <c r="AY162" s="11">
        <v>0</v>
      </c>
      <c r="AZ162" s="10"/>
      <c r="BA162" s="10"/>
      <c r="BB162" s="11">
        <v>0</v>
      </c>
      <c r="BC162" s="10"/>
      <c r="BD162" s="10"/>
      <c r="BE162" s="11">
        <v>0</v>
      </c>
      <c r="BF162" s="10"/>
      <c r="BG162" s="10"/>
      <c r="BH162" s="11">
        <v>0</v>
      </c>
      <c r="BI162" s="10"/>
      <c r="BJ162" s="10"/>
      <c r="BK162" s="11">
        <v>0</v>
      </c>
      <c r="BL162" s="10"/>
      <c r="BM162" s="10"/>
      <c r="BN162" s="11">
        <v>0</v>
      </c>
      <c r="BO162" s="10"/>
      <c r="BP162" s="10"/>
      <c r="BQ162" s="11">
        <v>0</v>
      </c>
      <c r="BR162" s="10">
        <v>400000</v>
      </c>
      <c r="BS162" s="10">
        <v>64000</v>
      </c>
      <c r="BT162" s="11">
        <f t="shared" si="363"/>
        <v>0.16</v>
      </c>
      <c r="BU162" s="10">
        <v>200000</v>
      </c>
      <c r="BV162" s="10"/>
      <c r="BW162" s="11">
        <f t="shared" si="364"/>
        <v>0</v>
      </c>
      <c r="BX162" s="10"/>
      <c r="BY162" s="10"/>
      <c r="BZ162" s="11">
        <v>0</v>
      </c>
      <c r="CA162" s="10"/>
      <c r="CB162" s="10"/>
      <c r="CC162" s="11">
        <v>0</v>
      </c>
      <c r="CD162" s="10"/>
      <c r="CE162" s="10"/>
      <c r="CF162" s="11">
        <v>0</v>
      </c>
      <c r="CG162" s="10"/>
      <c r="CH162" s="10"/>
      <c r="CI162" s="11">
        <v>0</v>
      </c>
      <c r="CJ162" s="10"/>
      <c r="CK162" s="10"/>
      <c r="CL162" s="11">
        <v>0</v>
      </c>
      <c r="CM162" s="10"/>
      <c r="CN162" s="10"/>
      <c r="CO162" s="11">
        <v>0</v>
      </c>
      <c r="CP162" s="10"/>
      <c r="CQ162" s="10"/>
      <c r="CR162" s="11">
        <v>0</v>
      </c>
      <c r="CS162" s="10"/>
      <c r="CT162" s="10"/>
      <c r="CU162" s="11">
        <v>0</v>
      </c>
      <c r="CV162" s="10"/>
      <c r="CW162" s="10"/>
      <c r="CX162" s="11">
        <v>0</v>
      </c>
      <c r="CY162" s="10"/>
      <c r="CZ162" s="10"/>
      <c r="DA162" s="11">
        <v>0</v>
      </c>
      <c r="DB162" s="10">
        <v>3960000</v>
      </c>
      <c r="DC162" s="10">
        <f t="shared" si="356"/>
        <v>1592500</v>
      </c>
      <c r="DD162" s="13">
        <f t="shared" si="357"/>
        <v>0.40214646464646464</v>
      </c>
      <c r="DE162" s="14"/>
    </row>
    <row r="163" spans="1:109" x14ac:dyDescent="0.35">
      <c r="A163" s="8" t="s">
        <v>385</v>
      </c>
      <c r="B163" s="9" t="s">
        <v>111</v>
      </c>
      <c r="C163" s="9" t="s">
        <v>52</v>
      </c>
      <c r="D163" s="9" t="s">
        <v>386</v>
      </c>
      <c r="E163" s="9" t="s">
        <v>54</v>
      </c>
      <c r="F163" s="9" t="s">
        <v>55</v>
      </c>
      <c r="G163" s="10"/>
      <c r="H163" s="10"/>
      <c r="I163" s="11">
        <v>0</v>
      </c>
      <c r="J163" s="10"/>
      <c r="K163" s="10"/>
      <c r="L163" s="12">
        <v>0</v>
      </c>
      <c r="M163" s="10">
        <v>560000</v>
      </c>
      <c r="N163" s="10">
        <v>30800</v>
      </c>
      <c r="O163" s="11">
        <f t="shared" si="358"/>
        <v>5.5E-2</v>
      </c>
      <c r="P163" s="10"/>
      <c r="Q163" s="10"/>
      <c r="R163" s="11">
        <v>0</v>
      </c>
      <c r="S163" s="10">
        <v>100000</v>
      </c>
      <c r="T163" s="10">
        <v>26100</v>
      </c>
      <c r="U163" s="11">
        <f t="shared" si="360"/>
        <v>0.26100000000000001</v>
      </c>
      <c r="V163" s="10">
        <v>50000</v>
      </c>
      <c r="W163" s="10">
        <v>52800</v>
      </c>
      <c r="X163" s="11">
        <v>1.056</v>
      </c>
      <c r="Y163" s="10">
        <v>50000</v>
      </c>
      <c r="Z163" s="10">
        <v>64400</v>
      </c>
      <c r="AA163" s="11">
        <f t="shared" si="361"/>
        <v>1.288</v>
      </c>
      <c r="AB163" s="10">
        <v>50000</v>
      </c>
      <c r="AC163" s="10"/>
      <c r="AD163" s="11">
        <v>0</v>
      </c>
      <c r="AE163" s="10">
        <v>200000</v>
      </c>
      <c r="AF163" s="10"/>
      <c r="AG163" s="11">
        <f t="shared" si="352"/>
        <v>0</v>
      </c>
      <c r="AH163" s="10"/>
      <c r="AI163" s="10"/>
      <c r="AJ163" s="11">
        <v>0</v>
      </c>
      <c r="AK163" s="10">
        <v>200000</v>
      </c>
      <c r="AL163" s="10"/>
      <c r="AM163" s="11">
        <f t="shared" ref="AM163" si="366">AL163/AK163</f>
        <v>0</v>
      </c>
      <c r="AN163" s="10"/>
      <c r="AO163" s="10"/>
      <c r="AP163" s="11">
        <v>0</v>
      </c>
      <c r="AQ163" s="10"/>
      <c r="AR163" s="10"/>
      <c r="AS163" s="11">
        <v>0</v>
      </c>
      <c r="AT163" s="10"/>
      <c r="AU163" s="10">
        <v>39540</v>
      </c>
      <c r="AV163" s="11">
        <v>0</v>
      </c>
      <c r="AW163" s="10"/>
      <c r="AX163" s="10"/>
      <c r="AY163" s="11">
        <v>0</v>
      </c>
      <c r="AZ163" s="10"/>
      <c r="BA163" s="10"/>
      <c r="BB163" s="11">
        <v>0</v>
      </c>
      <c r="BC163" s="10"/>
      <c r="BD163" s="10">
        <v>74500</v>
      </c>
      <c r="BE163" s="11">
        <v>0</v>
      </c>
      <c r="BF163" s="10">
        <v>1000000</v>
      </c>
      <c r="BG163" s="10">
        <f>VLOOKUP(A:A,'[1]2026 Customer Brand Sales'!$A:$BA,53,0)</f>
        <v>227975</v>
      </c>
      <c r="BH163" s="11">
        <f t="shared" si="354"/>
        <v>0.22797500000000001</v>
      </c>
      <c r="BI163" s="10"/>
      <c r="BJ163" s="10"/>
      <c r="BK163" s="11">
        <v>0</v>
      </c>
      <c r="BL163" s="10"/>
      <c r="BM163" s="10"/>
      <c r="BN163" s="11">
        <v>0</v>
      </c>
      <c r="BO163" s="10">
        <v>40000</v>
      </c>
      <c r="BP163" s="10"/>
      <c r="BQ163" s="11">
        <f t="shared" ref="BQ163" si="367">BP163/BO163</f>
        <v>0</v>
      </c>
      <c r="BR163" s="10">
        <v>200000</v>
      </c>
      <c r="BS163" s="10"/>
      <c r="BT163" s="11">
        <f t="shared" si="363"/>
        <v>0</v>
      </c>
      <c r="BU163" s="10">
        <v>150000</v>
      </c>
      <c r="BV163" s="10"/>
      <c r="BW163" s="11">
        <f t="shared" si="364"/>
        <v>0</v>
      </c>
      <c r="BX163" s="10"/>
      <c r="BY163" s="10"/>
      <c r="BZ163" s="11">
        <v>0</v>
      </c>
      <c r="CA163" s="10"/>
      <c r="CB163" s="10"/>
      <c r="CC163" s="11">
        <v>0</v>
      </c>
      <c r="CD163" s="10"/>
      <c r="CE163" s="10"/>
      <c r="CF163" s="11">
        <v>0</v>
      </c>
      <c r="CG163" s="10"/>
      <c r="CH163" s="10"/>
      <c r="CI163" s="11">
        <v>0</v>
      </c>
      <c r="CJ163" s="10"/>
      <c r="CK163" s="10"/>
      <c r="CL163" s="11">
        <v>0</v>
      </c>
      <c r="CM163" s="10"/>
      <c r="CN163" s="10"/>
      <c r="CO163" s="11">
        <v>0</v>
      </c>
      <c r="CP163" s="10"/>
      <c r="CQ163" s="10"/>
      <c r="CR163" s="11">
        <v>0</v>
      </c>
      <c r="CS163" s="10"/>
      <c r="CT163" s="10"/>
      <c r="CU163" s="11">
        <v>0</v>
      </c>
      <c r="CV163" s="10"/>
      <c r="CW163" s="10"/>
      <c r="CX163" s="11">
        <v>0</v>
      </c>
      <c r="CY163" s="10"/>
      <c r="CZ163" s="10"/>
      <c r="DA163" s="11">
        <v>0</v>
      </c>
      <c r="DB163" s="10">
        <v>2600000</v>
      </c>
      <c r="DC163" s="10">
        <f t="shared" si="356"/>
        <v>516115</v>
      </c>
      <c r="DD163" s="13">
        <f t="shared" si="357"/>
        <v>0.19850576923076924</v>
      </c>
      <c r="DE163" s="14"/>
    </row>
    <row r="164" spans="1:109" x14ac:dyDescent="0.35">
      <c r="A164" s="8" t="s">
        <v>387</v>
      </c>
      <c r="B164" s="9" t="s">
        <v>118</v>
      </c>
      <c r="C164" s="9" t="s">
        <v>43</v>
      </c>
      <c r="D164" s="9" t="s">
        <v>388</v>
      </c>
      <c r="E164" s="9" t="s">
        <v>61</v>
      </c>
      <c r="F164" s="9" t="s">
        <v>62</v>
      </c>
      <c r="G164" s="10"/>
      <c r="H164" s="10"/>
      <c r="I164" s="11">
        <v>0</v>
      </c>
      <c r="J164" s="10"/>
      <c r="K164" s="10"/>
      <c r="L164" s="12">
        <v>0</v>
      </c>
      <c r="M164" s="10"/>
      <c r="N164" s="10"/>
      <c r="O164" s="11">
        <v>0</v>
      </c>
      <c r="P164" s="10"/>
      <c r="Q164" s="10"/>
      <c r="R164" s="11">
        <v>0</v>
      </c>
      <c r="S164" s="10"/>
      <c r="T164" s="10"/>
      <c r="U164" s="11">
        <v>0</v>
      </c>
      <c r="V164" s="10">
        <v>2500000</v>
      </c>
      <c r="W164" s="10">
        <v>410050</v>
      </c>
      <c r="X164" s="11">
        <v>0.16402</v>
      </c>
      <c r="Y164" s="10"/>
      <c r="Z164" s="10"/>
      <c r="AA164" s="11"/>
      <c r="AB164" s="10"/>
      <c r="AC164" s="10"/>
      <c r="AD164" s="11">
        <v>0</v>
      </c>
      <c r="AE164" s="10"/>
      <c r="AF164" s="10"/>
      <c r="AG164" s="11">
        <v>0</v>
      </c>
      <c r="AH164" s="10"/>
      <c r="AI164" s="10"/>
      <c r="AJ164" s="11">
        <v>0</v>
      </c>
      <c r="AK164" s="10"/>
      <c r="AL164" s="10"/>
      <c r="AM164" s="11">
        <v>0</v>
      </c>
      <c r="AN164" s="10"/>
      <c r="AO164" s="10"/>
      <c r="AP164" s="11">
        <v>0</v>
      </c>
      <c r="AQ164" s="10"/>
      <c r="AR164" s="10"/>
      <c r="AS164" s="11">
        <v>0</v>
      </c>
      <c r="AT164" s="10"/>
      <c r="AU164" s="10"/>
      <c r="AV164" s="11">
        <v>0</v>
      </c>
      <c r="AW164" s="10"/>
      <c r="AX164" s="10"/>
      <c r="AY164" s="11">
        <v>0</v>
      </c>
      <c r="AZ164" s="10"/>
      <c r="BA164" s="10"/>
      <c r="BB164" s="11">
        <v>0</v>
      </c>
      <c r="BC164" s="10"/>
      <c r="BD164" s="10"/>
      <c r="BE164" s="11">
        <v>0</v>
      </c>
      <c r="BF164" s="10"/>
      <c r="BG164" s="10"/>
      <c r="BH164" s="11">
        <v>0</v>
      </c>
      <c r="BI164" s="10"/>
      <c r="BJ164" s="10"/>
      <c r="BK164" s="11">
        <v>0</v>
      </c>
      <c r="BL164" s="10"/>
      <c r="BM164" s="10"/>
      <c r="BN164" s="11">
        <v>0</v>
      </c>
      <c r="BO164" s="10"/>
      <c r="BP164" s="10"/>
      <c r="BQ164" s="11">
        <v>0</v>
      </c>
      <c r="BR164" s="10"/>
      <c r="BS164" s="10"/>
      <c r="BT164" s="11">
        <v>0</v>
      </c>
      <c r="BU164" s="10"/>
      <c r="BV164" s="10"/>
      <c r="BW164" s="11">
        <v>0</v>
      </c>
      <c r="BX164" s="10"/>
      <c r="BY164" s="10"/>
      <c r="BZ164" s="11">
        <v>0</v>
      </c>
      <c r="CA164" s="10"/>
      <c r="CB164" s="10"/>
      <c r="CC164" s="11">
        <v>0</v>
      </c>
      <c r="CD164" s="10"/>
      <c r="CE164" s="10"/>
      <c r="CF164" s="11">
        <v>0</v>
      </c>
      <c r="CG164" s="10"/>
      <c r="CH164" s="10"/>
      <c r="CI164" s="11">
        <v>0</v>
      </c>
      <c r="CJ164" s="10"/>
      <c r="CK164" s="10"/>
      <c r="CL164" s="11">
        <v>0</v>
      </c>
      <c r="CM164" s="10"/>
      <c r="CN164" s="10"/>
      <c r="CO164" s="11">
        <v>0</v>
      </c>
      <c r="CP164" s="10"/>
      <c r="CQ164" s="10"/>
      <c r="CR164" s="11">
        <v>0</v>
      </c>
      <c r="CS164" s="10"/>
      <c r="CT164" s="10"/>
      <c r="CU164" s="11">
        <v>0</v>
      </c>
      <c r="CV164" s="10"/>
      <c r="CW164" s="10"/>
      <c r="CX164" s="11">
        <v>0</v>
      </c>
      <c r="CY164" s="10"/>
      <c r="CZ164" s="10"/>
      <c r="DA164" s="11">
        <v>0</v>
      </c>
      <c r="DB164" s="10">
        <v>2500000</v>
      </c>
      <c r="DC164" s="10">
        <f t="shared" si="356"/>
        <v>410050</v>
      </c>
      <c r="DD164" s="13">
        <f t="shared" si="357"/>
        <v>0.16402</v>
      </c>
      <c r="DE164" s="14"/>
    </row>
    <row r="165" spans="1:109" x14ac:dyDescent="0.35">
      <c r="A165" s="8" t="s">
        <v>389</v>
      </c>
      <c r="B165" s="9" t="s">
        <v>118</v>
      </c>
      <c r="C165" s="9" t="s">
        <v>43</v>
      </c>
      <c r="D165" s="9" t="s">
        <v>390</v>
      </c>
      <c r="E165" s="9" t="s">
        <v>61</v>
      </c>
      <c r="F165" s="9" t="s">
        <v>62</v>
      </c>
      <c r="G165" s="10"/>
      <c r="H165" s="10"/>
      <c r="I165" s="11">
        <v>0</v>
      </c>
      <c r="J165" s="10"/>
      <c r="K165" s="10"/>
      <c r="L165" s="12">
        <v>0</v>
      </c>
      <c r="M165" s="10"/>
      <c r="N165" s="10"/>
      <c r="O165" s="11">
        <v>0</v>
      </c>
      <c r="P165" s="10"/>
      <c r="Q165" s="10"/>
      <c r="R165" s="11">
        <v>0</v>
      </c>
      <c r="S165" s="10"/>
      <c r="T165" s="10"/>
      <c r="U165" s="11">
        <v>0</v>
      </c>
      <c r="V165" s="10">
        <v>2000000</v>
      </c>
      <c r="W165" s="10">
        <v>1428200</v>
      </c>
      <c r="X165" s="11">
        <v>0.71409999999999996</v>
      </c>
      <c r="Y165" s="10"/>
      <c r="Z165" s="10"/>
      <c r="AA165" s="11"/>
      <c r="AB165" s="10"/>
      <c r="AC165" s="10"/>
      <c r="AD165" s="11">
        <v>0</v>
      </c>
      <c r="AE165" s="10"/>
      <c r="AF165" s="10"/>
      <c r="AG165" s="11">
        <v>0</v>
      </c>
      <c r="AH165" s="10"/>
      <c r="AI165" s="10"/>
      <c r="AJ165" s="11">
        <v>0</v>
      </c>
      <c r="AK165" s="10"/>
      <c r="AL165" s="10"/>
      <c r="AM165" s="11">
        <v>0</v>
      </c>
      <c r="AN165" s="10"/>
      <c r="AO165" s="10"/>
      <c r="AP165" s="11">
        <v>0</v>
      </c>
      <c r="AQ165" s="10"/>
      <c r="AR165" s="10"/>
      <c r="AS165" s="11">
        <v>0</v>
      </c>
      <c r="AT165" s="10"/>
      <c r="AU165" s="10"/>
      <c r="AV165" s="11">
        <v>0</v>
      </c>
      <c r="AW165" s="10"/>
      <c r="AX165" s="10"/>
      <c r="AY165" s="11">
        <v>0</v>
      </c>
      <c r="AZ165" s="10"/>
      <c r="BA165" s="10"/>
      <c r="BB165" s="11">
        <v>0</v>
      </c>
      <c r="BC165" s="10"/>
      <c r="BD165" s="10"/>
      <c r="BE165" s="11">
        <v>0</v>
      </c>
      <c r="BF165" s="10"/>
      <c r="BG165" s="10"/>
      <c r="BH165" s="11">
        <v>0</v>
      </c>
      <c r="BI165" s="10"/>
      <c r="BJ165" s="10"/>
      <c r="BK165" s="11">
        <v>0</v>
      </c>
      <c r="BL165" s="10"/>
      <c r="BM165" s="10"/>
      <c r="BN165" s="11">
        <v>0</v>
      </c>
      <c r="BO165" s="10"/>
      <c r="BP165" s="10"/>
      <c r="BQ165" s="11">
        <v>0</v>
      </c>
      <c r="BR165" s="10"/>
      <c r="BS165" s="10"/>
      <c r="BT165" s="11">
        <v>0</v>
      </c>
      <c r="BU165" s="10"/>
      <c r="BV165" s="10"/>
      <c r="BW165" s="11">
        <v>0</v>
      </c>
      <c r="BX165" s="10"/>
      <c r="BY165" s="10"/>
      <c r="BZ165" s="11">
        <v>0</v>
      </c>
      <c r="CA165" s="10"/>
      <c r="CB165" s="10"/>
      <c r="CC165" s="11">
        <v>0</v>
      </c>
      <c r="CD165" s="10"/>
      <c r="CE165" s="10"/>
      <c r="CF165" s="11">
        <v>0</v>
      </c>
      <c r="CG165" s="10"/>
      <c r="CH165" s="10"/>
      <c r="CI165" s="11">
        <v>0</v>
      </c>
      <c r="CJ165" s="10"/>
      <c r="CK165" s="10"/>
      <c r="CL165" s="11">
        <v>0</v>
      </c>
      <c r="CM165" s="10"/>
      <c r="CN165" s="10"/>
      <c r="CO165" s="11">
        <v>0</v>
      </c>
      <c r="CP165" s="10"/>
      <c r="CQ165" s="10"/>
      <c r="CR165" s="11">
        <v>0</v>
      </c>
      <c r="CS165" s="10"/>
      <c r="CT165" s="10"/>
      <c r="CU165" s="11">
        <v>0</v>
      </c>
      <c r="CV165" s="10"/>
      <c r="CW165" s="10"/>
      <c r="CX165" s="11">
        <v>0</v>
      </c>
      <c r="CY165" s="10"/>
      <c r="CZ165" s="10"/>
      <c r="DA165" s="11">
        <v>0</v>
      </c>
      <c r="DB165" s="10">
        <v>2000000</v>
      </c>
      <c r="DC165" s="10">
        <f t="shared" si="356"/>
        <v>1428200</v>
      </c>
      <c r="DD165" s="13">
        <f t="shared" si="357"/>
        <v>0.71409999999999996</v>
      </c>
      <c r="DE165" s="14"/>
    </row>
    <row r="166" spans="1:109" x14ac:dyDescent="0.35">
      <c r="A166" s="8" t="s">
        <v>391</v>
      </c>
      <c r="B166" s="9" t="s">
        <v>42</v>
      </c>
      <c r="C166" s="9" t="s">
        <v>43</v>
      </c>
      <c r="D166" s="9" t="s">
        <v>392</v>
      </c>
      <c r="E166" s="9" t="s">
        <v>45</v>
      </c>
      <c r="F166" s="9" t="s">
        <v>46</v>
      </c>
      <c r="G166" s="10"/>
      <c r="H166" s="10"/>
      <c r="I166" s="11">
        <v>0</v>
      </c>
      <c r="J166" s="10"/>
      <c r="K166" s="10"/>
      <c r="L166" s="12">
        <v>0</v>
      </c>
      <c r="M166" s="10"/>
      <c r="N166" s="10"/>
      <c r="O166" s="11">
        <v>0</v>
      </c>
      <c r="P166" s="10"/>
      <c r="Q166" s="10"/>
      <c r="R166" s="11">
        <v>0</v>
      </c>
      <c r="S166" s="10"/>
      <c r="T166" s="10"/>
      <c r="U166" s="11">
        <v>0</v>
      </c>
      <c r="V166" s="10"/>
      <c r="W166" s="10"/>
      <c r="X166" s="11">
        <v>0</v>
      </c>
      <c r="Y166" s="10">
        <v>300000</v>
      </c>
      <c r="Z166" s="10"/>
      <c r="AA166" s="11">
        <f t="shared" ref="AA166:AA170" si="368">Z166/Y166</f>
        <v>0</v>
      </c>
      <c r="AB166" s="10">
        <v>100000</v>
      </c>
      <c r="AC166" s="10"/>
      <c r="AD166" s="11">
        <v>0</v>
      </c>
      <c r="AE166" s="10"/>
      <c r="AF166" s="10"/>
      <c r="AG166" s="11">
        <v>0</v>
      </c>
      <c r="AH166" s="10"/>
      <c r="AI166" s="10"/>
      <c r="AJ166" s="11">
        <v>0</v>
      </c>
      <c r="AK166" s="10"/>
      <c r="AL166" s="10"/>
      <c r="AM166" s="11">
        <v>0</v>
      </c>
      <c r="AN166" s="10"/>
      <c r="AO166" s="10"/>
      <c r="AP166" s="11">
        <v>0</v>
      </c>
      <c r="AQ166" s="10">
        <v>3182514</v>
      </c>
      <c r="AR166" s="10">
        <v>897600</v>
      </c>
      <c r="AS166" s="11">
        <f t="shared" ref="AS166:AS168" si="369">AR166/AQ166</f>
        <v>0.28204117876622065</v>
      </c>
      <c r="AT166" s="10"/>
      <c r="AU166" s="10"/>
      <c r="AV166" s="11">
        <v>0</v>
      </c>
      <c r="AW166" s="10"/>
      <c r="AX166" s="10"/>
      <c r="AY166" s="11">
        <v>0</v>
      </c>
      <c r="AZ166" s="10"/>
      <c r="BA166" s="10"/>
      <c r="BB166" s="11">
        <v>0</v>
      </c>
      <c r="BC166" s="10"/>
      <c r="BD166" s="10"/>
      <c r="BE166" s="11">
        <v>0</v>
      </c>
      <c r="BF166" s="10"/>
      <c r="BG166" s="10"/>
      <c r="BH166" s="11">
        <v>0</v>
      </c>
      <c r="BI166" s="10"/>
      <c r="BJ166" s="10"/>
      <c r="BK166" s="11">
        <v>0</v>
      </c>
      <c r="BL166" s="10"/>
      <c r="BM166" s="10"/>
      <c r="BN166" s="11">
        <v>0</v>
      </c>
      <c r="BO166" s="10"/>
      <c r="BP166" s="10"/>
      <c r="BQ166" s="11">
        <v>0</v>
      </c>
      <c r="BR166" s="10"/>
      <c r="BS166" s="10"/>
      <c r="BT166" s="11">
        <v>0</v>
      </c>
      <c r="BU166" s="10"/>
      <c r="BV166" s="10"/>
      <c r="BW166" s="11">
        <v>0</v>
      </c>
      <c r="BX166" s="10"/>
      <c r="BY166" s="10"/>
      <c r="BZ166" s="11">
        <v>0</v>
      </c>
      <c r="CA166" s="10"/>
      <c r="CB166" s="10"/>
      <c r="CC166" s="11">
        <v>0</v>
      </c>
      <c r="CD166" s="10"/>
      <c r="CE166" s="10"/>
      <c r="CF166" s="11">
        <v>0</v>
      </c>
      <c r="CG166" s="10"/>
      <c r="CH166" s="10"/>
      <c r="CI166" s="11">
        <v>0</v>
      </c>
      <c r="CJ166" s="10"/>
      <c r="CK166" s="10"/>
      <c r="CL166" s="11">
        <v>0</v>
      </c>
      <c r="CM166" s="10"/>
      <c r="CN166" s="10"/>
      <c r="CO166" s="11">
        <v>0</v>
      </c>
      <c r="CP166" s="10"/>
      <c r="CQ166" s="10"/>
      <c r="CR166" s="11">
        <v>0</v>
      </c>
      <c r="CS166" s="10"/>
      <c r="CT166" s="10"/>
      <c r="CU166" s="11">
        <v>0</v>
      </c>
      <c r="CV166" s="10"/>
      <c r="CW166" s="10"/>
      <c r="CX166" s="11">
        <v>0</v>
      </c>
      <c r="CY166" s="10"/>
      <c r="CZ166" s="10"/>
      <c r="DA166" s="11">
        <v>0</v>
      </c>
      <c r="DB166" s="10">
        <v>3582514</v>
      </c>
      <c r="DC166" s="10">
        <f t="shared" ref="DC166:DC172" si="370">SUM(H166,K166,N166,Q166,T166,W166,Z166,AC166,AF166,AI166,AL166,AO166,AR166,AU166,AX166,BA166,BD166,BG166,BJ166,BM166,BP166,BS166,BV166,BY166,CB166,CE166,CH166,CK166,CN166,CQ166,CT166,CW166,CZ166)</f>
        <v>897600</v>
      </c>
      <c r="DD166" s="13">
        <f t="shared" ref="DD166:DD172" si="371">DC166/DB166</f>
        <v>0.25055031187596194</v>
      </c>
      <c r="DE166" s="14"/>
    </row>
    <row r="167" spans="1:109" x14ac:dyDescent="0.35">
      <c r="A167" s="8" t="s">
        <v>393</v>
      </c>
      <c r="B167" s="9" t="s">
        <v>172</v>
      </c>
      <c r="C167" s="9" t="s">
        <v>52</v>
      </c>
      <c r="D167" s="9" t="s">
        <v>394</v>
      </c>
      <c r="E167" s="9" t="s">
        <v>54</v>
      </c>
      <c r="F167" s="9" t="s">
        <v>55</v>
      </c>
      <c r="G167" s="10">
        <v>700000</v>
      </c>
      <c r="H167" s="10">
        <v>317550</v>
      </c>
      <c r="I167" s="11">
        <f t="shared" ref="I167" si="372">H167/G167</f>
        <v>0.45364285714285713</v>
      </c>
      <c r="J167" s="10">
        <v>800000</v>
      </c>
      <c r="K167" s="10">
        <v>194500</v>
      </c>
      <c r="L167" s="11">
        <f t="shared" ref="L167:L172" si="373">K167/J167</f>
        <v>0.24312500000000001</v>
      </c>
      <c r="M167" s="10">
        <v>60000</v>
      </c>
      <c r="N167" s="10"/>
      <c r="O167" s="11">
        <f t="shared" ref="O167:O170" si="374">N167/M167</f>
        <v>0</v>
      </c>
      <c r="P167" s="10"/>
      <c r="Q167" s="10"/>
      <c r="R167" s="11">
        <v>0</v>
      </c>
      <c r="S167" s="10"/>
      <c r="T167" s="10"/>
      <c r="U167" s="11">
        <v>0</v>
      </c>
      <c r="V167" s="10"/>
      <c r="W167" s="10">
        <v>32800</v>
      </c>
      <c r="X167" s="11">
        <v>0</v>
      </c>
      <c r="Y167" s="10"/>
      <c r="Z167" s="10">
        <v>16000</v>
      </c>
      <c r="AA167" s="11"/>
      <c r="AB167" s="10"/>
      <c r="AC167" s="10"/>
      <c r="AD167" s="11">
        <v>0</v>
      </c>
      <c r="AE167" s="10"/>
      <c r="AF167" s="10">
        <v>29375</v>
      </c>
      <c r="AG167" s="11">
        <v>0</v>
      </c>
      <c r="AH167" s="10"/>
      <c r="AI167" s="10"/>
      <c r="AJ167" s="11">
        <v>0</v>
      </c>
      <c r="AK167" s="10">
        <v>200000</v>
      </c>
      <c r="AL167" s="10"/>
      <c r="AM167" s="11">
        <f t="shared" ref="AM167" si="375">AL167/AK167</f>
        <v>0</v>
      </c>
      <c r="AN167" s="10"/>
      <c r="AO167" s="10"/>
      <c r="AP167" s="11">
        <v>0</v>
      </c>
      <c r="AQ167" s="10"/>
      <c r="AR167" s="10"/>
      <c r="AS167" s="11">
        <v>0</v>
      </c>
      <c r="AT167" s="10">
        <v>500000</v>
      </c>
      <c r="AU167" s="10">
        <v>65630</v>
      </c>
      <c r="AV167" s="11">
        <f t="shared" ref="AV167" si="376">AU167/AT167</f>
        <v>0.13125999999999999</v>
      </c>
      <c r="AW167" s="10">
        <v>1000000</v>
      </c>
      <c r="AX167" s="10">
        <v>364450</v>
      </c>
      <c r="AY167" s="11">
        <f t="shared" ref="AY167" si="377">AX167/AW167</f>
        <v>0.36445</v>
      </c>
      <c r="AZ167" s="10"/>
      <c r="BA167" s="10"/>
      <c r="BB167" s="11">
        <v>0</v>
      </c>
      <c r="BC167" s="10"/>
      <c r="BD167" s="10">
        <v>98000</v>
      </c>
      <c r="BE167" s="11">
        <v>0</v>
      </c>
      <c r="BF167" s="10">
        <v>12500000</v>
      </c>
      <c r="BG167" s="10">
        <f>VLOOKUP(A:A,'[1]2026 Customer Brand Sales'!$A:$BA,53,0)</f>
        <v>4250805</v>
      </c>
      <c r="BH167" s="11">
        <f t="shared" ref="BH167" si="378">BG167/BF167</f>
        <v>0.34006439999999999</v>
      </c>
      <c r="BI167" s="10"/>
      <c r="BJ167" s="10"/>
      <c r="BK167" s="11">
        <v>0</v>
      </c>
      <c r="BL167" s="10">
        <v>500000</v>
      </c>
      <c r="BM167" s="10">
        <v>277080</v>
      </c>
      <c r="BN167" s="11">
        <f t="shared" ref="BN167" si="379">BM167/BL167</f>
        <v>0.55415999999999999</v>
      </c>
      <c r="BO167" s="10">
        <v>1050000</v>
      </c>
      <c r="BP167" s="10">
        <v>15900</v>
      </c>
      <c r="BQ167" s="11">
        <f t="shared" ref="BQ167" si="380">BP167/BO167</f>
        <v>1.5142857142857144E-2</v>
      </c>
      <c r="BR167" s="10"/>
      <c r="BS167" s="10"/>
      <c r="BT167" s="11">
        <v>0</v>
      </c>
      <c r="BU167" s="10"/>
      <c r="BV167" s="10"/>
      <c r="BW167" s="11">
        <v>0</v>
      </c>
      <c r="BX167" s="10"/>
      <c r="BY167" s="10"/>
      <c r="BZ167" s="11">
        <v>0</v>
      </c>
      <c r="CA167" s="10"/>
      <c r="CB167" s="10"/>
      <c r="CC167" s="11">
        <v>0</v>
      </c>
      <c r="CD167" s="10"/>
      <c r="CE167" s="10"/>
      <c r="CF167" s="11">
        <v>0</v>
      </c>
      <c r="CG167" s="10"/>
      <c r="CH167" s="10"/>
      <c r="CI167" s="11">
        <v>0</v>
      </c>
      <c r="CJ167" s="10"/>
      <c r="CK167" s="10"/>
      <c r="CL167" s="11">
        <v>0</v>
      </c>
      <c r="CM167" s="10"/>
      <c r="CN167" s="10"/>
      <c r="CO167" s="11">
        <v>0</v>
      </c>
      <c r="CP167" s="10"/>
      <c r="CQ167" s="10"/>
      <c r="CR167" s="11">
        <v>0</v>
      </c>
      <c r="CS167" s="10"/>
      <c r="CT167" s="10"/>
      <c r="CU167" s="11">
        <v>0</v>
      </c>
      <c r="CV167" s="10"/>
      <c r="CW167" s="10"/>
      <c r="CX167" s="11">
        <v>0</v>
      </c>
      <c r="CY167" s="10"/>
      <c r="CZ167" s="10"/>
      <c r="DA167" s="11">
        <v>0</v>
      </c>
      <c r="DB167" s="10">
        <v>17310000</v>
      </c>
      <c r="DC167" s="10">
        <f t="shared" si="370"/>
        <v>5662090</v>
      </c>
      <c r="DD167" s="13">
        <f t="shared" si="371"/>
        <v>0.32709936452917387</v>
      </c>
      <c r="DE167" s="14"/>
    </row>
    <row r="168" spans="1:109" x14ac:dyDescent="0.35">
      <c r="A168" s="8" t="s">
        <v>395</v>
      </c>
      <c r="B168" s="9" t="s">
        <v>42</v>
      </c>
      <c r="C168" s="9" t="s">
        <v>43</v>
      </c>
      <c r="D168" s="9" t="s">
        <v>396</v>
      </c>
      <c r="E168" s="9" t="s">
        <v>45</v>
      </c>
      <c r="F168" s="9" t="s">
        <v>46</v>
      </c>
      <c r="G168" s="10"/>
      <c r="H168" s="10">
        <v>304150</v>
      </c>
      <c r="I168" s="11">
        <v>0</v>
      </c>
      <c r="J168" s="10"/>
      <c r="K168" s="10"/>
      <c r="L168" s="12">
        <v>0</v>
      </c>
      <c r="M168" s="10">
        <v>896000</v>
      </c>
      <c r="N168" s="10"/>
      <c r="O168" s="11">
        <f t="shared" si="374"/>
        <v>0</v>
      </c>
      <c r="P168" s="10"/>
      <c r="Q168" s="10"/>
      <c r="R168" s="11">
        <v>0</v>
      </c>
      <c r="S168" s="10"/>
      <c r="T168" s="10"/>
      <c r="U168" s="11">
        <v>0</v>
      </c>
      <c r="V168" s="10"/>
      <c r="W168" s="10"/>
      <c r="X168" s="11">
        <v>0</v>
      </c>
      <c r="Y168" s="10">
        <v>300000</v>
      </c>
      <c r="Z168" s="10"/>
      <c r="AA168" s="11">
        <f t="shared" si="368"/>
        <v>0</v>
      </c>
      <c r="AB168" s="10"/>
      <c r="AC168" s="10"/>
      <c r="AD168" s="11">
        <v>0</v>
      </c>
      <c r="AE168" s="10"/>
      <c r="AF168" s="10"/>
      <c r="AG168" s="11">
        <v>0</v>
      </c>
      <c r="AH168" s="10"/>
      <c r="AI168" s="10"/>
      <c r="AJ168" s="11">
        <v>0</v>
      </c>
      <c r="AK168" s="10"/>
      <c r="AL168" s="10"/>
      <c r="AM168" s="11">
        <v>0</v>
      </c>
      <c r="AN168" s="10"/>
      <c r="AO168" s="10"/>
      <c r="AP168" s="11">
        <v>0</v>
      </c>
      <c r="AQ168" s="10">
        <v>241920</v>
      </c>
      <c r="AR168" s="10"/>
      <c r="AS168" s="11">
        <f t="shared" si="369"/>
        <v>0</v>
      </c>
      <c r="AT168" s="10"/>
      <c r="AU168" s="10">
        <v>6300</v>
      </c>
      <c r="AV168" s="11">
        <v>0</v>
      </c>
      <c r="AW168" s="10"/>
      <c r="AX168" s="10"/>
      <c r="AY168" s="11">
        <v>0</v>
      </c>
      <c r="AZ168" s="10"/>
      <c r="BA168" s="10"/>
      <c r="BB168" s="11">
        <v>0</v>
      </c>
      <c r="BC168" s="10"/>
      <c r="BD168" s="10"/>
      <c r="BE168" s="11">
        <v>0</v>
      </c>
      <c r="BF168" s="10"/>
      <c r="BG168" s="10"/>
      <c r="BH168" s="11">
        <v>0</v>
      </c>
      <c r="BI168" s="10"/>
      <c r="BJ168" s="10"/>
      <c r="BK168" s="11">
        <v>0</v>
      </c>
      <c r="BL168" s="10"/>
      <c r="BM168" s="10"/>
      <c r="BN168" s="11">
        <v>0</v>
      </c>
      <c r="BO168" s="10"/>
      <c r="BP168" s="10"/>
      <c r="BQ168" s="11">
        <v>0</v>
      </c>
      <c r="BR168" s="10">
        <v>500000</v>
      </c>
      <c r="BS168" s="10"/>
      <c r="BT168" s="11">
        <f t="shared" ref="BT168:BT170" si="381">BS168/BR168</f>
        <v>0</v>
      </c>
      <c r="BU168" s="10">
        <v>300000</v>
      </c>
      <c r="BV168" s="10"/>
      <c r="BW168" s="11">
        <f t="shared" ref="BW168:BW170" si="382">BV168/BU168</f>
        <v>0</v>
      </c>
      <c r="BX168" s="10"/>
      <c r="BY168" s="10"/>
      <c r="BZ168" s="11">
        <v>0</v>
      </c>
      <c r="CA168" s="10"/>
      <c r="CB168" s="10"/>
      <c r="CC168" s="11">
        <v>0</v>
      </c>
      <c r="CD168" s="10"/>
      <c r="CE168" s="10"/>
      <c r="CF168" s="11">
        <v>0</v>
      </c>
      <c r="CG168" s="10"/>
      <c r="CH168" s="10"/>
      <c r="CI168" s="11">
        <v>0</v>
      </c>
      <c r="CJ168" s="10"/>
      <c r="CK168" s="10"/>
      <c r="CL168" s="11">
        <v>0</v>
      </c>
      <c r="CM168" s="10"/>
      <c r="CN168" s="10"/>
      <c r="CO168" s="11">
        <v>0</v>
      </c>
      <c r="CP168" s="10"/>
      <c r="CQ168" s="10"/>
      <c r="CR168" s="11">
        <v>0</v>
      </c>
      <c r="CS168" s="10"/>
      <c r="CT168" s="10">
        <v>299600</v>
      </c>
      <c r="CU168" s="11">
        <v>0</v>
      </c>
      <c r="CV168" s="10"/>
      <c r="CW168" s="10"/>
      <c r="CX168" s="11">
        <v>0</v>
      </c>
      <c r="CY168" s="10"/>
      <c r="CZ168" s="10"/>
      <c r="DA168" s="11">
        <v>0</v>
      </c>
      <c r="DB168" s="10">
        <v>2237920</v>
      </c>
      <c r="DC168" s="10">
        <f t="shared" si="370"/>
        <v>610050</v>
      </c>
      <c r="DD168" s="13">
        <f t="shared" si="371"/>
        <v>0.27259687567026525</v>
      </c>
      <c r="DE168" s="14"/>
    </row>
    <row r="169" spans="1:109" x14ac:dyDescent="0.35">
      <c r="A169" s="8" t="s">
        <v>397</v>
      </c>
      <c r="B169" s="9" t="s">
        <v>48</v>
      </c>
      <c r="C169" s="9" t="s">
        <v>43</v>
      </c>
      <c r="D169" s="9" t="s">
        <v>398</v>
      </c>
      <c r="E169" s="9" t="s">
        <v>45</v>
      </c>
      <c r="F169" s="9" t="s">
        <v>46</v>
      </c>
      <c r="G169" s="10"/>
      <c r="H169" s="10"/>
      <c r="I169" s="11">
        <v>0</v>
      </c>
      <c r="J169" s="10"/>
      <c r="K169" s="10"/>
      <c r="L169" s="12">
        <v>0</v>
      </c>
      <c r="M169" s="10"/>
      <c r="N169" s="10"/>
      <c r="O169" s="11">
        <v>0</v>
      </c>
      <c r="P169" s="10"/>
      <c r="Q169" s="10"/>
      <c r="R169" s="11">
        <v>0</v>
      </c>
      <c r="S169" s="10"/>
      <c r="T169" s="10"/>
      <c r="U169" s="11">
        <v>0</v>
      </c>
      <c r="V169" s="10"/>
      <c r="W169" s="10"/>
      <c r="X169" s="11">
        <v>0</v>
      </c>
      <c r="Y169" s="10"/>
      <c r="Z169" s="10"/>
      <c r="AA169" s="11"/>
      <c r="AB169" s="10"/>
      <c r="AC169" s="10"/>
      <c r="AD169" s="11">
        <v>0</v>
      </c>
      <c r="AE169" s="10"/>
      <c r="AF169" s="10"/>
      <c r="AG169" s="11">
        <v>0</v>
      </c>
      <c r="AH169" s="10"/>
      <c r="AI169" s="10"/>
      <c r="AJ169" s="11">
        <v>0</v>
      </c>
      <c r="AK169" s="10"/>
      <c r="AL169" s="10"/>
      <c r="AM169" s="11">
        <v>0</v>
      </c>
      <c r="AN169" s="10"/>
      <c r="AO169" s="10"/>
      <c r="AP169" s="11">
        <v>0</v>
      </c>
      <c r="AQ169" s="10"/>
      <c r="AR169" s="10"/>
      <c r="AS169" s="11">
        <v>0</v>
      </c>
      <c r="AT169" s="10"/>
      <c r="AU169" s="10"/>
      <c r="AV169" s="11">
        <v>0</v>
      </c>
      <c r="AW169" s="10"/>
      <c r="AX169" s="10"/>
      <c r="AY169" s="11">
        <v>0</v>
      </c>
      <c r="AZ169" s="10"/>
      <c r="BA169" s="10"/>
      <c r="BB169" s="11">
        <v>0</v>
      </c>
      <c r="BC169" s="10"/>
      <c r="BD169" s="10"/>
      <c r="BE169" s="11">
        <v>0</v>
      </c>
      <c r="BF169" s="10"/>
      <c r="BG169" s="10"/>
      <c r="BH169" s="11">
        <v>0</v>
      </c>
      <c r="BI169" s="10"/>
      <c r="BJ169" s="10"/>
      <c r="BK169" s="11">
        <v>0</v>
      </c>
      <c r="BL169" s="10"/>
      <c r="BM169" s="10"/>
      <c r="BN169" s="11">
        <v>0</v>
      </c>
      <c r="BO169" s="10"/>
      <c r="BP169" s="10"/>
      <c r="BQ169" s="11">
        <v>0</v>
      </c>
      <c r="BR169" s="10"/>
      <c r="BS169" s="10"/>
      <c r="BT169" s="11">
        <v>0</v>
      </c>
      <c r="BU169" s="10"/>
      <c r="BV169" s="10"/>
      <c r="BW169" s="11">
        <v>0</v>
      </c>
      <c r="BX169" s="10"/>
      <c r="BY169" s="10"/>
      <c r="BZ169" s="11">
        <v>0</v>
      </c>
      <c r="CA169" s="10"/>
      <c r="CB169" s="10"/>
      <c r="CC169" s="11">
        <v>0</v>
      </c>
      <c r="CD169" s="10"/>
      <c r="CE169" s="10"/>
      <c r="CF169" s="11">
        <v>0</v>
      </c>
      <c r="CG169" s="10"/>
      <c r="CH169" s="10"/>
      <c r="CI169" s="11">
        <v>0</v>
      </c>
      <c r="CJ169" s="10"/>
      <c r="CK169" s="10"/>
      <c r="CL169" s="11">
        <v>0</v>
      </c>
      <c r="CM169" s="10"/>
      <c r="CN169" s="10"/>
      <c r="CO169" s="11">
        <v>0</v>
      </c>
      <c r="CP169" s="10"/>
      <c r="CQ169" s="10"/>
      <c r="CR169" s="11">
        <v>0</v>
      </c>
      <c r="CS169" s="10"/>
      <c r="CT169" s="10"/>
      <c r="CU169" s="11">
        <v>0</v>
      </c>
      <c r="CV169" s="10"/>
      <c r="CW169" s="10"/>
      <c r="CX169" s="11">
        <v>0</v>
      </c>
      <c r="CY169" s="10"/>
      <c r="CZ169" s="10"/>
      <c r="DA169" s="11">
        <v>0</v>
      </c>
      <c r="DB169" s="10"/>
      <c r="DC169" s="10"/>
      <c r="DD169" s="13">
        <v>0</v>
      </c>
      <c r="DE169" s="14"/>
    </row>
    <row r="170" spans="1:109" x14ac:dyDescent="0.35">
      <c r="A170" s="8" t="s">
        <v>399</v>
      </c>
      <c r="B170" s="9" t="s">
        <v>42</v>
      </c>
      <c r="C170" s="9" t="s">
        <v>43</v>
      </c>
      <c r="D170" s="9" t="s">
        <v>400</v>
      </c>
      <c r="E170" s="9" t="s">
        <v>45</v>
      </c>
      <c r="F170" s="9" t="s">
        <v>46</v>
      </c>
      <c r="G170" s="10"/>
      <c r="H170" s="10"/>
      <c r="I170" s="11">
        <v>0</v>
      </c>
      <c r="J170" s="10"/>
      <c r="K170" s="10"/>
      <c r="L170" s="12">
        <v>0</v>
      </c>
      <c r="M170" s="10">
        <v>560000</v>
      </c>
      <c r="N170" s="10">
        <v>60000</v>
      </c>
      <c r="O170" s="11">
        <f t="shared" si="374"/>
        <v>0.10714285714285714</v>
      </c>
      <c r="P170" s="10"/>
      <c r="Q170" s="10"/>
      <c r="R170" s="11">
        <v>0</v>
      </c>
      <c r="S170" s="10"/>
      <c r="T170" s="10"/>
      <c r="U170" s="11">
        <v>0</v>
      </c>
      <c r="V170" s="10"/>
      <c r="W170" s="10"/>
      <c r="X170" s="11">
        <v>0</v>
      </c>
      <c r="Y170" s="10">
        <v>300000</v>
      </c>
      <c r="Z170" s="10">
        <v>161000</v>
      </c>
      <c r="AA170" s="11">
        <f t="shared" si="368"/>
        <v>0.53666666666666663</v>
      </c>
      <c r="AB170" s="10">
        <v>150000</v>
      </c>
      <c r="AC170" s="10">
        <v>280500</v>
      </c>
      <c r="AD170" s="11">
        <v>1.87</v>
      </c>
      <c r="AE170" s="10"/>
      <c r="AF170" s="10"/>
      <c r="AG170" s="11">
        <v>0</v>
      </c>
      <c r="AH170" s="10"/>
      <c r="AI170" s="10"/>
      <c r="AJ170" s="11">
        <v>0</v>
      </c>
      <c r="AK170" s="10"/>
      <c r="AL170" s="10"/>
      <c r="AM170" s="11">
        <v>0</v>
      </c>
      <c r="AN170" s="10"/>
      <c r="AO170" s="10"/>
      <c r="AP170" s="11">
        <v>0</v>
      </c>
      <c r="AQ170" s="10"/>
      <c r="AR170" s="10"/>
      <c r="AS170" s="11">
        <v>0</v>
      </c>
      <c r="AT170" s="10"/>
      <c r="AU170" s="10"/>
      <c r="AV170" s="11">
        <v>0</v>
      </c>
      <c r="AW170" s="10"/>
      <c r="AX170" s="10"/>
      <c r="AY170" s="11">
        <v>0</v>
      </c>
      <c r="AZ170" s="10"/>
      <c r="BA170" s="10"/>
      <c r="BB170" s="11">
        <v>0</v>
      </c>
      <c r="BC170" s="10"/>
      <c r="BD170" s="10"/>
      <c r="BE170" s="11">
        <v>0</v>
      </c>
      <c r="BF170" s="10"/>
      <c r="BG170" s="10"/>
      <c r="BH170" s="11">
        <v>0</v>
      </c>
      <c r="BI170" s="10"/>
      <c r="BJ170" s="10"/>
      <c r="BK170" s="11">
        <v>0</v>
      </c>
      <c r="BL170" s="10"/>
      <c r="BM170" s="10"/>
      <c r="BN170" s="11">
        <v>0</v>
      </c>
      <c r="BO170" s="10"/>
      <c r="BP170" s="10"/>
      <c r="BQ170" s="11">
        <v>0</v>
      </c>
      <c r="BR170" s="10">
        <v>1000000</v>
      </c>
      <c r="BS170" s="10">
        <v>215100</v>
      </c>
      <c r="BT170" s="11">
        <f t="shared" si="381"/>
        <v>0.21510000000000001</v>
      </c>
      <c r="BU170" s="10">
        <v>200000</v>
      </c>
      <c r="BV170" s="10"/>
      <c r="BW170" s="11">
        <f t="shared" si="382"/>
        <v>0</v>
      </c>
      <c r="BX170" s="10"/>
      <c r="BY170" s="10"/>
      <c r="BZ170" s="11">
        <v>0</v>
      </c>
      <c r="CA170" s="10"/>
      <c r="CB170" s="10"/>
      <c r="CC170" s="11">
        <v>0</v>
      </c>
      <c r="CD170" s="10"/>
      <c r="CE170" s="10">
        <v>8200</v>
      </c>
      <c r="CF170" s="11">
        <v>0</v>
      </c>
      <c r="CG170" s="10">
        <v>60000</v>
      </c>
      <c r="CH170" s="10"/>
      <c r="CI170" s="11">
        <f t="shared" ref="CI170" si="383">CH170/CG170</f>
        <v>0</v>
      </c>
      <c r="CJ170" s="10"/>
      <c r="CK170" s="10"/>
      <c r="CL170" s="11">
        <v>0</v>
      </c>
      <c r="CM170" s="10"/>
      <c r="CN170" s="10"/>
      <c r="CO170" s="11">
        <v>0</v>
      </c>
      <c r="CP170" s="10"/>
      <c r="CQ170" s="10"/>
      <c r="CR170" s="11">
        <v>0</v>
      </c>
      <c r="CS170" s="10"/>
      <c r="CT170" s="10"/>
      <c r="CU170" s="11">
        <v>0</v>
      </c>
      <c r="CV170" s="10"/>
      <c r="CW170" s="10"/>
      <c r="CX170" s="11">
        <v>0</v>
      </c>
      <c r="CY170" s="10"/>
      <c r="CZ170" s="10"/>
      <c r="DA170" s="11">
        <v>0</v>
      </c>
      <c r="DB170" s="10">
        <v>2270000</v>
      </c>
      <c r="DC170" s="10">
        <f t="shared" si="370"/>
        <v>724800</v>
      </c>
      <c r="DD170" s="13">
        <f t="shared" si="371"/>
        <v>0.31929515418502202</v>
      </c>
      <c r="DE170" s="14"/>
    </row>
    <row r="171" spans="1:109" x14ac:dyDescent="0.35">
      <c r="A171" s="8" t="s">
        <v>401</v>
      </c>
      <c r="B171" s="9" t="s">
        <v>59</v>
      </c>
      <c r="C171" s="9" t="s">
        <v>43</v>
      </c>
      <c r="D171" s="9" t="s">
        <v>402</v>
      </c>
      <c r="E171" s="9" t="s">
        <v>61</v>
      </c>
      <c r="F171" s="9" t="s">
        <v>62</v>
      </c>
      <c r="G171" s="10"/>
      <c r="H171" s="10"/>
      <c r="I171" s="11">
        <v>0</v>
      </c>
      <c r="J171" s="10"/>
      <c r="K171" s="10"/>
      <c r="L171" s="12">
        <v>0</v>
      </c>
      <c r="M171" s="10"/>
      <c r="N171" s="10"/>
      <c r="O171" s="11">
        <v>0</v>
      </c>
      <c r="P171" s="10"/>
      <c r="Q171" s="10"/>
      <c r="R171" s="11">
        <v>0</v>
      </c>
      <c r="S171" s="10"/>
      <c r="T171" s="10"/>
      <c r="U171" s="11">
        <v>0</v>
      </c>
      <c r="V171" s="10">
        <v>1500000</v>
      </c>
      <c r="W171" s="10">
        <v>356800</v>
      </c>
      <c r="X171" s="11">
        <v>0.23786666666666667</v>
      </c>
      <c r="Y171" s="10"/>
      <c r="Z171" s="10"/>
      <c r="AA171" s="11"/>
      <c r="AB171" s="10"/>
      <c r="AC171" s="10"/>
      <c r="AD171" s="11">
        <v>0</v>
      </c>
      <c r="AE171" s="10"/>
      <c r="AF171" s="10"/>
      <c r="AG171" s="11">
        <v>0</v>
      </c>
      <c r="AH171" s="10"/>
      <c r="AI171" s="10"/>
      <c r="AJ171" s="11">
        <v>0</v>
      </c>
      <c r="AK171" s="10"/>
      <c r="AL171" s="10"/>
      <c r="AM171" s="11">
        <v>0</v>
      </c>
      <c r="AN171" s="10"/>
      <c r="AO171" s="10"/>
      <c r="AP171" s="11">
        <v>0</v>
      </c>
      <c r="AQ171" s="10"/>
      <c r="AR171" s="10"/>
      <c r="AS171" s="11">
        <v>0</v>
      </c>
      <c r="AT171" s="10"/>
      <c r="AU171" s="10"/>
      <c r="AV171" s="11">
        <v>0</v>
      </c>
      <c r="AW171" s="10"/>
      <c r="AX171" s="10"/>
      <c r="AY171" s="11">
        <v>0</v>
      </c>
      <c r="AZ171" s="10"/>
      <c r="BA171" s="10"/>
      <c r="BB171" s="11">
        <v>0</v>
      </c>
      <c r="BC171" s="10"/>
      <c r="BD171" s="10"/>
      <c r="BE171" s="11">
        <v>0</v>
      </c>
      <c r="BF171" s="10"/>
      <c r="BG171" s="10"/>
      <c r="BH171" s="11">
        <v>0</v>
      </c>
      <c r="BI171" s="10"/>
      <c r="BJ171" s="10"/>
      <c r="BK171" s="11">
        <v>0</v>
      </c>
      <c r="BL171" s="10"/>
      <c r="BM171" s="10"/>
      <c r="BN171" s="11">
        <v>0</v>
      </c>
      <c r="BO171" s="10"/>
      <c r="BP171" s="10"/>
      <c r="BQ171" s="11">
        <v>0</v>
      </c>
      <c r="BR171" s="10"/>
      <c r="BS171" s="10"/>
      <c r="BT171" s="11">
        <v>0</v>
      </c>
      <c r="BU171" s="10"/>
      <c r="BV171" s="10"/>
      <c r="BW171" s="11">
        <v>0</v>
      </c>
      <c r="BX171" s="10"/>
      <c r="BY171" s="10"/>
      <c r="BZ171" s="11">
        <v>0</v>
      </c>
      <c r="CA171" s="10"/>
      <c r="CB171" s="10"/>
      <c r="CC171" s="11">
        <v>0</v>
      </c>
      <c r="CD171" s="10"/>
      <c r="CE171" s="10"/>
      <c r="CF171" s="11">
        <v>0</v>
      </c>
      <c r="CG171" s="10"/>
      <c r="CH171" s="10"/>
      <c r="CI171" s="11">
        <v>0</v>
      </c>
      <c r="CJ171" s="10"/>
      <c r="CK171" s="10"/>
      <c r="CL171" s="11">
        <v>0</v>
      </c>
      <c r="CM171" s="10"/>
      <c r="CN171" s="10"/>
      <c r="CO171" s="11">
        <v>0</v>
      </c>
      <c r="CP171" s="10"/>
      <c r="CQ171" s="10"/>
      <c r="CR171" s="11">
        <v>0</v>
      </c>
      <c r="CS171" s="10"/>
      <c r="CT171" s="10"/>
      <c r="CU171" s="11">
        <v>0</v>
      </c>
      <c r="CV171" s="10"/>
      <c r="CW171" s="10"/>
      <c r="CX171" s="11">
        <v>0</v>
      </c>
      <c r="CY171" s="10"/>
      <c r="CZ171" s="10"/>
      <c r="DA171" s="11">
        <v>0</v>
      </c>
      <c r="DB171" s="10">
        <v>1500000</v>
      </c>
      <c r="DC171" s="10">
        <f t="shared" si="370"/>
        <v>356800</v>
      </c>
      <c r="DD171" s="13">
        <f t="shared" si="371"/>
        <v>0.23786666666666667</v>
      </c>
      <c r="DE171" s="14"/>
    </row>
    <row r="172" spans="1:109" x14ac:dyDescent="0.35">
      <c r="A172" s="8" t="s">
        <v>403</v>
      </c>
      <c r="B172" s="9" t="s">
        <v>59</v>
      </c>
      <c r="C172" s="9" t="s">
        <v>43</v>
      </c>
      <c r="D172" s="9" t="s">
        <v>404</v>
      </c>
      <c r="E172" s="9" t="s">
        <v>61</v>
      </c>
      <c r="F172" s="9" t="s">
        <v>62</v>
      </c>
      <c r="G172" s="10"/>
      <c r="H172" s="10">
        <v>5213775</v>
      </c>
      <c r="I172" s="11">
        <v>0</v>
      </c>
      <c r="J172" s="10">
        <v>300000</v>
      </c>
      <c r="K172" s="10">
        <v>634600</v>
      </c>
      <c r="L172" s="11">
        <f t="shared" si="373"/>
        <v>2.1153333333333335</v>
      </c>
      <c r="M172" s="10"/>
      <c r="N172" s="10"/>
      <c r="O172" s="11">
        <v>0</v>
      </c>
      <c r="P172" s="10"/>
      <c r="Q172" s="10"/>
      <c r="R172" s="11">
        <v>0</v>
      </c>
      <c r="S172" s="10"/>
      <c r="T172" s="10"/>
      <c r="U172" s="11">
        <v>0</v>
      </c>
      <c r="V172" s="10"/>
      <c r="W172" s="10"/>
      <c r="X172" s="11">
        <v>0</v>
      </c>
      <c r="Y172" s="10"/>
      <c r="Z172" s="10"/>
      <c r="AA172" s="11"/>
      <c r="AB172" s="10"/>
      <c r="AC172" s="10"/>
      <c r="AD172" s="11">
        <v>0</v>
      </c>
      <c r="AE172" s="10"/>
      <c r="AF172" s="10"/>
      <c r="AG172" s="11">
        <v>0</v>
      </c>
      <c r="AH172" s="10"/>
      <c r="AI172" s="10"/>
      <c r="AJ172" s="11">
        <v>0</v>
      </c>
      <c r="AK172" s="10"/>
      <c r="AL172" s="10"/>
      <c r="AM172" s="11">
        <v>0</v>
      </c>
      <c r="AN172" s="10"/>
      <c r="AO172" s="10"/>
      <c r="AP172" s="11">
        <v>0</v>
      </c>
      <c r="AQ172" s="10"/>
      <c r="AR172" s="10"/>
      <c r="AS172" s="11">
        <v>0</v>
      </c>
      <c r="AT172" s="10"/>
      <c r="AU172" s="10"/>
      <c r="AV172" s="11">
        <v>0</v>
      </c>
      <c r="AW172" s="10"/>
      <c r="AX172" s="10"/>
      <c r="AY172" s="11">
        <v>0</v>
      </c>
      <c r="AZ172" s="10"/>
      <c r="BA172" s="10"/>
      <c r="BB172" s="11">
        <v>0</v>
      </c>
      <c r="BC172" s="10"/>
      <c r="BD172" s="10"/>
      <c r="BE172" s="11">
        <v>0</v>
      </c>
      <c r="BF172" s="10"/>
      <c r="BG172" s="10"/>
      <c r="BH172" s="11">
        <v>0</v>
      </c>
      <c r="BI172" s="10"/>
      <c r="BJ172" s="10"/>
      <c r="BK172" s="11">
        <v>0</v>
      </c>
      <c r="BL172" s="10"/>
      <c r="BM172" s="10"/>
      <c r="BN172" s="11">
        <v>0</v>
      </c>
      <c r="BO172" s="10"/>
      <c r="BP172" s="10">
        <v>52350</v>
      </c>
      <c r="BQ172" s="11">
        <v>0</v>
      </c>
      <c r="BR172" s="10"/>
      <c r="BS172" s="10"/>
      <c r="BT172" s="11">
        <v>0</v>
      </c>
      <c r="BU172" s="10"/>
      <c r="BV172" s="10"/>
      <c r="BW172" s="11">
        <v>0</v>
      </c>
      <c r="BX172" s="10"/>
      <c r="BY172" s="10"/>
      <c r="BZ172" s="11">
        <v>0</v>
      </c>
      <c r="CA172" s="10"/>
      <c r="CB172" s="10"/>
      <c r="CC172" s="11">
        <v>0</v>
      </c>
      <c r="CD172" s="10"/>
      <c r="CE172" s="10"/>
      <c r="CF172" s="11">
        <v>0</v>
      </c>
      <c r="CG172" s="10"/>
      <c r="CH172" s="10">
        <v>66100</v>
      </c>
      <c r="CI172" s="11">
        <v>0</v>
      </c>
      <c r="CJ172" s="10"/>
      <c r="CK172" s="10"/>
      <c r="CL172" s="11">
        <v>0</v>
      </c>
      <c r="CM172" s="10"/>
      <c r="CN172" s="10"/>
      <c r="CO172" s="11">
        <v>0</v>
      </c>
      <c r="CP172" s="10"/>
      <c r="CQ172" s="10"/>
      <c r="CR172" s="11">
        <v>0</v>
      </c>
      <c r="CS172" s="10"/>
      <c r="CT172" s="10"/>
      <c r="CU172" s="11">
        <v>0</v>
      </c>
      <c r="CV172" s="10"/>
      <c r="CW172" s="10"/>
      <c r="CX172" s="11">
        <v>0</v>
      </c>
      <c r="CY172" s="10"/>
      <c r="CZ172" s="10"/>
      <c r="DA172" s="11">
        <v>0</v>
      </c>
      <c r="DB172" s="10">
        <v>300000</v>
      </c>
      <c r="DC172" s="10">
        <f t="shared" si="370"/>
        <v>5966825</v>
      </c>
      <c r="DD172" s="13">
        <f t="shared" si="371"/>
        <v>19.889416666666666</v>
      </c>
      <c r="DE172" s="14"/>
    </row>
    <row r="173" spans="1:109" x14ac:dyDescent="0.35">
      <c r="A173" s="8" t="s">
        <v>405</v>
      </c>
      <c r="B173" s="9" t="s">
        <v>111</v>
      </c>
      <c r="C173" s="9" t="s">
        <v>52</v>
      </c>
      <c r="D173" s="9" t="s">
        <v>406</v>
      </c>
      <c r="E173" s="9" t="s">
        <v>54</v>
      </c>
      <c r="F173" s="9" t="s">
        <v>55</v>
      </c>
      <c r="G173" s="10"/>
      <c r="H173" s="10">
        <v>509750</v>
      </c>
      <c r="I173" s="11">
        <v>0</v>
      </c>
      <c r="J173" s="10">
        <v>800000</v>
      </c>
      <c r="K173" s="10">
        <v>398000</v>
      </c>
      <c r="L173" s="11">
        <f t="shared" ref="L173:L177" si="384">K173/J173</f>
        <v>0.4975</v>
      </c>
      <c r="M173" s="10"/>
      <c r="N173" s="10"/>
      <c r="O173" s="11">
        <v>0</v>
      </c>
      <c r="P173" s="10">
        <v>200000</v>
      </c>
      <c r="Q173" s="10"/>
      <c r="R173" s="11">
        <f t="shared" ref="R173:R175" si="385">Q173/P173</f>
        <v>0</v>
      </c>
      <c r="S173" s="10"/>
      <c r="T173" s="10"/>
      <c r="U173" s="11">
        <v>0</v>
      </c>
      <c r="V173" s="10"/>
      <c r="W173" s="10"/>
      <c r="X173" s="11">
        <v>0</v>
      </c>
      <c r="Y173" s="10"/>
      <c r="Z173" s="10"/>
      <c r="AA173" s="11"/>
      <c r="AB173" s="10"/>
      <c r="AC173" s="10"/>
      <c r="AD173" s="11">
        <v>0</v>
      </c>
      <c r="AE173" s="10">
        <v>100000</v>
      </c>
      <c r="AF173" s="10"/>
      <c r="AG173" s="11">
        <f t="shared" ref="AG173:AG175" si="386">AF173/AE173</f>
        <v>0</v>
      </c>
      <c r="AH173" s="10"/>
      <c r="AI173" s="10"/>
      <c r="AJ173" s="11">
        <v>0</v>
      </c>
      <c r="AK173" s="10">
        <v>2000000</v>
      </c>
      <c r="AL173" s="10">
        <v>212000</v>
      </c>
      <c r="AM173" s="11">
        <f t="shared" ref="AM173" si="387">AL173/AK173</f>
        <v>0.106</v>
      </c>
      <c r="AN173" s="10">
        <v>50000</v>
      </c>
      <c r="AO173" s="10"/>
      <c r="AP173" s="11">
        <f t="shared" ref="AP173" si="388">AO173/AN173</f>
        <v>0</v>
      </c>
      <c r="AQ173" s="10"/>
      <c r="AR173" s="10"/>
      <c r="AS173" s="11">
        <v>0</v>
      </c>
      <c r="AT173" s="10">
        <v>500000</v>
      </c>
      <c r="AU173" s="10">
        <v>96000</v>
      </c>
      <c r="AV173" s="11">
        <f t="shared" ref="AV173" si="389">AU173/AT173</f>
        <v>0.192</v>
      </c>
      <c r="AW173" s="10"/>
      <c r="AX173" s="10">
        <v>26800</v>
      </c>
      <c r="AY173" s="11">
        <v>0</v>
      </c>
      <c r="AZ173" s="10"/>
      <c r="BA173" s="10"/>
      <c r="BB173" s="11">
        <v>0</v>
      </c>
      <c r="BC173" s="10"/>
      <c r="BD173" s="10"/>
      <c r="BE173" s="11">
        <v>0</v>
      </c>
      <c r="BF173" s="10">
        <v>8500000</v>
      </c>
      <c r="BG173" s="10">
        <f>VLOOKUP(A:A,'[1]2026 Customer Brand Sales'!$A:$BA,53,0)</f>
        <v>2310290</v>
      </c>
      <c r="BH173" s="11">
        <f t="shared" ref="BH173:BH177" si="390">BG173/BF173</f>
        <v>0.27179882352941176</v>
      </c>
      <c r="BI173" s="10"/>
      <c r="BJ173" s="10"/>
      <c r="BK173" s="11">
        <v>0</v>
      </c>
      <c r="BL173" s="10">
        <v>1000000</v>
      </c>
      <c r="BM173" s="10">
        <v>973450</v>
      </c>
      <c r="BN173" s="11">
        <f t="shared" ref="BN173:BN177" si="391">BM173/BL173</f>
        <v>0.97345000000000004</v>
      </c>
      <c r="BO173" s="10">
        <v>250000</v>
      </c>
      <c r="BP173" s="10">
        <v>159100</v>
      </c>
      <c r="BQ173" s="11">
        <f t="shared" ref="BQ173:BQ175" si="392">BP173/BO173</f>
        <v>0.63639999999999997</v>
      </c>
      <c r="BR173" s="10"/>
      <c r="BS173" s="10"/>
      <c r="BT173" s="11">
        <v>0</v>
      </c>
      <c r="BU173" s="10"/>
      <c r="BV173" s="10"/>
      <c r="BW173" s="11">
        <v>0</v>
      </c>
      <c r="BX173" s="10"/>
      <c r="BY173" s="10"/>
      <c r="BZ173" s="11">
        <v>0</v>
      </c>
      <c r="CA173" s="10"/>
      <c r="CB173" s="10"/>
      <c r="CC173" s="11">
        <v>0</v>
      </c>
      <c r="CD173" s="10"/>
      <c r="CE173" s="10"/>
      <c r="CF173" s="11">
        <v>0</v>
      </c>
      <c r="CG173" s="10"/>
      <c r="CH173" s="10"/>
      <c r="CI173" s="11">
        <v>0</v>
      </c>
      <c r="CJ173" s="10"/>
      <c r="CK173" s="10"/>
      <c r="CL173" s="11">
        <v>0</v>
      </c>
      <c r="CM173" s="10"/>
      <c r="CN173" s="10"/>
      <c r="CO173" s="11">
        <v>0</v>
      </c>
      <c r="CP173" s="10"/>
      <c r="CQ173" s="10"/>
      <c r="CR173" s="11">
        <v>0</v>
      </c>
      <c r="CS173" s="10"/>
      <c r="CT173" s="10"/>
      <c r="CU173" s="11">
        <v>0</v>
      </c>
      <c r="CV173" s="10"/>
      <c r="CW173" s="10"/>
      <c r="CX173" s="11">
        <v>0</v>
      </c>
      <c r="CY173" s="10"/>
      <c r="CZ173" s="10"/>
      <c r="DA173" s="11">
        <v>0</v>
      </c>
      <c r="DB173" s="10">
        <v>13400000</v>
      </c>
      <c r="DC173" s="10">
        <f t="shared" ref="DC173:DC178" si="393">SUM(H173,K173,N173,Q173,T173,W173,Z173,AC173,AF173,AI173,AL173,AO173,AR173,AU173,AX173,BA173,BD173,BG173,BJ173,BM173,BP173,BS173,BV173,BY173,CB173,CE173,CH173,CK173,CN173,CQ173,CT173,CW173,CZ173)</f>
        <v>4685390</v>
      </c>
      <c r="DD173" s="13">
        <f t="shared" ref="DD173:DD178" si="394">DC173/DB173</f>
        <v>0.34965597014925376</v>
      </c>
      <c r="DE173" s="14"/>
    </row>
    <row r="174" spans="1:109" x14ac:dyDescent="0.35">
      <c r="A174" s="8" t="s">
        <v>407</v>
      </c>
      <c r="B174" s="9" t="s">
        <v>108</v>
      </c>
      <c r="C174" s="9" t="s">
        <v>52</v>
      </c>
      <c r="D174" s="9" t="s">
        <v>408</v>
      </c>
      <c r="E174" s="9" t="s">
        <v>126</v>
      </c>
      <c r="F174" s="9" t="s">
        <v>55</v>
      </c>
      <c r="G174" s="10"/>
      <c r="H174" s="10">
        <v>50000</v>
      </c>
      <c r="I174" s="11">
        <v>0</v>
      </c>
      <c r="J174" s="10"/>
      <c r="K174" s="10"/>
      <c r="L174" s="12">
        <v>0</v>
      </c>
      <c r="M174" s="10">
        <v>70000</v>
      </c>
      <c r="N174" s="10"/>
      <c r="O174" s="11">
        <f t="shared" ref="O174:O177" si="395">N174/M174</f>
        <v>0</v>
      </c>
      <c r="P174" s="10"/>
      <c r="Q174" s="10"/>
      <c r="R174" s="11">
        <v>0</v>
      </c>
      <c r="S174" s="10"/>
      <c r="T174" s="10"/>
      <c r="U174" s="11">
        <v>0</v>
      </c>
      <c r="V174" s="10">
        <v>50000</v>
      </c>
      <c r="W174" s="10"/>
      <c r="X174" s="11">
        <v>0</v>
      </c>
      <c r="Y174" s="10"/>
      <c r="Z174" s="10"/>
      <c r="AA174" s="11"/>
      <c r="AB174" s="10"/>
      <c r="AC174" s="10"/>
      <c r="AD174" s="11">
        <v>0</v>
      </c>
      <c r="AE174" s="10"/>
      <c r="AF174" s="10">
        <v>56300</v>
      </c>
      <c r="AG174" s="11">
        <v>0</v>
      </c>
      <c r="AH174" s="10"/>
      <c r="AI174" s="10"/>
      <c r="AJ174" s="11">
        <v>0</v>
      </c>
      <c r="AK174" s="10"/>
      <c r="AL174" s="10">
        <v>48000</v>
      </c>
      <c r="AM174" s="11">
        <v>0</v>
      </c>
      <c r="AN174" s="10"/>
      <c r="AO174" s="10"/>
      <c r="AP174" s="11">
        <v>0</v>
      </c>
      <c r="AQ174" s="10"/>
      <c r="AR174" s="10"/>
      <c r="AS174" s="11">
        <v>0</v>
      </c>
      <c r="AT174" s="10"/>
      <c r="AU174" s="10">
        <v>70750</v>
      </c>
      <c r="AV174" s="11">
        <v>0</v>
      </c>
      <c r="AW174" s="10"/>
      <c r="AX174" s="10"/>
      <c r="AY174" s="11">
        <v>0</v>
      </c>
      <c r="AZ174" s="10"/>
      <c r="BA174" s="10"/>
      <c r="BB174" s="11">
        <v>0</v>
      </c>
      <c r="BC174" s="10"/>
      <c r="BD174" s="10"/>
      <c r="BE174" s="11">
        <v>0</v>
      </c>
      <c r="BF174" s="10"/>
      <c r="BG174" s="10">
        <f>VLOOKUP(A:A,'[1]2026 Customer Brand Sales'!$A:$BA,53,0)</f>
        <v>13800</v>
      </c>
      <c r="BH174" s="11">
        <v>0</v>
      </c>
      <c r="BI174" s="10"/>
      <c r="BJ174" s="10"/>
      <c r="BK174" s="11">
        <v>0</v>
      </c>
      <c r="BL174" s="10"/>
      <c r="BM174" s="10"/>
      <c r="BN174" s="11">
        <v>0</v>
      </c>
      <c r="BO174" s="10"/>
      <c r="BP174" s="10">
        <v>6625</v>
      </c>
      <c r="BQ174" s="11">
        <v>0</v>
      </c>
      <c r="BR174" s="10"/>
      <c r="BS174" s="10"/>
      <c r="BT174" s="11">
        <v>0</v>
      </c>
      <c r="BU174" s="10"/>
      <c r="BV174" s="10"/>
      <c r="BW174" s="11">
        <v>0</v>
      </c>
      <c r="BX174" s="10"/>
      <c r="BY174" s="10"/>
      <c r="BZ174" s="11">
        <v>0</v>
      </c>
      <c r="CA174" s="10"/>
      <c r="CB174" s="10"/>
      <c r="CC174" s="11">
        <v>0</v>
      </c>
      <c r="CD174" s="10"/>
      <c r="CE174" s="10"/>
      <c r="CF174" s="11">
        <v>0</v>
      </c>
      <c r="CG174" s="10"/>
      <c r="CH174" s="10"/>
      <c r="CI174" s="11">
        <v>0</v>
      </c>
      <c r="CJ174" s="10"/>
      <c r="CK174" s="10"/>
      <c r="CL174" s="11">
        <v>0</v>
      </c>
      <c r="CM174" s="10"/>
      <c r="CN174" s="10"/>
      <c r="CO174" s="11">
        <v>0</v>
      </c>
      <c r="CP174" s="10"/>
      <c r="CQ174" s="10"/>
      <c r="CR174" s="11">
        <v>0</v>
      </c>
      <c r="CS174" s="10"/>
      <c r="CT174" s="10"/>
      <c r="CU174" s="11">
        <v>0</v>
      </c>
      <c r="CV174" s="10"/>
      <c r="CW174" s="10"/>
      <c r="CX174" s="11">
        <v>0</v>
      </c>
      <c r="CY174" s="10"/>
      <c r="CZ174" s="10"/>
      <c r="DA174" s="11">
        <v>0</v>
      </c>
      <c r="DB174" s="10">
        <v>120000</v>
      </c>
      <c r="DC174" s="10">
        <f t="shared" si="393"/>
        <v>245475</v>
      </c>
      <c r="DD174" s="13">
        <f t="shared" si="394"/>
        <v>2.0456249999999998</v>
      </c>
      <c r="DE174" s="14"/>
    </row>
    <row r="175" spans="1:109" x14ac:dyDescent="0.35">
      <c r="A175" s="8" t="s">
        <v>409</v>
      </c>
      <c r="B175" s="9" t="s">
        <v>59</v>
      </c>
      <c r="C175" s="9" t="s">
        <v>43</v>
      </c>
      <c r="D175" s="9" t="s">
        <v>410</v>
      </c>
      <c r="E175" s="9" t="s">
        <v>61</v>
      </c>
      <c r="F175" s="9" t="s">
        <v>62</v>
      </c>
      <c r="G175" s="10"/>
      <c r="H175" s="10"/>
      <c r="I175" s="11">
        <v>0</v>
      </c>
      <c r="J175" s="10"/>
      <c r="K175" s="10"/>
      <c r="L175" s="12">
        <v>0</v>
      </c>
      <c r="M175" s="10"/>
      <c r="N175" s="10"/>
      <c r="O175" s="11">
        <v>0</v>
      </c>
      <c r="P175" s="10">
        <v>700000</v>
      </c>
      <c r="Q175" s="10"/>
      <c r="R175" s="11">
        <f t="shared" si="385"/>
        <v>0</v>
      </c>
      <c r="S175" s="10"/>
      <c r="T175" s="10"/>
      <c r="U175" s="11">
        <v>0</v>
      </c>
      <c r="V175" s="10">
        <v>2000000</v>
      </c>
      <c r="W175" s="10">
        <v>651850</v>
      </c>
      <c r="X175" s="11">
        <v>0.32592500000000002</v>
      </c>
      <c r="Y175" s="10"/>
      <c r="Z175" s="10"/>
      <c r="AA175" s="11"/>
      <c r="AB175" s="10">
        <v>50000</v>
      </c>
      <c r="AC175" s="10"/>
      <c r="AD175" s="11">
        <v>0</v>
      </c>
      <c r="AE175" s="10">
        <v>150000</v>
      </c>
      <c r="AF175" s="10"/>
      <c r="AG175" s="11">
        <f t="shared" si="386"/>
        <v>0</v>
      </c>
      <c r="AH175" s="10"/>
      <c r="AI175" s="10"/>
      <c r="AJ175" s="11">
        <v>0</v>
      </c>
      <c r="AK175" s="10"/>
      <c r="AL175" s="10"/>
      <c r="AM175" s="11">
        <v>0</v>
      </c>
      <c r="AN175" s="10"/>
      <c r="AO175" s="10"/>
      <c r="AP175" s="11">
        <v>0</v>
      </c>
      <c r="AQ175" s="10"/>
      <c r="AR175" s="10"/>
      <c r="AS175" s="11">
        <v>0</v>
      </c>
      <c r="AT175" s="10"/>
      <c r="AU175" s="10"/>
      <c r="AV175" s="11">
        <v>0</v>
      </c>
      <c r="AW175" s="10"/>
      <c r="AX175" s="10"/>
      <c r="AY175" s="11">
        <v>0</v>
      </c>
      <c r="AZ175" s="10"/>
      <c r="BA175" s="10"/>
      <c r="BB175" s="11">
        <v>0</v>
      </c>
      <c r="BC175" s="10"/>
      <c r="BD175" s="10"/>
      <c r="BE175" s="11">
        <v>0</v>
      </c>
      <c r="BF175" s="10"/>
      <c r="BG175" s="10"/>
      <c r="BH175" s="11">
        <v>0</v>
      </c>
      <c r="BI175" s="10"/>
      <c r="BJ175" s="10"/>
      <c r="BK175" s="11">
        <v>0</v>
      </c>
      <c r="BL175" s="10"/>
      <c r="BM175" s="10"/>
      <c r="BN175" s="11">
        <v>0</v>
      </c>
      <c r="BO175" s="10">
        <v>700000</v>
      </c>
      <c r="BP175" s="10"/>
      <c r="BQ175" s="11">
        <f t="shared" si="392"/>
        <v>0</v>
      </c>
      <c r="BR175" s="10"/>
      <c r="BS175" s="10"/>
      <c r="BT175" s="11">
        <v>0</v>
      </c>
      <c r="BU175" s="10"/>
      <c r="BV175" s="10"/>
      <c r="BW175" s="11">
        <v>0</v>
      </c>
      <c r="BX175" s="10"/>
      <c r="BY175" s="10"/>
      <c r="BZ175" s="11">
        <v>0</v>
      </c>
      <c r="CA175" s="10"/>
      <c r="CB175" s="10"/>
      <c r="CC175" s="11">
        <v>0</v>
      </c>
      <c r="CD175" s="10"/>
      <c r="CE175" s="10"/>
      <c r="CF175" s="11">
        <v>0</v>
      </c>
      <c r="CG175" s="10"/>
      <c r="CH175" s="10"/>
      <c r="CI175" s="11">
        <v>0</v>
      </c>
      <c r="CJ175" s="10"/>
      <c r="CK175" s="10"/>
      <c r="CL175" s="11">
        <v>0</v>
      </c>
      <c r="CM175" s="10"/>
      <c r="CN175" s="10"/>
      <c r="CO175" s="11">
        <v>0</v>
      </c>
      <c r="CP175" s="10"/>
      <c r="CQ175" s="10"/>
      <c r="CR175" s="11">
        <v>0</v>
      </c>
      <c r="CS175" s="10"/>
      <c r="CT175" s="10"/>
      <c r="CU175" s="11">
        <v>0</v>
      </c>
      <c r="CV175" s="10"/>
      <c r="CW175" s="10"/>
      <c r="CX175" s="11">
        <v>0</v>
      </c>
      <c r="CY175" s="10"/>
      <c r="CZ175" s="10"/>
      <c r="DA175" s="11">
        <v>0</v>
      </c>
      <c r="DB175" s="10">
        <v>3600000</v>
      </c>
      <c r="DC175" s="10">
        <f t="shared" si="393"/>
        <v>651850</v>
      </c>
      <c r="DD175" s="13">
        <f t="shared" si="394"/>
        <v>0.18106944444444445</v>
      </c>
      <c r="DE175" s="14"/>
    </row>
    <row r="176" spans="1:109" x14ac:dyDescent="0.35">
      <c r="A176" s="8" t="s">
        <v>411</v>
      </c>
      <c r="B176" s="9" t="s">
        <v>74</v>
      </c>
      <c r="C176" s="9" t="s">
        <v>52</v>
      </c>
      <c r="D176" s="9" t="s">
        <v>412</v>
      </c>
      <c r="E176" s="9" t="s">
        <v>54</v>
      </c>
      <c r="F176" s="9" t="s">
        <v>55</v>
      </c>
      <c r="G176" s="10"/>
      <c r="H176" s="10"/>
      <c r="I176" s="11">
        <v>0</v>
      </c>
      <c r="J176" s="10"/>
      <c r="K176" s="10"/>
      <c r="L176" s="12">
        <v>0</v>
      </c>
      <c r="M176" s="10"/>
      <c r="N176" s="10"/>
      <c r="O176" s="11">
        <v>0</v>
      </c>
      <c r="P176" s="10"/>
      <c r="Q176" s="10"/>
      <c r="R176" s="11">
        <v>0</v>
      </c>
      <c r="S176" s="10"/>
      <c r="T176" s="10"/>
      <c r="U176" s="11">
        <v>0</v>
      </c>
      <c r="V176" s="10">
        <v>150000</v>
      </c>
      <c r="W176" s="10"/>
      <c r="X176" s="11">
        <v>0</v>
      </c>
      <c r="Y176" s="10"/>
      <c r="Z176" s="10"/>
      <c r="AA176" s="11"/>
      <c r="AB176" s="10"/>
      <c r="AC176" s="10"/>
      <c r="AD176" s="11">
        <v>0</v>
      </c>
      <c r="AE176" s="10"/>
      <c r="AF176" s="10"/>
      <c r="AG176" s="11">
        <v>0</v>
      </c>
      <c r="AH176" s="10"/>
      <c r="AI176" s="10"/>
      <c r="AJ176" s="11">
        <v>0</v>
      </c>
      <c r="AK176" s="10"/>
      <c r="AL176" s="10"/>
      <c r="AM176" s="11">
        <v>0</v>
      </c>
      <c r="AN176" s="10"/>
      <c r="AO176" s="10"/>
      <c r="AP176" s="11">
        <v>0</v>
      </c>
      <c r="AQ176" s="10"/>
      <c r="AR176" s="10"/>
      <c r="AS176" s="11">
        <v>0</v>
      </c>
      <c r="AT176" s="10"/>
      <c r="AU176" s="10"/>
      <c r="AV176" s="11">
        <v>0</v>
      </c>
      <c r="AW176" s="10"/>
      <c r="AX176" s="10"/>
      <c r="AY176" s="11">
        <v>0</v>
      </c>
      <c r="AZ176" s="10"/>
      <c r="BA176" s="10"/>
      <c r="BB176" s="11">
        <v>0</v>
      </c>
      <c r="BC176" s="10"/>
      <c r="BD176" s="10"/>
      <c r="BE176" s="11">
        <v>0</v>
      </c>
      <c r="BF176" s="10">
        <v>800000</v>
      </c>
      <c r="BG176" s="10">
        <f>VLOOKUP(A:A,'[1]2026 Customer Brand Sales'!$A:$BA,53,0)</f>
        <v>2090</v>
      </c>
      <c r="BH176" s="11">
        <f t="shared" si="390"/>
        <v>2.6124999999999998E-3</v>
      </c>
      <c r="BI176" s="10"/>
      <c r="BJ176" s="10"/>
      <c r="BK176" s="11">
        <v>0</v>
      </c>
      <c r="BL176" s="10"/>
      <c r="BM176" s="10"/>
      <c r="BN176" s="11">
        <v>0</v>
      </c>
      <c r="BO176" s="10"/>
      <c r="BP176" s="10"/>
      <c r="BQ176" s="11">
        <v>0</v>
      </c>
      <c r="BR176" s="10"/>
      <c r="BS176" s="10"/>
      <c r="BT176" s="11">
        <v>0</v>
      </c>
      <c r="BU176" s="10"/>
      <c r="BV176" s="10"/>
      <c r="BW176" s="11">
        <v>0</v>
      </c>
      <c r="BX176" s="10"/>
      <c r="BY176" s="10"/>
      <c r="BZ176" s="11">
        <v>0</v>
      </c>
      <c r="CA176" s="10"/>
      <c r="CB176" s="10"/>
      <c r="CC176" s="11">
        <v>0</v>
      </c>
      <c r="CD176" s="10"/>
      <c r="CE176" s="10"/>
      <c r="CF176" s="11">
        <v>0</v>
      </c>
      <c r="CG176" s="10"/>
      <c r="CH176" s="10"/>
      <c r="CI176" s="11">
        <v>0</v>
      </c>
      <c r="CJ176" s="10"/>
      <c r="CK176" s="10"/>
      <c r="CL176" s="11">
        <v>0</v>
      </c>
      <c r="CM176" s="10"/>
      <c r="CN176" s="10"/>
      <c r="CO176" s="11">
        <v>0</v>
      </c>
      <c r="CP176" s="10"/>
      <c r="CQ176" s="10"/>
      <c r="CR176" s="11">
        <v>0</v>
      </c>
      <c r="CS176" s="10"/>
      <c r="CT176" s="10"/>
      <c r="CU176" s="11">
        <v>0</v>
      </c>
      <c r="CV176" s="10"/>
      <c r="CW176" s="10"/>
      <c r="CX176" s="11">
        <v>0</v>
      </c>
      <c r="CY176" s="10"/>
      <c r="CZ176" s="10"/>
      <c r="DA176" s="11">
        <v>0</v>
      </c>
      <c r="DB176" s="10">
        <v>950000</v>
      </c>
      <c r="DC176" s="10">
        <f t="shared" si="393"/>
        <v>2090</v>
      </c>
      <c r="DD176" s="13">
        <f t="shared" si="394"/>
        <v>2.2000000000000001E-3</v>
      </c>
      <c r="DE176" s="14"/>
    </row>
    <row r="177" spans="1:109" x14ac:dyDescent="0.35">
      <c r="A177" s="8" t="s">
        <v>413</v>
      </c>
      <c r="B177" s="9" t="s">
        <v>51</v>
      </c>
      <c r="C177" s="9" t="s">
        <v>52</v>
      </c>
      <c r="D177" s="9" t="s">
        <v>414</v>
      </c>
      <c r="E177" s="9" t="s">
        <v>54</v>
      </c>
      <c r="F177" s="9" t="s">
        <v>55</v>
      </c>
      <c r="G177" s="10"/>
      <c r="H177" s="10"/>
      <c r="I177" s="11">
        <v>0</v>
      </c>
      <c r="J177" s="10">
        <v>300000</v>
      </c>
      <c r="K177" s="10"/>
      <c r="L177" s="11">
        <f t="shared" si="384"/>
        <v>0</v>
      </c>
      <c r="M177" s="10">
        <v>112000</v>
      </c>
      <c r="N177" s="10"/>
      <c r="O177" s="11">
        <f t="shared" si="395"/>
        <v>0</v>
      </c>
      <c r="P177" s="10"/>
      <c r="Q177" s="10"/>
      <c r="R177" s="11">
        <v>0</v>
      </c>
      <c r="S177" s="10">
        <v>500000</v>
      </c>
      <c r="T177" s="10"/>
      <c r="U177" s="11">
        <f t="shared" ref="U177" si="396">T177/S177</f>
        <v>0</v>
      </c>
      <c r="V177" s="10"/>
      <c r="W177" s="10"/>
      <c r="X177" s="11">
        <v>0</v>
      </c>
      <c r="Y177" s="10"/>
      <c r="Z177" s="10"/>
      <c r="AA177" s="11"/>
      <c r="AB177" s="10">
        <v>500000</v>
      </c>
      <c r="AC177" s="10"/>
      <c r="AD177" s="11">
        <v>0</v>
      </c>
      <c r="AE177" s="10"/>
      <c r="AF177" s="10"/>
      <c r="AG177" s="11">
        <v>0</v>
      </c>
      <c r="AH177" s="10"/>
      <c r="AI177" s="10"/>
      <c r="AJ177" s="11">
        <v>0</v>
      </c>
      <c r="AK177" s="10"/>
      <c r="AL177" s="10"/>
      <c r="AM177" s="11">
        <v>0</v>
      </c>
      <c r="AN177" s="10"/>
      <c r="AO177" s="10"/>
      <c r="AP177" s="11">
        <v>0</v>
      </c>
      <c r="AQ177" s="10"/>
      <c r="AR177" s="10"/>
      <c r="AS177" s="11">
        <v>0</v>
      </c>
      <c r="AT177" s="10"/>
      <c r="AU177" s="10"/>
      <c r="AV177" s="11">
        <v>0</v>
      </c>
      <c r="AW177" s="10"/>
      <c r="AX177" s="10"/>
      <c r="AY177" s="11">
        <v>0</v>
      </c>
      <c r="AZ177" s="10"/>
      <c r="BA177" s="10"/>
      <c r="BB177" s="11">
        <v>0</v>
      </c>
      <c r="BC177" s="10"/>
      <c r="BD177" s="10"/>
      <c r="BE177" s="11">
        <v>0</v>
      </c>
      <c r="BF177" s="10">
        <v>3500000</v>
      </c>
      <c r="BG177" s="10">
        <f>VLOOKUP(A:A,'[1]2026 Customer Brand Sales'!$A:$BA,53,0)</f>
        <v>427865</v>
      </c>
      <c r="BH177" s="11">
        <f t="shared" si="390"/>
        <v>0.12224714285714286</v>
      </c>
      <c r="BI177" s="10"/>
      <c r="BJ177" s="10">
        <v>46000</v>
      </c>
      <c r="BK177" s="11">
        <v>0</v>
      </c>
      <c r="BL177" s="10">
        <v>200000</v>
      </c>
      <c r="BM177" s="10"/>
      <c r="BN177" s="11">
        <f t="shared" si="391"/>
        <v>0</v>
      </c>
      <c r="BO177" s="10"/>
      <c r="BP177" s="10"/>
      <c r="BQ177" s="11">
        <v>0</v>
      </c>
      <c r="BR177" s="10"/>
      <c r="BS177" s="10"/>
      <c r="BT177" s="11">
        <v>0</v>
      </c>
      <c r="BU177" s="10"/>
      <c r="BV177" s="10"/>
      <c r="BW177" s="11">
        <v>0</v>
      </c>
      <c r="BX177" s="10"/>
      <c r="BY177" s="10"/>
      <c r="BZ177" s="11">
        <v>0</v>
      </c>
      <c r="CA177" s="10"/>
      <c r="CB177" s="10"/>
      <c r="CC177" s="11">
        <v>0</v>
      </c>
      <c r="CD177" s="10"/>
      <c r="CE177" s="10"/>
      <c r="CF177" s="11">
        <v>0</v>
      </c>
      <c r="CG177" s="10">
        <v>25000</v>
      </c>
      <c r="CH177" s="10">
        <v>14800</v>
      </c>
      <c r="CI177" s="11">
        <f t="shared" ref="CI177:CI178" si="397">CH177/CG177</f>
        <v>0.59199999999999997</v>
      </c>
      <c r="CJ177" s="10"/>
      <c r="CK177" s="10"/>
      <c r="CL177" s="11">
        <v>0</v>
      </c>
      <c r="CM177" s="10"/>
      <c r="CN177" s="10"/>
      <c r="CO177" s="11">
        <v>0</v>
      </c>
      <c r="CP177" s="10">
        <v>50000</v>
      </c>
      <c r="CQ177" s="10"/>
      <c r="CR177" s="11">
        <f t="shared" ref="CR177" si="398">CQ177/CP177</f>
        <v>0</v>
      </c>
      <c r="CS177" s="10"/>
      <c r="CT177" s="10">
        <v>33400</v>
      </c>
      <c r="CU177" s="11">
        <v>0</v>
      </c>
      <c r="CV177" s="10"/>
      <c r="CW177" s="10"/>
      <c r="CX177" s="11">
        <v>0</v>
      </c>
      <c r="CY177" s="10"/>
      <c r="CZ177" s="10"/>
      <c r="DA177" s="11">
        <v>0</v>
      </c>
      <c r="DB177" s="10">
        <v>5187000</v>
      </c>
      <c r="DC177" s="10">
        <f t="shared" si="393"/>
        <v>522065</v>
      </c>
      <c r="DD177" s="13">
        <f t="shared" si="394"/>
        <v>0.1006487372276846</v>
      </c>
      <c r="DE177" s="14"/>
    </row>
    <row r="178" spans="1:109" x14ac:dyDescent="0.35">
      <c r="A178" s="8" t="s">
        <v>415</v>
      </c>
      <c r="B178" s="9" t="s">
        <v>48</v>
      </c>
      <c r="C178" s="9" t="s">
        <v>43</v>
      </c>
      <c r="D178" s="9" t="s">
        <v>416</v>
      </c>
      <c r="E178" s="9" t="s">
        <v>45</v>
      </c>
      <c r="F178" s="9" t="s">
        <v>46</v>
      </c>
      <c r="G178" s="10"/>
      <c r="H178" s="10">
        <v>60000</v>
      </c>
      <c r="I178" s="11">
        <v>0</v>
      </c>
      <c r="J178" s="10"/>
      <c r="K178" s="10">
        <v>8311300</v>
      </c>
      <c r="L178" s="12">
        <v>0</v>
      </c>
      <c r="M178" s="10"/>
      <c r="N178" s="10"/>
      <c r="O178" s="11">
        <v>0</v>
      </c>
      <c r="P178" s="10"/>
      <c r="Q178" s="10"/>
      <c r="R178" s="11">
        <v>0</v>
      </c>
      <c r="S178" s="10"/>
      <c r="T178" s="10"/>
      <c r="U178" s="11">
        <v>0</v>
      </c>
      <c r="V178" s="10"/>
      <c r="W178" s="10"/>
      <c r="X178" s="11">
        <v>0</v>
      </c>
      <c r="Y178" s="10"/>
      <c r="Z178" s="10"/>
      <c r="AA178" s="11"/>
      <c r="AB178" s="10"/>
      <c r="AC178" s="10"/>
      <c r="AD178" s="11">
        <v>0</v>
      </c>
      <c r="AE178" s="10"/>
      <c r="AF178" s="10"/>
      <c r="AG178" s="11">
        <v>0</v>
      </c>
      <c r="AH178" s="10"/>
      <c r="AI178" s="10"/>
      <c r="AJ178" s="11">
        <v>0</v>
      </c>
      <c r="AK178" s="10"/>
      <c r="AL178" s="10"/>
      <c r="AM178" s="11">
        <v>0</v>
      </c>
      <c r="AN178" s="10"/>
      <c r="AO178" s="10"/>
      <c r="AP178" s="11">
        <v>0</v>
      </c>
      <c r="AQ178" s="10"/>
      <c r="AR178" s="10"/>
      <c r="AS178" s="11">
        <v>0</v>
      </c>
      <c r="AT178" s="10"/>
      <c r="AU178" s="10"/>
      <c r="AV178" s="11">
        <v>0</v>
      </c>
      <c r="AW178" s="10"/>
      <c r="AX178" s="10"/>
      <c r="AY178" s="11">
        <v>0</v>
      </c>
      <c r="AZ178" s="10"/>
      <c r="BA178" s="10"/>
      <c r="BB178" s="11">
        <v>0</v>
      </c>
      <c r="BC178" s="10">
        <v>2000000</v>
      </c>
      <c r="BD178" s="10"/>
      <c r="BE178" s="11">
        <f t="shared" ref="BE178" si="399">BD178/BC178</f>
        <v>0</v>
      </c>
      <c r="BF178" s="10"/>
      <c r="BG178" s="10"/>
      <c r="BH178" s="11">
        <v>0</v>
      </c>
      <c r="BI178" s="10"/>
      <c r="BJ178" s="10"/>
      <c r="BK178" s="11">
        <v>0</v>
      </c>
      <c r="BL178" s="10"/>
      <c r="BM178" s="10"/>
      <c r="BN178" s="11">
        <v>0</v>
      </c>
      <c r="BO178" s="10"/>
      <c r="BP178" s="10"/>
      <c r="BQ178" s="11">
        <v>0</v>
      </c>
      <c r="BR178" s="10"/>
      <c r="BS178" s="10"/>
      <c r="BT178" s="11">
        <v>0</v>
      </c>
      <c r="BU178" s="10"/>
      <c r="BV178" s="10"/>
      <c r="BW178" s="11">
        <v>0</v>
      </c>
      <c r="BX178" s="10"/>
      <c r="BY178" s="10"/>
      <c r="BZ178" s="11">
        <v>0</v>
      </c>
      <c r="CA178" s="10"/>
      <c r="CB178" s="10"/>
      <c r="CC178" s="11">
        <v>0</v>
      </c>
      <c r="CD178" s="10"/>
      <c r="CE178" s="10"/>
      <c r="CF178" s="11">
        <v>0</v>
      </c>
      <c r="CG178" s="10">
        <v>500000</v>
      </c>
      <c r="CH178" s="10"/>
      <c r="CI178" s="11">
        <f t="shared" si="397"/>
        <v>0</v>
      </c>
      <c r="CJ178" s="10"/>
      <c r="CK178" s="10"/>
      <c r="CL178" s="11">
        <v>0</v>
      </c>
      <c r="CM178" s="10">
        <v>50000</v>
      </c>
      <c r="CN178" s="10"/>
      <c r="CO178" s="11">
        <v>0</v>
      </c>
      <c r="CP178" s="10"/>
      <c r="CQ178" s="10"/>
      <c r="CR178" s="11">
        <v>0</v>
      </c>
      <c r="CS178" s="10"/>
      <c r="CT178" s="10"/>
      <c r="CU178" s="11">
        <v>0</v>
      </c>
      <c r="CV178" s="10">
        <v>200000</v>
      </c>
      <c r="CW178" s="10"/>
      <c r="CX178" s="11">
        <f t="shared" ref="CX178" si="400">CW178/CV178</f>
        <v>0</v>
      </c>
      <c r="CY178" s="10"/>
      <c r="CZ178" s="10">
        <v>24000</v>
      </c>
      <c r="DA178" s="11">
        <v>0</v>
      </c>
      <c r="DB178" s="10">
        <v>2750000</v>
      </c>
      <c r="DC178" s="10">
        <f t="shared" si="393"/>
        <v>8395300</v>
      </c>
      <c r="DD178" s="13">
        <f t="shared" si="394"/>
        <v>3.0528363636363638</v>
      </c>
      <c r="DE178" s="14"/>
    </row>
    <row r="179" spans="1:109" x14ac:dyDescent="0.35">
      <c r="A179" s="8" t="s">
        <v>417</v>
      </c>
      <c r="B179" s="9" t="s">
        <v>140</v>
      </c>
      <c r="C179" s="9" t="s">
        <v>43</v>
      </c>
      <c r="D179" s="9" t="s">
        <v>418</v>
      </c>
      <c r="E179" s="9" t="s">
        <v>45</v>
      </c>
      <c r="F179" s="9" t="s">
        <v>46</v>
      </c>
      <c r="G179" s="10"/>
      <c r="H179" s="10"/>
      <c r="I179" s="11">
        <v>0</v>
      </c>
      <c r="J179" s="10"/>
      <c r="K179" s="10"/>
      <c r="L179" s="12">
        <v>0</v>
      </c>
      <c r="M179" s="10"/>
      <c r="N179" s="10"/>
      <c r="O179" s="11">
        <v>0</v>
      </c>
      <c r="P179" s="10"/>
      <c r="Q179" s="10"/>
      <c r="R179" s="11">
        <v>0</v>
      </c>
      <c r="S179" s="10"/>
      <c r="T179" s="10"/>
      <c r="U179" s="11">
        <v>0</v>
      </c>
      <c r="V179" s="10"/>
      <c r="W179" s="10"/>
      <c r="X179" s="11">
        <v>0</v>
      </c>
      <c r="Y179" s="10"/>
      <c r="Z179" s="10"/>
      <c r="AA179" s="11"/>
      <c r="AB179" s="10"/>
      <c r="AC179" s="10"/>
      <c r="AD179" s="11">
        <v>0</v>
      </c>
      <c r="AE179" s="10"/>
      <c r="AF179" s="10"/>
      <c r="AG179" s="11">
        <v>0</v>
      </c>
      <c r="AH179" s="10"/>
      <c r="AI179" s="10"/>
      <c r="AJ179" s="11">
        <v>0</v>
      </c>
      <c r="AK179" s="10"/>
      <c r="AL179" s="10"/>
      <c r="AM179" s="11">
        <v>0</v>
      </c>
      <c r="AN179" s="10"/>
      <c r="AO179" s="10"/>
      <c r="AP179" s="11">
        <v>0</v>
      </c>
      <c r="AQ179" s="10"/>
      <c r="AR179" s="10"/>
      <c r="AS179" s="11">
        <v>0</v>
      </c>
      <c r="AT179" s="10"/>
      <c r="AU179" s="10"/>
      <c r="AV179" s="11">
        <v>0</v>
      </c>
      <c r="AW179" s="10"/>
      <c r="AX179" s="10"/>
      <c r="AY179" s="11">
        <v>0</v>
      </c>
      <c r="AZ179" s="10"/>
      <c r="BA179" s="10"/>
      <c r="BB179" s="11">
        <v>0</v>
      </c>
      <c r="BC179" s="10"/>
      <c r="BD179" s="10"/>
      <c r="BE179" s="11">
        <v>0</v>
      </c>
      <c r="BF179" s="10"/>
      <c r="BG179" s="10"/>
      <c r="BH179" s="11">
        <v>0</v>
      </c>
      <c r="BI179" s="10"/>
      <c r="BJ179" s="10"/>
      <c r="BK179" s="11">
        <v>0</v>
      </c>
      <c r="BL179" s="10"/>
      <c r="BM179" s="10"/>
      <c r="BN179" s="11">
        <v>0</v>
      </c>
      <c r="BO179" s="10"/>
      <c r="BP179" s="10"/>
      <c r="BQ179" s="11">
        <v>0</v>
      </c>
      <c r="BR179" s="10">
        <v>250000</v>
      </c>
      <c r="BS179" s="10"/>
      <c r="BT179" s="11">
        <f t="shared" ref="BT179:BT187" si="401">BS179/BR179</f>
        <v>0</v>
      </c>
      <c r="BU179" s="10">
        <v>200000</v>
      </c>
      <c r="BV179" s="10"/>
      <c r="BW179" s="11">
        <f t="shared" ref="BW179:BW187" si="402">BV179/BU179</f>
        <v>0</v>
      </c>
      <c r="BX179" s="10"/>
      <c r="BY179" s="10"/>
      <c r="BZ179" s="11">
        <v>0</v>
      </c>
      <c r="CA179" s="10"/>
      <c r="CB179" s="10"/>
      <c r="CC179" s="11">
        <v>0</v>
      </c>
      <c r="CD179" s="10"/>
      <c r="CE179" s="10"/>
      <c r="CF179" s="11">
        <v>0</v>
      </c>
      <c r="CG179" s="10"/>
      <c r="CH179" s="10"/>
      <c r="CI179" s="11">
        <v>0</v>
      </c>
      <c r="CJ179" s="10"/>
      <c r="CK179" s="10"/>
      <c r="CL179" s="11">
        <v>0</v>
      </c>
      <c r="CM179" s="10"/>
      <c r="CN179" s="10"/>
      <c r="CO179" s="11">
        <v>0</v>
      </c>
      <c r="CP179" s="10"/>
      <c r="CQ179" s="10"/>
      <c r="CR179" s="11">
        <v>0</v>
      </c>
      <c r="CS179" s="10"/>
      <c r="CT179" s="10"/>
      <c r="CU179" s="11">
        <v>0</v>
      </c>
      <c r="CV179" s="10"/>
      <c r="CW179" s="10"/>
      <c r="CX179" s="11">
        <v>0</v>
      </c>
      <c r="CY179" s="10"/>
      <c r="CZ179" s="10"/>
      <c r="DA179" s="11">
        <v>0</v>
      </c>
      <c r="DB179" s="10">
        <v>450000</v>
      </c>
      <c r="DC179" s="10"/>
      <c r="DD179" s="15">
        <f t="shared" ref="DD179:DD187" si="403">DC179/DB179</f>
        <v>0</v>
      </c>
      <c r="DE179" s="16"/>
    </row>
    <row r="180" spans="1:109" x14ac:dyDescent="0.35">
      <c r="A180" s="8" t="s">
        <v>419</v>
      </c>
      <c r="B180" s="9" t="s">
        <v>51</v>
      </c>
      <c r="C180" s="9" t="s">
        <v>52</v>
      </c>
      <c r="D180" s="9" t="s">
        <v>420</v>
      </c>
      <c r="E180" s="9" t="s">
        <v>54</v>
      </c>
      <c r="F180" s="9" t="s">
        <v>55</v>
      </c>
      <c r="G180" s="10"/>
      <c r="H180" s="10"/>
      <c r="I180" s="11">
        <v>0</v>
      </c>
      <c r="J180" s="10">
        <v>100000</v>
      </c>
      <c r="K180" s="10"/>
      <c r="L180" s="11">
        <f t="shared" ref="L180" si="404">K180/J180</f>
        <v>0</v>
      </c>
      <c r="M180" s="10"/>
      <c r="N180" s="10"/>
      <c r="O180" s="11">
        <v>0</v>
      </c>
      <c r="P180" s="10"/>
      <c r="Q180" s="10"/>
      <c r="R180" s="11">
        <v>0</v>
      </c>
      <c r="S180" s="10"/>
      <c r="T180" s="10"/>
      <c r="U180" s="11">
        <v>0</v>
      </c>
      <c r="V180" s="10"/>
      <c r="W180" s="10"/>
      <c r="X180" s="11">
        <v>0</v>
      </c>
      <c r="Y180" s="10"/>
      <c r="Z180" s="10"/>
      <c r="AA180" s="11"/>
      <c r="AB180" s="10">
        <v>200000</v>
      </c>
      <c r="AC180" s="10"/>
      <c r="AD180" s="11">
        <v>0</v>
      </c>
      <c r="AE180" s="10">
        <v>100000</v>
      </c>
      <c r="AF180" s="10"/>
      <c r="AG180" s="11">
        <f t="shared" ref="AG180:AG182" si="405">AF180/AE180</f>
        <v>0</v>
      </c>
      <c r="AH180" s="10"/>
      <c r="AI180" s="10"/>
      <c r="AJ180" s="11">
        <v>0</v>
      </c>
      <c r="AK180" s="10"/>
      <c r="AL180" s="10"/>
      <c r="AM180" s="11">
        <v>0</v>
      </c>
      <c r="AN180" s="10"/>
      <c r="AO180" s="10"/>
      <c r="AP180" s="11">
        <v>0</v>
      </c>
      <c r="AQ180" s="10">
        <v>450000</v>
      </c>
      <c r="AR180" s="10"/>
      <c r="AS180" s="11">
        <f t="shared" ref="AS180:AS187" si="406">AR180/AQ180</f>
        <v>0</v>
      </c>
      <c r="AT180" s="10"/>
      <c r="AU180" s="10"/>
      <c r="AV180" s="11">
        <v>0</v>
      </c>
      <c r="AW180" s="10"/>
      <c r="AX180" s="10"/>
      <c r="AY180" s="11">
        <v>0</v>
      </c>
      <c r="AZ180" s="10"/>
      <c r="BA180" s="10"/>
      <c r="BB180" s="11">
        <v>0</v>
      </c>
      <c r="BC180" s="10">
        <v>59830</v>
      </c>
      <c r="BD180" s="10"/>
      <c r="BE180" s="11">
        <f t="shared" ref="BE180" si="407">BD180/BC180</f>
        <v>0</v>
      </c>
      <c r="BF180" s="10">
        <v>600000</v>
      </c>
      <c r="BG180" s="10">
        <f>VLOOKUP(A:A,'[1]2026 Customer Brand Sales'!$A:$BA,53,0)</f>
        <v>4975</v>
      </c>
      <c r="BH180" s="11">
        <f t="shared" ref="BH180:BH182" si="408">BG180/BF180</f>
        <v>8.2916666666666659E-3</v>
      </c>
      <c r="BI180" s="10"/>
      <c r="BJ180" s="10"/>
      <c r="BK180" s="11">
        <v>0</v>
      </c>
      <c r="BL180" s="10"/>
      <c r="BM180" s="10">
        <v>1150</v>
      </c>
      <c r="BN180" s="11">
        <v>0</v>
      </c>
      <c r="BO180" s="10"/>
      <c r="BP180" s="10"/>
      <c r="BQ180" s="11">
        <v>0</v>
      </c>
      <c r="BR180" s="10">
        <v>100000</v>
      </c>
      <c r="BS180" s="10"/>
      <c r="BT180" s="11">
        <f t="shared" si="401"/>
        <v>0</v>
      </c>
      <c r="BU180" s="10">
        <v>10000</v>
      </c>
      <c r="BV180" s="10"/>
      <c r="BW180" s="11">
        <f t="shared" si="402"/>
        <v>0</v>
      </c>
      <c r="BX180" s="10"/>
      <c r="BY180" s="10"/>
      <c r="BZ180" s="11">
        <v>0</v>
      </c>
      <c r="CA180" s="10"/>
      <c r="CB180" s="10"/>
      <c r="CC180" s="11">
        <v>0</v>
      </c>
      <c r="CD180" s="10"/>
      <c r="CE180" s="10"/>
      <c r="CF180" s="11">
        <v>0</v>
      </c>
      <c r="CG180" s="10"/>
      <c r="CH180" s="10"/>
      <c r="CI180" s="11">
        <v>0</v>
      </c>
      <c r="CJ180" s="10"/>
      <c r="CK180" s="10"/>
      <c r="CL180" s="11">
        <v>0</v>
      </c>
      <c r="CM180" s="10"/>
      <c r="CN180" s="10"/>
      <c r="CO180" s="11">
        <v>0</v>
      </c>
      <c r="CP180" s="10"/>
      <c r="CQ180" s="10"/>
      <c r="CR180" s="11">
        <v>0</v>
      </c>
      <c r="CS180" s="10"/>
      <c r="CT180" s="10"/>
      <c r="CU180" s="11">
        <v>0</v>
      </c>
      <c r="CV180" s="10"/>
      <c r="CW180" s="10"/>
      <c r="CX180" s="11">
        <v>0</v>
      </c>
      <c r="CY180" s="10"/>
      <c r="CZ180" s="10"/>
      <c r="DA180" s="11">
        <v>0</v>
      </c>
      <c r="DB180" s="10">
        <v>1619830</v>
      </c>
      <c r="DC180" s="10">
        <f t="shared" ref="DC180:DC187" si="409">SUM(H180,K180,N180,Q180,T180,W180,Z180,AC180,AF180,AI180,AL180,AO180,AR180,AU180,AX180,BA180,BD180,BG180,BJ180,BM180,BP180,BS180,BV180,BY180,CB180,CE180,CH180,CK180,CN180,CQ180,CT180,CW180,CZ180)</f>
        <v>6125</v>
      </c>
      <c r="DD180" s="13">
        <f t="shared" si="403"/>
        <v>3.7812609965243264E-3</v>
      </c>
      <c r="DE180" s="14"/>
    </row>
    <row r="181" spans="1:109" x14ac:dyDescent="0.35">
      <c r="A181" s="8" t="s">
        <v>421</v>
      </c>
      <c r="B181" s="9" t="s">
        <v>42</v>
      </c>
      <c r="C181" s="9" t="s">
        <v>43</v>
      </c>
      <c r="D181" s="9" t="s">
        <v>422</v>
      </c>
      <c r="E181" s="9" t="s">
        <v>45</v>
      </c>
      <c r="F181" s="9" t="s">
        <v>46</v>
      </c>
      <c r="G181" s="10"/>
      <c r="H181" s="10"/>
      <c r="I181" s="11">
        <v>0</v>
      </c>
      <c r="J181" s="10"/>
      <c r="K181" s="10"/>
      <c r="L181" s="12">
        <v>0</v>
      </c>
      <c r="M181" s="10">
        <v>168000</v>
      </c>
      <c r="N181" s="10"/>
      <c r="O181" s="11">
        <f t="shared" ref="O181:O186" si="410">N181/M181</f>
        <v>0</v>
      </c>
      <c r="P181" s="10"/>
      <c r="Q181" s="10"/>
      <c r="R181" s="11">
        <v>0</v>
      </c>
      <c r="S181" s="10"/>
      <c r="T181" s="10"/>
      <c r="U181" s="11">
        <v>0</v>
      </c>
      <c r="V181" s="10"/>
      <c r="W181" s="10"/>
      <c r="X181" s="11">
        <v>0</v>
      </c>
      <c r="Y181" s="10"/>
      <c r="Z181" s="10"/>
      <c r="AA181" s="11"/>
      <c r="AB181" s="10"/>
      <c r="AC181" s="10"/>
      <c r="AD181" s="11">
        <v>0</v>
      </c>
      <c r="AE181" s="10"/>
      <c r="AF181" s="10"/>
      <c r="AG181" s="11">
        <v>0</v>
      </c>
      <c r="AH181" s="10"/>
      <c r="AI181" s="10"/>
      <c r="AJ181" s="11">
        <v>0</v>
      </c>
      <c r="AK181" s="10"/>
      <c r="AL181" s="10">
        <v>23500</v>
      </c>
      <c r="AM181" s="11">
        <v>0</v>
      </c>
      <c r="AN181" s="10"/>
      <c r="AO181" s="10">
        <v>202000</v>
      </c>
      <c r="AP181" s="11">
        <v>0</v>
      </c>
      <c r="AQ181" s="10"/>
      <c r="AR181" s="10"/>
      <c r="AS181" s="11">
        <v>0</v>
      </c>
      <c r="AT181" s="10"/>
      <c r="AU181" s="10"/>
      <c r="AV181" s="11">
        <v>0</v>
      </c>
      <c r="AW181" s="10"/>
      <c r="AX181" s="10"/>
      <c r="AY181" s="11">
        <v>0</v>
      </c>
      <c r="AZ181" s="10"/>
      <c r="BA181" s="10"/>
      <c r="BB181" s="11">
        <v>0</v>
      </c>
      <c r="BC181" s="10"/>
      <c r="BD181" s="10"/>
      <c r="BE181" s="11">
        <v>0</v>
      </c>
      <c r="BF181" s="10"/>
      <c r="BG181" s="10">
        <f>VLOOKUP(A:A,'[1]2026 Customer Brand Sales'!$A:$BA,53,0)</f>
        <v>65500</v>
      </c>
      <c r="BH181" s="11">
        <v>0</v>
      </c>
      <c r="BI181" s="10"/>
      <c r="BJ181" s="10">
        <v>59000</v>
      </c>
      <c r="BK181" s="11">
        <v>0</v>
      </c>
      <c r="BL181" s="10"/>
      <c r="BM181" s="10">
        <v>1565</v>
      </c>
      <c r="BN181" s="11">
        <v>0</v>
      </c>
      <c r="BO181" s="10"/>
      <c r="BP181" s="10"/>
      <c r="BQ181" s="11">
        <v>0</v>
      </c>
      <c r="BR181" s="10"/>
      <c r="BS181" s="10"/>
      <c r="BT181" s="11">
        <v>0</v>
      </c>
      <c r="BU181" s="10"/>
      <c r="BV181" s="10"/>
      <c r="BW181" s="11">
        <v>0</v>
      </c>
      <c r="BX181" s="10">
        <v>270300</v>
      </c>
      <c r="BY181" s="10"/>
      <c r="BZ181" s="11">
        <f t="shared" ref="BZ181:BZ186" si="411">BY181/BX181</f>
        <v>0</v>
      </c>
      <c r="CA181" s="10"/>
      <c r="CB181" s="10"/>
      <c r="CC181" s="11">
        <v>0</v>
      </c>
      <c r="CD181" s="10"/>
      <c r="CE181" s="10"/>
      <c r="CF181" s="11">
        <v>0</v>
      </c>
      <c r="CG181" s="10">
        <v>230000</v>
      </c>
      <c r="CH181" s="10"/>
      <c r="CI181" s="11">
        <f t="shared" ref="CI181:CI187" si="412">CH181/CG181</f>
        <v>0</v>
      </c>
      <c r="CJ181" s="10"/>
      <c r="CK181" s="10"/>
      <c r="CL181" s="11">
        <v>0</v>
      </c>
      <c r="CM181" s="10">
        <v>50000</v>
      </c>
      <c r="CN181" s="10"/>
      <c r="CO181" s="11">
        <v>0</v>
      </c>
      <c r="CP181" s="10"/>
      <c r="CQ181" s="10"/>
      <c r="CR181" s="11">
        <v>0</v>
      </c>
      <c r="CS181" s="10">
        <v>500000</v>
      </c>
      <c r="CT181" s="10">
        <v>1055000</v>
      </c>
      <c r="CU181" s="11">
        <f t="shared" ref="CU181" si="413">CT181/CS181</f>
        <v>2.11</v>
      </c>
      <c r="CV181" s="10">
        <v>300000</v>
      </c>
      <c r="CW181" s="10">
        <v>220900</v>
      </c>
      <c r="CX181" s="11">
        <f t="shared" ref="CX181" si="414">CW181/CV181</f>
        <v>0.73633333333333328</v>
      </c>
      <c r="CY181" s="10"/>
      <c r="CZ181" s="10"/>
      <c r="DA181" s="11">
        <v>0</v>
      </c>
      <c r="DB181" s="10">
        <v>1518300</v>
      </c>
      <c r="DC181" s="10">
        <f t="shared" si="409"/>
        <v>1627465</v>
      </c>
      <c r="DD181" s="13">
        <f t="shared" si="403"/>
        <v>1.0718994928538497</v>
      </c>
      <c r="DE181" s="14"/>
    </row>
    <row r="182" spans="1:109" x14ac:dyDescent="0.35">
      <c r="A182" s="8" t="s">
        <v>423</v>
      </c>
      <c r="B182" s="9" t="s">
        <v>108</v>
      </c>
      <c r="C182" s="9" t="s">
        <v>52</v>
      </c>
      <c r="D182" s="9" t="s">
        <v>424</v>
      </c>
      <c r="E182" s="9" t="s">
        <v>54</v>
      </c>
      <c r="F182" s="9" t="s">
        <v>55</v>
      </c>
      <c r="G182" s="10"/>
      <c r="H182" s="10"/>
      <c r="I182" s="11">
        <v>0</v>
      </c>
      <c r="J182" s="10"/>
      <c r="K182" s="10"/>
      <c r="L182" s="12">
        <v>0</v>
      </c>
      <c r="M182" s="10">
        <v>500000</v>
      </c>
      <c r="N182" s="10"/>
      <c r="O182" s="11">
        <f t="shared" si="410"/>
        <v>0</v>
      </c>
      <c r="P182" s="10"/>
      <c r="Q182" s="10"/>
      <c r="R182" s="11">
        <v>0</v>
      </c>
      <c r="S182" s="10">
        <v>50000</v>
      </c>
      <c r="T182" s="10"/>
      <c r="U182" s="11">
        <f t="shared" ref="U182" si="415">T182/S182</f>
        <v>0</v>
      </c>
      <c r="V182" s="10"/>
      <c r="W182" s="10"/>
      <c r="X182" s="11">
        <v>0</v>
      </c>
      <c r="Y182" s="10">
        <v>50000</v>
      </c>
      <c r="Z182" s="10"/>
      <c r="AA182" s="11">
        <f t="shared" ref="AA182" si="416">Z182/Y182</f>
        <v>0</v>
      </c>
      <c r="AB182" s="10">
        <v>200000</v>
      </c>
      <c r="AC182" s="10"/>
      <c r="AD182" s="11">
        <v>0</v>
      </c>
      <c r="AE182" s="10">
        <v>800000</v>
      </c>
      <c r="AF182" s="10">
        <v>450660</v>
      </c>
      <c r="AG182" s="11">
        <f t="shared" si="405"/>
        <v>0.56332499999999996</v>
      </c>
      <c r="AH182" s="10"/>
      <c r="AI182" s="10"/>
      <c r="AJ182" s="11">
        <v>0</v>
      </c>
      <c r="AK182" s="10">
        <v>200000</v>
      </c>
      <c r="AL182" s="10"/>
      <c r="AM182" s="11">
        <f t="shared" ref="AM182" si="417">AL182/AK182</f>
        <v>0</v>
      </c>
      <c r="AN182" s="10"/>
      <c r="AO182" s="10"/>
      <c r="AP182" s="11">
        <v>0</v>
      </c>
      <c r="AQ182" s="10"/>
      <c r="AR182" s="10"/>
      <c r="AS182" s="11">
        <v>0</v>
      </c>
      <c r="AT182" s="10"/>
      <c r="AU182" s="10">
        <v>10950</v>
      </c>
      <c r="AV182" s="11">
        <v>0</v>
      </c>
      <c r="AW182" s="10"/>
      <c r="AX182" s="10"/>
      <c r="AY182" s="11">
        <v>0</v>
      </c>
      <c r="AZ182" s="10"/>
      <c r="BA182" s="10"/>
      <c r="BB182" s="11">
        <v>0</v>
      </c>
      <c r="BC182" s="10"/>
      <c r="BD182" s="10"/>
      <c r="BE182" s="11">
        <v>0</v>
      </c>
      <c r="BF182" s="10">
        <v>3500000</v>
      </c>
      <c r="BG182" s="10">
        <f>VLOOKUP(A:A,'[1]2026 Customer Brand Sales'!$A:$BA,53,0)</f>
        <v>146955</v>
      </c>
      <c r="BH182" s="11">
        <f t="shared" si="408"/>
        <v>4.1987142857142855E-2</v>
      </c>
      <c r="BI182" s="10"/>
      <c r="BJ182" s="10"/>
      <c r="BK182" s="11">
        <v>0</v>
      </c>
      <c r="BL182" s="10">
        <v>200000</v>
      </c>
      <c r="BM182" s="10"/>
      <c r="BN182" s="11">
        <f t="shared" ref="BN182" si="418">BM182/BL182</f>
        <v>0</v>
      </c>
      <c r="BO182" s="10">
        <v>150000</v>
      </c>
      <c r="BP182" s="10"/>
      <c r="BQ182" s="11">
        <f t="shared" ref="BQ182" si="419">BP182/BO182</f>
        <v>0</v>
      </c>
      <c r="BR182" s="10"/>
      <c r="BS182" s="10"/>
      <c r="BT182" s="11">
        <v>0</v>
      </c>
      <c r="BU182" s="10"/>
      <c r="BV182" s="10"/>
      <c r="BW182" s="11">
        <v>0</v>
      </c>
      <c r="BX182" s="10"/>
      <c r="BY182" s="10"/>
      <c r="BZ182" s="11">
        <v>0</v>
      </c>
      <c r="CA182" s="10"/>
      <c r="CB182" s="10"/>
      <c r="CC182" s="11">
        <v>0</v>
      </c>
      <c r="CD182" s="10"/>
      <c r="CE182" s="10"/>
      <c r="CF182" s="11">
        <v>0</v>
      </c>
      <c r="CG182" s="10"/>
      <c r="CH182" s="10"/>
      <c r="CI182" s="11">
        <v>0</v>
      </c>
      <c r="CJ182" s="10"/>
      <c r="CK182" s="10"/>
      <c r="CL182" s="11">
        <v>0</v>
      </c>
      <c r="CM182" s="10"/>
      <c r="CN182" s="10"/>
      <c r="CO182" s="11">
        <v>0</v>
      </c>
      <c r="CP182" s="10"/>
      <c r="CQ182" s="10"/>
      <c r="CR182" s="11">
        <v>0</v>
      </c>
      <c r="CS182" s="10"/>
      <c r="CT182" s="10"/>
      <c r="CU182" s="11">
        <v>0</v>
      </c>
      <c r="CV182" s="10"/>
      <c r="CW182" s="10"/>
      <c r="CX182" s="11">
        <v>0</v>
      </c>
      <c r="CY182" s="10"/>
      <c r="CZ182" s="10"/>
      <c r="DA182" s="11">
        <v>0</v>
      </c>
      <c r="DB182" s="10">
        <v>5650000</v>
      </c>
      <c r="DC182" s="10">
        <f t="shared" si="409"/>
        <v>608565</v>
      </c>
      <c r="DD182" s="13">
        <f t="shared" si="403"/>
        <v>0.10771061946902655</v>
      </c>
      <c r="DE182" s="14"/>
    </row>
    <row r="183" spans="1:109" x14ac:dyDescent="0.35">
      <c r="A183" s="8" t="s">
        <v>425</v>
      </c>
      <c r="B183" s="9" t="s">
        <v>42</v>
      </c>
      <c r="C183" s="9" t="s">
        <v>43</v>
      </c>
      <c r="D183" s="9" t="s">
        <v>426</v>
      </c>
      <c r="E183" s="9" t="s">
        <v>45</v>
      </c>
      <c r="F183" s="9" t="s">
        <v>46</v>
      </c>
      <c r="G183" s="10"/>
      <c r="H183" s="10"/>
      <c r="I183" s="11">
        <v>0</v>
      </c>
      <c r="J183" s="10"/>
      <c r="K183" s="10"/>
      <c r="L183" s="12">
        <v>0</v>
      </c>
      <c r="M183" s="10"/>
      <c r="N183" s="10"/>
      <c r="O183" s="11">
        <v>0</v>
      </c>
      <c r="P183" s="10"/>
      <c r="Q183" s="10"/>
      <c r="R183" s="11">
        <v>0</v>
      </c>
      <c r="S183" s="10"/>
      <c r="T183" s="10"/>
      <c r="U183" s="11">
        <v>0</v>
      </c>
      <c r="V183" s="10"/>
      <c r="W183" s="10"/>
      <c r="X183" s="11">
        <v>0</v>
      </c>
      <c r="Y183" s="10"/>
      <c r="Z183" s="10"/>
      <c r="AA183" s="11"/>
      <c r="AB183" s="10"/>
      <c r="AC183" s="10"/>
      <c r="AD183" s="11">
        <v>0</v>
      </c>
      <c r="AE183" s="10"/>
      <c r="AF183" s="10"/>
      <c r="AG183" s="11">
        <v>0</v>
      </c>
      <c r="AH183" s="10"/>
      <c r="AI183" s="10"/>
      <c r="AJ183" s="11">
        <v>0</v>
      </c>
      <c r="AK183" s="10"/>
      <c r="AL183" s="10"/>
      <c r="AM183" s="11">
        <v>0</v>
      </c>
      <c r="AN183" s="10"/>
      <c r="AO183" s="10">
        <v>11500</v>
      </c>
      <c r="AP183" s="11">
        <v>0</v>
      </c>
      <c r="AQ183" s="10"/>
      <c r="AR183" s="10"/>
      <c r="AS183" s="11">
        <v>0</v>
      </c>
      <c r="AT183" s="10"/>
      <c r="AU183" s="10"/>
      <c r="AV183" s="11">
        <v>0</v>
      </c>
      <c r="AW183" s="10"/>
      <c r="AX183" s="10"/>
      <c r="AY183" s="11">
        <v>0</v>
      </c>
      <c r="AZ183" s="10"/>
      <c r="BA183" s="10"/>
      <c r="BB183" s="11">
        <v>0</v>
      </c>
      <c r="BC183" s="10"/>
      <c r="BD183" s="10"/>
      <c r="BE183" s="11">
        <v>0</v>
      </c>
      <c r="BF183" s="10"/>
      <c r="BG183" s="10"/>
      <c r="BH183" s="11">
        <v>0</v>
      </c>
      <c r="BI183" s="10"/>
      <c r="BJ183" s="10"/>
      <c r="BK183" s="11">
        <v>0</v>
      </c>
      <c r="BL183" s="10"/>
      <c r="BM183" s="10"/>
      <c r="BN183" s="11">
        <v>0</v>
      </c>
      <c r="BO183" s="10"/>
      <c r="BP183" s="10"/>
      <c r="BQ183" s="11">
        <v>0</v>
      </c>
      <c r="BR183" s="10"/>
      <c r="BS183" s="10"/>
      <c r="BT183" s="11">
        <v>0</v>
      </c>
      <c r="BU183" s="10"/>
      <c r="BV183" s="10"/>
      <c r="BW183" s="11">
        <v>0</v>
      </c>
      <c r="BX183" s="10"/>
      <c r="BY183" s="10"/>
      <c r="BZ183" s="11">
        <v>0</v>
      </c>
      <c r="CA183" s="10"/>
      <c r="CB183" s="10"/>
      <c r="CC183" s="11">
        <v>0</v>
      </c>
      <c r="CD183" s="10"/>
      <c r="CE183" s="10"/>
      <c r="CF183" s="11">
        <v>0</v>
      </c>
      <c r="CG183" s="10"/>
      <c r="CH183" s="10"/>
      <c r="CI183" s="11">
        <v>0</v>
      </c>
      <c r="CJ183" s="10"/>
      <c r="CK183" s="10"/>
      <c r="CL183" s="11">
        <v>0</v>
      </c>
      <c r="CM183" s="10"/>
      <c r="CN183" s="10"/>
      <c r="CO183" s="11">
        <v>0</v>
      </c>
      <c r="CP183" s="10"/>
      <c r="CQ183" s="10"/>
      <c r="CR183" s="11">
        <v>0</v>
      </c>
      <c r="CS183" s="10"/>
      <c r="CT183" s="10"/>
      <c r="CU183" s="11">
        <v>0</v>
      </c>
      <c r="CV183" s="10"/>
      <c r="CW183" s="10"/>
      <c r="CX183" s="11">
        <v>0</v>
      </c>
      <c r="CY183" s="10"/>
      <c r="CZ183" s="10"/>
      <c r="DA183" s="11">
        <v>0</v>
      </c>
      <c r="DB183" s="10"/>
      <c r="DC183" s="10">
        <f t="shared" si="409"/>
        <v>11500</v>
      </c>
      <c r="DD183" s="13">
        <v>0</v>
      </c>
      <c r="DE183" s="14"/>
    </row>
    <row r="184" spans="1:109" x14ac:dyDescent="0.35">
      <c r="A184" s="8" t="s">
        <v>427</v>
      </c>
      <c r="B184" s="9" t="s">
        <v>74</v>
      </c>
      <c r="C184" s="9" t="s">
        <v>52</v>
      </c>
      <c r="D184" s="9" t="s">
        <v>428</v>
      </c>
      <c r="E184" s="9" t="s">
        <v>54</v>
      </c>
      <c r="F184" s="9" t="s">
        <v>55</v>
      </c>
      <c r="G184" s="10"/>
      <c r="H184" s="10"/>
      <c r="I184" s="11">
        <v>0</v>
      </c>
      <c r="J184" s="10"/>
      <c r="K184" s="10"/>
      <c r="L184" s="12">
        <v>0</v>
      </c>
      <c r="M184" s="10"/>
      <c r="N184" s="10"/>
      <c r="O184" s="11">
        <v>0</v>
      </c>
      <c r="P184" s="10"/>
      <c r="Q184" s="10"/>
      <c r="R184" s="11">
        <v>0</v>
      </c>
      <c r="S184" s="10"/>
      <c r="T184" s="10"/>
      <c r="U184" s="11">
        <v>0</v>
      </c>
      <c r="V184" s="10"/>
      <c r="W184" s="10"/>
      <c r="X184" s="11">
        <v>0</v>
      </c>
      <c r="Y184" s="10"/>
      <c r="Z184" s="10"/>
      <c r="AA184" s="11"/>
      <c r="AB184" s="10"/>
      <c r="AC184" s="10"/>
      <c r="AD184" s="11">
        <v>0</v>
      </c>
      <c r="AE184" s="10"/>
      <c r="AF184" s="10"/>
      <c r="AG184" s="11">
        <v>0</v>
      </c>
      <c r="AH184" s="10"/>
      <c r="AI184" s="10"/>
      <c r="AJ184" s="11">
        <v>0</v>
      </c>
      <c r="AK184" s="10"/>
      <c r="AL184" s="10"/>
      <c r="AM184" s="11">
        <v>0</v>
      </c>
      <c r="AN184" s="10"/>
      <c r="AO184" s="10"/>
      <c r="AP184" s="11">
        <v>0</v>
      </c>
      <c r="AQ184" s="10"/>
      <c r="AR184" s="10"/>
      <c r="AS184" s="11">
        <v>0</v>
      </c>
      <c r="AT184" s="10"/>
      <c r="AU184" s="10"/>
      <c r="AV184" s="11">
        <v>0</v>
      </c>
      <c r="AW184" s="10"/>
      <c r="AX184" s="10"/>
      <c r="AY184" s="11">
        <v>0</v>
      </c>
      <c r="AZ184" s="10"/>
      <c r="BA184" s="10"/>
      <c r="BB184" s="11">
        <v>0</v>
      </c>
      <c r="BC184" s="10"/>
      <c r="BD184" s="10"/>
      <c r="BE184" s="11">
        <v>0</v>
      </c>
      <c r="BF184" s="10"/>
      <c r="BG184" s="10"/>
      <c r="BH184" s="11">
        <v>0</v>
      </c>
      <c r="BI184" s="10"/>
      <c r="BJ184" s="10"/>
      <c r="BK184" s="11">
        <v>0</v>
      </c>
      <c r="BL184" s="10"/>
      <c r="BM184" s="10"/>
      <c r="BN184" s="11">
        <v>0</v>
      </c>
      <c r="BO184" s="10"/>
      <c r="BP184" s="10"/>
      <c r="BQ184" s="11">
        <v>0</v>
      </c>
      <c r="BR184" s="10"/>
      <c r="BS184" s="10"/>
      <c r="BT184" s="11">
        <v>0</v>
      </c>
      <c r="BU184" s="10"/>
      <c r="BV184" s="10"/>
      <c r="BW184" s="11">
        <v>0</v>
      </c>
      <c r="BX184" s="10"/>
      <c r="BY184" s="10"/>
      <c r="BZ184" s="11">
        <v>0</v>
      </c>
      <c r="CA184" s="10"/>
      <c r="CB184" s="10"/>
      <c r="CC184" s="11">
        <v>0</v>
      </c>
      <c r="CD184" s="10"/>
      <c r="CE184" s="10"/>
      <c r="CF184" s="11">
        <v>0</v>
      </c>
      <c r="CG184" s="10"/>
      <c r="CH184" s="10"/>
      <c r="CI184" s="11">
        <v>0</v>
      </c>
      <c r="CJ184" s="10"/>
      <c r="CK184" s="10"/>
      <c r="CL184" s="11">
        <v>0</v>
      </c>
      <c r="CM184" s="10"/>
      <c r="CN184" s="10"/>
      <c r="CO184" s="11">
        <v>0</v>
      </c>
      <c r="CP184" s="10"/>
      <c r="CQ184" s="10"/>
      <c r="CR184" s="11">
        <v>0</v>
      </c>
      <c r="CS184" s="10"/>
      <c r="CT184" s="10"/>
      <c r="CU184" s="11">
        <v>0</v>
      </c>
      <c r="CV184" s="10"/>
      <c r="CW184" s="10"/>
      <c r="CX184" s="11">
        <v>0</v>
      </c>
      <c r="CY184" s="10"/>
      <c r="CZ184" s="10"/>
      <c r="DA184" s="11">
        <v>0</v>
      </c>
      <c r="DB184" s="10"/>
      <c r="DC184" s="10"/>
      <c r="DD184" s="13">
        <v>0</v>
      </c>
      <c r="DE184" s="14"/>
    </row>
    <row r="185" spans="1:109" x14ac:dyDescent="0.35">
      <c r="A185" s="8" t="s">
        <v>429</v>
      </c>
      <c r="B185" s="9" t="s">
        <v>118</v>
      </c>
      <c r="C185" s="9" t="s">
        <v>43</v>
      </c>
      <c r="D185" s="9" t="s">
        <v>430</v>
      </c>
      <c r="E185" s="9" t="s">
        <v>61</v>
      </c>
      <c r="F185" s="9" t="s">
        <v>62</v>
      </c>
      <c r="G185" s="10"/>
      <c r="H185" s="10"/>
      <c r="I185" s="11">
        <v>0</v>
      </c>
      <c r="J185" s="10"/>
      <c r="K185" s="10"/>
      <c r="L185" s="12">
        <v>0</v>
      </c>
      <c r="M185" s="10"/>
      <c r="N185" s="10"/>
      <c r="O185" s="11">
        <v>0</v>
      </c>
      <c r="P185" s="10"/>
      <c r="Q185" s="10"/>
      <c r="R185" s="11">
        <v>0</v>
      </c>
      <c r="S185" s="10"/>
      <c r="T185" s="10"/>
      <c r="U185" s="11">
        <v>0</v>
      </c>
      <c r="V185" s="10">
        <v>1500000</v>
      </c>
      <c r="W185" s="10">
        <v>354000</v>
      </c>
      <c r="X185" s="11">
        <v>0.23599999999999999</v>
      </c>
      <c r="Y185" s="10"/>
      <c r="Z185" s="10"/>
      <c r="AA185" s="11"/>
      <c r="AB185" s="10"/>
      <c r="AC185" s="10"/>
      <c r="AD185" s="11">
        <v>0</v>
      </c>
      <c r="AE185" s="10"/>
      <c r="AF185" s="10"/>
      <c r="AG185" s="11">
        <v>0</v>
      </c>
      <c r="AH185" s="10"/>
      <c r="AI185" s="10"/>
      <c r="AJ185" s="11">
        <v>0</v>
      </c>
      <c r="AK185" s="10"/>
      <c r="AL185" s="10"/>
      <c r="AM185" s="11">
        <v>0</v>
      </c>
      <c r="AN185" s="10"/>
      <c r="AO185" s="10"/>
      <c r="AP185" s="11">
        <v>0</v>
      </c>
      <c r="AQ185" s="10"/>
      <c r="AR185" s="10"/>
      <c r="AS185" s="11">
        <v>0</v>
      </c>
      <c r="AT185" s="10"/>
      <c r="AU185" s="10"/>
      <c r="AV185" s="11">
        <v>0</v>
      </c>
      <c r="AW185" s="10"/>
      <c r="AX185" s="10"/>
      <c r="AY185" s="11">
        <v>0</v>
      </c>
      <c r="AZ185" s="10"/>
      <c r="BA185" s="10"/>
      <c r="BB185" s="11">
        <v>0</v>
      </c>
      <c r="BC185" s="10"/>
      <c r="BD185" s="10"/>
      <c r="BE185" s="11">
        <v>0</v>
      </c>
      <c r="BF185" s="10"/>
      <c r="BG185" s="10"/>
      <c r="BH185" s="11">
        <v>0</v>
      </c>
      <c r="BI185" s="10"/>
      <c r="BJ185" s="10"/>
      <c r="BK185" s="11">
        <v>0</v>
      </c>
      <c r="BL185" s="10"/>
      <c r="BM185" s="10"/>
      <c r="BN185" s="11">
        <v>0</v>
      </c>
      <c r="BO185" s="10"/>
      <c r="BP185" s="10"/>
      <c r="BQ185" s="11">
        <v>0</v>
      </c>
      <c r="BR185" s="10"/>
      <c r="BS185" s="10"/>
      <c r="BT185" s="11">
        <v>0</v>
      </c>
      <c r="BU185" s="10"/>
      <c r="BV185" s="10"/>
      <c r="BW185" s="11">
        <v>0</v>
      </c>
      <c r="BX185" s="10"/>
      <c r="BY185" s="10"/>
      <c r="BZ185" s="11">
        <v>0</v>
      </c>
      <c r="CA185" s="10"/>
      <c r="CB185" s="10"/>
      <c r="CC185" s="11">
        <v>0</v>
      </c>
      <c r="CD185" s="10"/>
      <c r="CE185" s="10"/>
      <c r="CF185" s="11">
        <v>0</v>
      </c>
      <c r="CG185" s="10"/>
      <c r="CH185" s="10"/>
      <c r="CI185" s="11">
        <v>0</v>
      </c>
      <c r="CJ185" s="10"/>
      <c r="CK185" s="10"/>
      <c r="CL185" s="11">
        <v>0</v>
      </c>
      <c r="CM185" s="10"/>
      <c r="CN185" s="10"/>
      <c r="CO185" s="11">
        <v>0</v>
      </c>
      <c r="CP185" s="10"/>
      <c r="CQ185" s="10"/>
      <c r="CR185" s="11">
        <v>0</v>
      </c>
      <c r="CS185" s="10"/>
      <c r="CT185" s="10"/>
      <c r="CU185" s="11">
        <v>0</v>
      </c>
      <c r="CV185" s="10"/>
      <c r="CW185" s="10"/>
      <c r="CX185" s="11">
        <v>0</v>
      </c>
      <c r="CY185" s="10"/>
      <c r="CZ185" s="10"/>
      <c r="DA185" s="11">
        <v>0</v>
      </c>
      <c r="DB185" s="10">
        <v>1500000</v>
      </c>
      <c r="DC185" s="10">
        <f t="shared" si="409"/>
        <v>354000</v>
      </c>
      <c r="DD185" s="13">
        <f t="shared" si="403"/>
        <v>0.23599999999999999</v>
      </c>
      <c r="DE185" s="14"/>
    </row>
    <row r="186" spans="1:109" x14ac:dyDescent="0.35">
      <c r="A186" s="8" t="s">
        <v>431</v>
      </c>
      <c r="B186" s="9" t="s">
        <v>48</v>
      </c>
      <c r="C186" s="9" t="s">
        <v>43</v>
      </c>
      <c r="D186" s="9" t="s">
        <v>432</v>
      </c>
      <c r="E186" s="9" t="s">
        <v>45</v>
      </c>
      <c r="F186" s="9" t="s">
        <v>46</v>
      </c>
      <c r="G186" s="10"/>
      <c r="H186" s="10"/>
      <c r="I186" s="11">
        <v>0</v>
      </c>
      <c r="J186" s="10"/>
      <c r="K186" s="10"/>
      <c r="L186" s="12">
        <v>0</v>
      </c>
      <c r="M186" s="10">
        <v>448000</v>
      </c>
      <c r="N186" s="10"/>
      <c r="O186" s="11">
        <f t="shared" si="410"/>
        <v>0</v>
      </c>
      <c r="P186" s="10"/>
      <c r="Q186" s="10"/>
      <c r="R186" s="11">
        <v>0</v>
      </c>
      <c r="S186" s="10"/>
      <c r="T186" s="10"/>
      <c r="U186" s="11">
        <v>0</v>
      </c>
      <c r="V186" s="10"/>
      <c r="W186" s="10"/>
      <c r="X186" s="11">
        <v>0</v>
      </c>
      <c r="Y186" s="10"/>
      <c r="Z186" s="10">
        <v>448000</v>
      </c>
      <c r="AA186" s="11"/>
      <c r="AB186" s="10"/>
      <c r="AC186" s="10">
        <v>9500</v>
      </c>
      <c r="AD186" s="11">
        <v>0</v>
      </c>
      <c r="AE186" s="10"/>
      <c r="AF186" s="10"/>
      <c r="AG186" s="11">
        <v>0</v>
      </c>
      <c r="AH186" s="10"/>
      <c r="AI186" s="10"/>
      <c r="AJ186" s="11">
        <v>0</v>
      </c>
      <c r="AK186" s="10"/>
      <c r="AL186" s="10"/>
      <c r="AM186" s="11">
        <v>0</v>
      </c>
      <c r="AN186" s="10"/>
      <c r="AO186" s="10"/>
      <c r="AP186" s="11">
        <v>0</v>
      </c>
      <c r="AQ186" s="10">
        <v>735840</v>
      </c>
      <c r="AR186" s="10"/>
      <c r="AS186" s="11">
        <f t="shared" si="406"/>
        <v>0</v>
      </c>
      <c r="AT186" s="10"/>
      <c r="AU186" s="10"/>
      <c r="AV186" s="11">
        <v>0</v>
      </c>
      <c r="AW186" s="10"/>
      <c r="AX186" s="10"/>
      <c r="AY186" s="11">
        <v>0</v>
      </c>
      <c r="AZ186" s="10"/>
      <c r="BA186" s="10">
        <v>250500</v>
      </c>
      <c r="BB186" s="11">
        <v>0</v>
      </c>
      <c r="BC186" s="10"/>
      <c r="BD186" s="10"/>
      <c r="BE186" s="11">
        <v>0</v>
      </c>
      <c r="BF186" s="10"/>
      <c r="BG186" s="10"/>
      <c r="BH186" s="11">
        <v>0</v>
      </c>
      <c r="BI186" s="10"/>
      <c r="BJ186" s="10"/>
      <c r="BK186" s="11">
        <v>0</v>
      </c>
      <c r="BL186" s="10"/>
      <c r="BM186" s="10"/>
      <c r="BN186" s="11">
        <v>0</v>
      </c>
      <c r="BO186" s="10"/>
      <c r="BP186" s="10"/>
      <c r="BQ186" s="11">
        <v>0</v>
      </c>
      <c r="BR186" s="10">
        <v>800000</v>
      </c>
      <c r="BS186" s="10">
        <v>117000</v>
      </c>
      <c r="BT186" s="11">
        <f t="shared" si="401"/>
        <v>0.14624999999999999</v>
      </c>
      <c r="BU186" s="10">
        <v>200000</v>
      </c>
      <c r="BV186" s="10"/>
      <c r="BW186" s="11">
        <f t="shared" si="402"/>
        <v>0</v>
      </c>
      <c r="BX186" s="10">
        <v>74200</v>
      </c>
      <c r="BY186" s="10"/>
      <c r="BZ186" s="11">
        <f t="shared" si="411"/>
        <v>0</v>
      </c>
      <c r="CA186" s="10"/>
      <c r="CB186" s="10"/>
      <c r="CC186" s="11">
        <v>0</v>
      </c>
      <c r="CD186" s="10">
        <v>600000</v>
      </c>
      <c r="CE186" s="10">
        <v>520000</v>
      </c>
      <c r="CF186" s="11">
        <f t="shared" ref="CF186" si="420">CE186/CD186</f>
        <v>0.8666666666666667</v>
      </c>
      <c r="CG186" s="10"/>
      <c r="CH186" s="10"/>
      <c r="CI186" s="11">
        <v>0</v>
      </c>
      <c r="CJ186" s="10"/>
      <c r="CK186" s="10"/>
      <c r="CL186" s="11">
        <v>0</v>
      </c>
      <c r="CM186" s="10"/>
      <c r="CN186" s="10"/>
      <c r="CO186" s="11">
        <v>0</v>
      </c>
      <c r="CP186" s="10"/>
      <c r="CQ186" s="10"/>
      <c r="CR186" s="11">
        <v>0</v>
      </c>
      <c r="CS186" s="10"/>
      <c r="CT186" s="10"/>
      <c r="CU186" s="11">
        <v>0</v>
      </c>
      <c r="CV186" s="10"/>
      <c r="CW186" s="10"/>
      <c r="CX186" s="11">
        <v>0</v>
      </c>
      <c r="CY186" s="10"/>
      <c r="CZ186" s="10"/>
      <c r="DA186" s="11">
        <v>0</v>
      </c>
      <c r="DB186" s="10">
        <v>2858040</v>
      </c>
      <c r="DC186" s="10">
        <f t="shared" si="409"/>
        <v>1345000</v>
      </c>
      <c r="DD186" s="13">
        <f t="shared" si="403"/>
        <v>0.47060223089949754</v>
      </c>
      <c r="DE186" s="14"/>
    </row>
    <row r="187" spans="1:109" x14ac:dyDescent="0.35">
      <c r="A187" s="8" t="s">
        <v>433</v>
      </c>
      <c r="B187" s="9" t="s">
        <v>48</v>
      </c>
      <c r="C187" s="9" t="s">
        <v>43</v>
      </c>
      <c r="D187" s="9" t="s">
        <v>434</v>
      </c>
      <c r="E187" s="9" t="s">
        <v>45</v>
      </c>
      <c r="F187" s="9" t="s">
        <v>46</v>
      </c>
      <c r="G187" s="10"/>
      <c r="H187" s="10"/>
      <c r="I187" s="11">
        <v>0</v>
      </c>
      <c r="J187" s="10"/>
      <c r="K187" s="10"/>
      <c r="L187" s="12">
        <v>0</v>
      </c>
      <c r="M187" s="10"/>
      <c r="N187" s="10"/>
      <c r="O187" s="11">
        <v>0</v>
      </c>
      <c r="P187" s="10"/>
      <c r="Q187" s="10"/>
      <c r="R187" s="11">
        <v>0</v>
      </c>
      <c r="S187" s="10"/>
      <c r="T187" s="10"/>
      <c r="U187" s="11">
        <v>0</v>
      </c>
      <c r="V187" s="10"/>
      <c r="W187" s="10"/>
      <c r="X187" s="11">
        <v>0</v>
      </c>
      <c r="Y187" s="10"/>
      <c r="Z187" s="10"/>
      <c r="AA187" s="11"/>
      <c r="AB187" s="10"/>
      <c r="AC187" s="10"/>
      <c r="AD187" s="11">
        <v>0</v>
      </c>
      <c r="AE187" s="10"/>
      <c r="AF187" s="10"/>
      <c r="AG187" s="11">
        <v>0</v>
      </c>
      <c r="AH187" s="10"/>
      <c r="AI187" s="10"/>
      <c r="AJ187" s="11">
        <v>0</v>
      </c>
      <c r="AK187" s="10"/>
      <c r="AL187" s="10"/>
      <c r="AM187" s="11">
        <v>0</v>
      </c>
      <c r="AN187" s="10"/>
      <c r="AO187" s="10"/>
      <c r="AP187" s="11">
        <v>0</v>
      </c>
      <c r="AQ187" s="10">
        <v>98280</v>
      </c>
      <c r="AR187" s="10"/>
      <c r="AS187" s="11">
        <f t="shared" si="406"/>
        <v>0</v>
      </c>
      <c r="AT187" s="10"/>
      <c r="AU187" s="10"/>
      <c r="AV187" s="11">
        <v>0</v>
      </c>
      <c r="AW187" s="10"/>
      <c r="AX187" s="10"/>
      <c r="AY187" s="11">
        <v>0</v>
      </c>
      <c r="AZ187" s="10"/>
      <c r="BA187" s="10"/>
      <c r="BB187" s="11">
        <v>0</v>
      </c>
      <c r="BC187" s="10"/>
      <c r="BD187" s="10"/>
      <c r="BE187" s="11">
        <v>0</v>
      </c>
      <c r="BF187" s="10"/>
      <c r="BG187" s="10"/>
      <c r="BH187" s="11">
        <v>0</v>
      </c>
      <c r="BI187" s="10"/>
      <c r="BJ187" s="10"/>
      <c r="BK187" s="11">
        <v>0</v>
      </c>
      <c r="BL187" s="10"/>
      <c r="BM187" s="10"/>
      <c r="BN187" s="11">
        <v>0</v>
      </c>
      <c r="BO187" s="10"/>
      <c r="BP187" s="10"/>
      <c r="BQ187" s="11">
        <v>0</v>
      </c>
      <c r="BR187" s="10">
        <v>500000</v>
      </c>
      <c r="BS187" s="10">
        <v>8700</v>
      </c>
      <c r="BT187" s="11">
        <f t="shared" si="401"/>
        <v>1.7399999999999999E-2</v>
      </c>
      <c r="BU187" s="10">
        <v>100000</v>
      </c>
      <c r="BV187" s="10"/>
      <c r="BW187" s="11">
        <f t="shared" si="402"/>
        <v>0</v>
      </c>
      <c r="BX187" s="10"/>
      <c r="BY187" s="10"/>
      <c r="BZ187" s="11">
        <v>0</v>
      </c>
      <c r="CA187" s="10"/>
      <c r="CB187" s="10"/>
      <c r="CC187" s="11">
        <v>0</v>
      </c>
      <c r="CD187" s="10"/>
      <c r="CE187" s="10"/>
      <c r="CF187" s="11">
        <v>0</v>
      </c>
      <c r="CG187" s="10">
        <v>120000</v>
      </c>
      <c r="CH187" s="10">
        <v>41300</v>
      </c>
      <c r="CI187" s="11">
        <f t="shared" si="412"/>
        <v>0.34416666666666668</v>
      </c>
      <c r="CJ187" s="10"/>
      <c r="CK187" s="10"/>
      <c r="CL187" s="11">
        <v>0</v>
      </c>
      <c r="CM187" s="10"/>
      <c r="CN187" s="10"/>
      <c r="CO187" s="11">
        <v>0</v>
      </c>
      <c r="CP187" s="10"/>
      <c r="CQ187" s="10"/>
      <c r="CR187" s="11">
        <v>0</v>
      </c>
      <c r="CS187" s="10"/>
      <c r="CT187" s="10"/>
      <c r="CU187" s="11">
        <v>0</v>
      </c>
      <c r="CV187" s="10"/>
      <c r="CW187" s="10"/>
      <c r="CX187" s="11">
        <v>0</v>
      </c>
      <c r="CY187" s="10"/>
      <c r="CZ187" s="10"/>
      <c r="DA187" s="11">
        <v>0</v>
      </c>
      <c r="DB187" s="10">
        <v>818280</v>
      </c>
      <c r="DC187" s="10">
        <f t="shared" si="409"/>
        <v>50000</v>
      </c>
      <c r="DD187" s="13">
        <f t="shared" si="403"/>
        <v>6.1103778657672192E-2</v>
      </c>
      <c r="DE187" s="14"/>
    </row>
    <row r="188" spans="1:109" x14ac:dyDescent="0.35">
      <c r="A188" s="8" t="s">
        <v>435</v>
      </c>
      <c r="B188" s="9" t="s">
        <v>74</v>
      </c>
      <c r="C188" s="9" t="s">
        <v>52</v>
      </c>
      <c r="D188" s="9" t="s">
        <v>436</v>
      </c>
      <c r="E188" s="9" t="s">
        <v>54</v>
      </c>
      <c r="F188" s="9" t="s">
        <v>55</v>
      </c>
      <c r="G188" s="10"/>
      <c r="H188" s="10"/>
      <c r="I188" s="11">
        <v>0</v>
      </c>
      <c r="J188" s="10"/>
      <c r="K188" s="10"/>
      <c r="L188" s="12">
        <v>0</v>
      </c>
      <c r="M188" s="10"/>
      <c r="N188" s="10"/>
      <c r="O188" s="11">
        <v>0</v>
      </c>
      <c r="P188" s="10"/>
      <c r="Q188" s="10"/>
      <c r="R188" s="11">
        <v>0</v>
      </c>
      <c r="S188" s="10"/>
      <c r="T188" s="10"/>
      <c r="U188" s="11">
        <v>0</v>
      </c>
      <c r="V188" s="10"/>
      <c r="W188" s="10"/>
      <c r="X188" s="11">
        <v>0</v>
      </c>
      <c r="Y188" s="10"/>
      <c r="Z188" s="10"/>
      <c r="AA188" s="11"/>
      <c r="AB188" s="10"/>
      <c r="AC188" s="10"/>
      <c r="AD188" s="11">
        <v>0</v>
      </c>
      <c r="AE188" s="10"/>
      <c r="AF188" s="10"/>
      <c r="AG188" s="11">
        <v>0</v>
      </c>
      <c r="AH188" s="10"/>
      <c r="AI188" s="10"/>
      <c r="AJ188" s="11">
        <v>0</v>
      </c>
      <c r="AK188" s="10"/>
      <c r="AL188" s="10"/>
      <c r="AM188" s="11">
        <v>0</v>
      </c>
      <c r="AN188" s="10"/>
      <c r="AO188" s="10"/>
      <c r="AP188" s="11">
        <v>0</v>
      </c>
      <c r="AQ188" s="10"/>
      <c r="AR188" s="10"/>
      <c r="AS188" s="11">
        <v>0</v>
      </c>
      <c r="AT188" s="10"/>
      <c r="AU188" s="10"/>
      <c r="AV188" s="11">
        <v>0</v>
      </c>
      <c r="AW188" s="10"/>
      <c r="AX188" s="10"/>
      <c r="AY188" s="11">
        <v>0</v>
      </c>
      <c r="AZ188" s="10"/>
      <c r="BA188" s="10"/>
      <c r="BB188" s="11">
        <v>0</v>
      </c>
      <c r="BC188" s="10"/>
      <c r="BD188" s="10"/>
      <c r="BE188" s="11">
        <v>0</v>
      </c>
      <c r="BF188" s="10"/>
      <c r="BG188" s="10"/>
      <c r="BH188" s="11">
        <v>0</v>
      </c>
      <c r="BI188" s="10"/>
      <c r="BJ188" s="10"/>
      <c r="BK188" s="11">
        <v>0</v>
      </c>
      <c r="BL188" s="10"/>
      <c r="BM188" s="10">
        <v>14000</v>
      </c>
      <c r="BN188" s="11">
        <v>0</v>
      </c>
      <c r="BO188" s="10"/>
      <c r="BP188" s="10"/>
      <c r="BQ188" s="11">
        <v>0</v>
      </c>
      <c r="BR188" s="10"/>
      <c r="BS188" s="10"/>
      <c r="BT188" s="11">
        <v>0</v>
      </c>
      <c r="BU188" s="10"/>
      <c r="BV188" s="10"/>
      <c r="BW188" s="11">
        <v>0</v>
      </c>
      <c r="BX188" s="10"/>
      <c r="BY188" s="10"/>
      <c r="BZ188" s="11">
        <v>0</v>
      </c>
      <c r="CA188" s="10"/>
      <c r="CB188" s="10"/>
      <c r="CC188" s="11">
        <v>0</v>
      </c>
      <c r="CD188" s="10"/>
      <c r="CE188" s="10"/>
      <c r="CF188" s="11">
        <v>0</v>
      </c>
      <c r="CG188" s="10"/>
      <c r="CH188" s="10"/>
      <c r="CI188" s="11">
        <v>0</v>
      </c>
      <c r="CJ188" s="10"/>
      <c r="CK188" s="10"/>
      <c r="CL188" s="11">
        <v>0</v>
      </c>
      <c r="CM188" s="10"/>
      <c r="CN188" s="10"/>
      <c r="CO188" s="11">
        <v>0</v>
      </c>
      <c r="CP188" s="10"/>
      <c r="CQ188" s="10"/>
      <c r="CR188" s="11">
        <v>0</v>
      </c>
      <c r="CS188" s="10"/>
      <c r="CT188" s="10"/>
      <c r="CU188" s="11">
        <v>0</v>
      </c>
      <c r="CV188" s="10"/>
      <c r="CW188" s="10"/>
      <c r="CX188" s="11">
        <v>0</v>
      </c>
      <c r="CY188" s="10"/>
      <c r="CZ188" s="10"/>
      <c r="DA188" s="11">
        <v>0</v>
      </c>
      <c r="DB188" s="10"/>
      <c r="DC188" s="10">
        <f t="shared" ref="DC188:DC190" si="421">SUM(H188,K188,N188,Q188,T188,W188,Z188,AC188,AF188,AI188,AL188,AO188,AR188,AU188,AX188,BA188,BD188,BG188,BJ188,BM188,BP188,BS188,BV188,BY188,CB188,CE188,CH188,CK188,CN188,CQ188,CT188,CW188,CZ188)</f>
        <v>14000</v>
      </c>
      <c r="DD188" s="13">
        <v>0</v>
      </c>
      <c r="DE188" s="14"/>
    </row>
    <row r="189" spans="1:109" x14ac:dyDescent="0.35">
      <c r="A189" s="8" t="s">
        <v>437</v>
      </c>
      <c r="B189" s="9" t="s">
        <v>118</v>
      </c>
      <c r="C189" s="9" t="s">
        <v>43</v>
      </c>
      <c r="D189" s="9" t="s">
        <v>438</v>
      </c>
      <c r="E189" s="9" t="s">
        <v>61</v>
      </c>
      <c r="F189" s="9" t="s">
        <v>62</v>
      </c>
      <c r="G189" s="10"/>
      <c r="H189" s="10"/>
      <c r="I189" s="11">
        <v>0</v>
      </c>
      <c r="J189" s="10"/>
      <c r="K189" s="10"/>
      <c r="L189" s="12">
        <v>0</v>
      </c>
      <c r="M189" s="10"/>
      <c r="N189" s="10"/>
      <c r="O189" s="11">
        <v>0</v>
      </c>
      <c r="P189" s="10"/>
      <c r="Q189" s="10"/>
      <c r="R189" s="11">
        <v>0</v>
      </c>
      <c r="S189" s="10"/>
      <c r="T189" s="10"/>
      <c r="U189" s="11">
        <v>0</v>
      </c>
      <c r="V189" s="10">
        <v>500000</v>
      </c>
      <c r="W189" s="10">
        <v>115400</v>
      </c>
      <c r="X189" s="11">
        <v>0.23080000000000001</v>
      </c>
      <c r="Y189" s="10"/>
      <c r="Z189" s="10"/>
      <c r="AA189" s="11"/>
      <c r="AB189" s="10"/>
      <c r="AC189" s="10"/>
      <c r="AD189" s="11">
        <v>0</v>
      </c>
      <c r="AE189" s="10"/>
      <c r="AF189" s="10"/>
      <c r="AG189" s="11">
        <v>0</v>
      </c>
      <c r="AH189" s="10"/>
      <c r="AI189" s="10"/>
      <c r="AJ189" s="11">
        <v>0</v>
      </c>
      <c r="AK189" s="10"/>
      <c r="AL189" s="10"/>
      <c r="AM189" s="11">
        <v>0</v>
      </c>
      <c r="AN189" s="10"/>
      <c r="AO189" s="10"/>
      <c r="AP189" s="11">
        <v>0</v>
      </c>
      <c r="AQ189" s="10"/>
      <c r="AR189" s="10"/>
      <c r="AS189" s="11">
        <v>0</v>
      </c>
      <c r="AT189" s="10"/>
      <c r="AU189" s="10"/>
      <c r="AV189" s="11">
        <v>0</v>
      </c>
      <c r="AW189" s="10"/>
      <c r="AX189" s="10"/>
      <c r="AY189" s="11">
        <v>0</v>
      </c>
      <c r="AZ189" s="10"/>
      <c r="BA189" s="10"/>
      <c r="BB189" s="11">
        <v>0</v>
      </c>
      <c r="BC189" s="10"/>
      <c r="BD189" s="10"/>
      <c r="BE189" s="11">
        <v>0</v>
      </c>
      <c r="BF189" s="10"/>
      <c r="BG189" s="10"/>
      <c r="BH189" s="11">
        <v>0</v>
      </c>
      <c r="BI189" s="10"/>
      <c r="BJ189" s="10"/>
      <c r="BK189" s="11">
        <v>0</v>
      </c>
      <c r="BL189" s="10"/>
      <c r="BM189" s="10"/>
      <c r="BN189" s="11">
        <v>0</v>
      </c>
      <c r="BO189" s="10"/>
      <c r="BP189" s="10"/>
      <c r="BQ189" s="11">
        <v>0</v>
      </c>
      <c r="BR189" s="10"/>
      <c r="BS189" s="10"/>
      <c r="BT189" s="11">
        <v>0</v>
      </c>
      <c r="BU189" s="10"/>
      <c r="BV189" s="10"/>
      <c r="BW189" s="11">
        <v>0</v>
      </c>
      <c r="BX189" s="10"/>
      <c r="BY189" s="10"/>
      <c r="BZ189" s="11">
        <v>0</v>
      </c>
      <c r="CA189" s="10"/>
      <c r="CB189" s="10"/>
      <c r="CC189" s="11">
        <v>0</v>
      </c>
      <c r="CD189" s="10"/>
      <c r="CE189" s="10"/>
      <c r="CF189" s="11">
        <v>0</v>
      </c>
      <c r="CG189" s="10"/>
      <c r="CH189" s="10"/>
      <c r="CI189" s="11">
        <v>0</v>
      </c>
      <c r="CJ189" s="10"/>
      <c r="CK189" s="10"/>
      <c r="CL189" s="11">
        <v>0</v>
      </c>
      <c r="CM189" s="10"/>
      <c r="CN189" s="10"/>
      <c r="CO189" s="11">
        <v>0</v>
      </c>
      <c r="CP189" s="10"/>
      <c r="CQ189" s="10"/>
      <c r="CR189" s="11">
        <v>0</v>
      </c>
      <c r="CS189" s="10"/>
      <c r="CT189" s="10"/>
      <c r="CU189" s="11">
        <v>0</v>
      </c>
      <c r="CV189" s="10"/>
      <c r="CW189" s="10"/>
      <c r="CX189" s="11">
        <v>0</v>
      </c>
      <c r="CY189" s="10"/>
      <c r="CZ189" s="10"/>
      <c r="DA189" s="11">
        <v>0</v>
      </c>
      <c r="DB189" s="10">
        <v>500000</v>
      </c>
      <c r="DC189" s="10">
        <f t="shared" si="421"/>
        <v>115400</v>
      </c>
      <c r="DD189" s="13">
        <f t="shared" ref="DD189" si="422">DC189/DB189</f>
        <v>0.23080000000000001</v>
      </c>
      <c r="DE189" s="14"/>
    </row>
    <row r="190" spans="1:109" x14ac:dyDescent="0.35">
      <c r="A190" s="8" t="s">
        <v>439</v>
      </c>
      <c r="B190" s="9" t="s">
        <v>77</v>
      </c>
      <c r="C190" s="9" t="s">
        <v>43</v>
      </c>
      <c r="D190" s="9" t="s">
        <v>440</v>
      </c>
      <c r="E190" s="9" t="s">
        <v>61</v>
      </c>
      <c r="F190" s="9" t="s">
        <v>62</v>
      </c>
      <c r="G190" s="10"/>
      <c r="H190" s="10"/>
      <c r="I190" s="11">
        <v>0</v>
      </c>
      <c r="J190" s="10"/>
      <c r="K190" s="10"/>
      <c r="L190" s="12">
        <v>0</v>
      </c>
      <c r="M190" s="10"/>
      <c r="N190" s="10"/>
      <c r="O190" s="11">
        <v>0</v>
      </c>
      <c r="P190" s="10"/>
      <c r="Q190" s="10"/>
      <c r="R190" s="11">
        <v>0</v>
      </c>
      <c r="S190" s="10"/>
      <c r="T190" s="10"/>
      <c r="U190" s="11">
        <v>0</v>
      </c>
      <c r="V190" s="10"/>
      <c r="W190" s="10">
        <v>13000</v>
      </c>
      <c r="X190" s="11">
        <v>0</v>
      </c>
      <c r="Y190" s="10"/>
      <c r="Z190" s="10"/>
      <c r="AA190" s="11"/>
      <c r="AB190" s="10"/>
      <c r="AC190" s="10"/>
      <c r="AD190" s="11">
        <v>0</v>
      </c>
      <c r="AE190" s="10"/>
      <c r="AF190" s="10"/>
      <c r="AG190" s="11">
        <v>0</v>
      </c>
      <c r="AH190" s="10"/>
      <c r="AI190" s="10"/>
      <c r="AJ190" s="11">
        <v>0</v>
      </c>
      <c r="AK190" s="10"/>
      <c r="AL190" s="10"/>
      <c r="AM190" s="11">
        <v>0</v>
      </c>
      <c r="AN190" s="10"/>
      <c r="AO190" s="10"/>
      <c r="AP190" s="11">
        <v>0</v>
      </c>
      <c r="AQ190" s="10"/>
      <c r="AR190" s="10"/>
      <c r="AS190" s="11">
        <v>0</v>
      </c>
      <c r="AT190" s="10"/>
      <c r="AU190" s="10"/>
      <c r="AV190" s="11">
        <v>0</v>
      </c>
      <c r="AW190" s="10"/>
      <c r="AX190" s="10"/>
      <c r="AY190" s="11">
        <v>0</v>
      </c>
      <c r="AZ190" s="10"/>
      <c r="BA190" s="10"/>
      <c r="BB190" s="11">
        <v>0</v>
      </c>
      <c r="BC190" s="10"/>
      <c r="BD190" s="10"/>
      <c r="BE190" s="11">
        <v>0</v>
      </c>
      <c r="BF190" s="10"/>
      <c r="BG190" s="10"/>
      <c r="BH190" s="11">
        <v>0</v>
      </c>
      <c r="BI190" s="10"/>
      <c r="BJ190" s="10"/>
      <c r="BK190" s="11">
        <v>0</v>
      </c>
      <c r="BL190" s="10"/>
      <c r="BM190" s="10"/>
      <c r="BN190" s="11">
        <v>0</v>
      </c>
      <c r="BO190" s="10"/>
      <c r="BP190" s="10"/>
      <c r="BQ190" s="11">
        <v>0</v>
      </c>
      <c r="BR190" s="10"/>
      <c r="BS190" s="10"/>
      <c r="BT190" s="11">
        <v>0</v>
      </c>
      <c r="BU190" s="10"/>
      <c r="BV190" s="10"/>
      <c r="BW190" s="11">
        <v>0</v>
      </c>
      <c r="BX190" s="10"/>
      <c r="BY190" s="10"/>
      <c r="BZ190" s="11">
        <v>0</v>
      </c>
      <c r="CA190" s="10"/>
      <c r="CB190" s="10"/>
      <c r="CC190" s="11">
        <v>0</v>
      </c>
      <c r="CD190" s="10"/>
      <c r="CE190" s="10"/>
      <c r="CF190" s="11">
        <v>0</v>
      </c>
      <c r="CG190" s="10"/>
      <c r="CH190" s="10"/>
      <c r="CI190" s="11">
        <v>0</v>
      </c>
      <c r="CJ190" s="10"/>
      <c r="CK190" s="10"/>
      <c r="CL190" s="11">
        <v>0</v>
      </c>
      <c r="CM190" s="10"/>
      <c r="CN190" s="10"/>
      <c r="CO190" s="11">
        <v>0</v>
      </c>
      <c r="CP190" s="10"/>
      <c r="CQ190" s="10"/>
      <c r="CR190" s="11">
        <v>0</v>
      </c>
      <c r="CS190" s="10"/>
      <c r="CT190" s="10"/>
      <c r="CU190" s="11">
        <v>0</v>
      </c>
      <c r="CV190" s="10"/>
      <c r="CW190" s="10"/>
      <c r="CX190" s="11">
        <v>0</v>
      </c>
      <c r="CY190" s="10"/>
      <c r="CZ190" s="10"/>
      <c r="DA190" s="11">
        <v>0</v>
      </c>
      <c r="DB190" s="10"/>
      <c r="DC190" s="10">
        <f t="shared" si="421"/>
        <v>13000</v>
      </c>
      <c r="DD190" s="13">
        <v>0</v>
      </c>
      <c r="DE190" s="14"/>
    </row>
    <row r="191" spans="1:109" x14ac:dyDescent="0.35">
      <c r="A191" s="8" t="s">
        <v>441</v>
      </c>
      <c r="B191" s="9" t="s">
        <v>442</v>
      </c>
      <c r="C191" s="9" t="s">
        <v>43</v>
      </c>
      <c r="D191" s="9" t="s">
        <v>443</v>
      </c>
      <c r="E191" s="9" t="s">
        <v>45</v>
      </c>
      <c r="F191" s="9" t="s">
        <v>46</v>
      </c>
      <c r="G191" s="10"/>
      <c r="H191" s="10"/>
      <c r="I191" s="11">
        <v>0</v>
      </c>
      <c r="J191" s="10"/>
      <c r="K191" s="10"/>
      <c r="L191" s="12">
        <v>0</v>
      </c>
      <c r="M191" s="10"/>
      <c r="N191" s="10"/>
      <c r="O191" s="11">
        <v>0</v>
      </c>
      <c r="P191" s="10"/>
      <c r="Q191" s="10"/>
      <c r="R191" s="11">
        <v>0</v>
      </c>
      <c r="S191" s="10"/>
      <c r="T191" s="10"/>
      <c r="U191" s="11">
        <v>0</v>
      </c>
      <c r="V191" s="10"/>
      <c r="W191" s="10"/>
      <c r="X191" s="11">
        <v>0</v>
      </c>
      <c r="Y191" s="10"/>
      <c r="Z191" s="10"/>
      <c r="AA191" s="11"/>
      <c r="AB191" s="10"/>
      <c r="AC191" s="10"/>
      <c r="AD191" s="11">
        <v>0</v>
      </c>
      <c r="AE191" s="10"/>
      <c r="AF191" s="10"/>
      <c r="AG191" s="11">
        <v>0</v>
      </c>
      <c r="AH191" s="10"/>
      <c r="AI191" s="10"/>
      <c r="AJ191" s="11">
        <v>0</v>
      </c>
      <c r="AK191" s="10"/>
      <c r="AL191" s="10"/>
      <c r="AM191" s="11">
        <v>0</v>
      </c>
      <c r="AN191" s="10"/>
      <c r="AO191" s="10"/>
      <c r="AP191" s="11">
        <v>0</v>
      </c>
      <c r="AQ191" s="10"/>
      <c r="AR191" s="10"/>
      <c r="AS191" s="11">
        <v>0</v>
      </c>
      <c r="AT191" s="10"/>
      <c r="AU191" s="10"/>
      <c r="AV191" s="11">
        <v>0</v>
      </c>
      <c r="AW191" s="10"/>
      <c r="AX191" s="10"/>
      <c r="AY191" s="11">
        <v>0</v>
      </c>
      <c r="AZ191" s="10"/>
      <c r="BA191" s="10"/>
      <c r="BB191" s="11">
        <v>0</v>
      </c>
      <c r="BC191" s="10"/>
      <c r="BD191" s="10"/>
      <c r="BE191" s="11">
        <v>0</v>
      </c>
      <c r="BF191" s="10"/>
      <c r="BG191" s="10"/>
      <c r="BH191" s="11">
        <v>0</v>
      </c>
      <c r="BI191" s="10"/>
      <c r="BJ191" s="10"/>
      <c r="BK191" s="11">
        <v>0</v>
      </c>
      <c r="BL191" s="10"/>
      <c r="BM191" s="10"/>
      <c r="BN191" s="11">
        <v>0</v>
      </c>
      <c r="BO191" s="10"/>
      <c r="BP191" s="10"/>
      <c r="BQ191" s="11">
        <v>0</v>
      </c>
      <c r="BR191" s="10"/>
      <c r="BS191" s="10"/>
      <c r="BT191" s="11">
        <v>0</v>
      </c>
      <c r="BU191" s="10"/>
      <c r="BV191" s="10"/>
      <c r="BW191" s="11">
        <v>0</v>
      </c>
      <c r="BX191" s="10"/>
      <c r="BY191" s="10"/>
      <c r="BZ191" s="11">
        <v>0</v>
      </c>
      <c r="CA191" s="10"/>
      <c r="CB191" s="10"/>
      <c r="CC191" s="11">
        <v>0</v>
      </c>
      <c r="CD191" s="10"/>
      <c r="CE191" s="10"/>
      <c r="CF191" s="11">
        <v>0</v>
      </c>
      <c r="CG191" s="10"/>
      <c r="CH191" s="10"/>
      <c r="CI191" s="11">
        <v>0</v>
      </c>
      <c r="CJ191" s="10"/>
      <c r="CK191" s="10"/>
      <c r="CL191" s="11">
        <v>0</v>
      </c>
      <c r="CM191" s="10"/>
      <c r="CN191" s="10"/>
      <c r="CO191" s="11">
        <v>0</v>
      </c>
      <c r="CP191" s="10"/>
      <c r="CQ191" s="10"/>
      <c r="CR191" s="11">
        <v>0</v>
      </c>
      <c r="CS191" s="10"/>
      <c r="CT191" s="10"/>
      <c r="CU191" s="11">
        <v>0</v>
      </c>
      <c r="CV191" s="10"/>
      <c r="CW191" s="10"/>
      <c r="CX191" s="11">
        <v>0</v>
      </c>
      <c r="CY191" s="10"/>
      <c r="CZ191" s="10"/>
      <c r="DA191" s="11">
        <v>0</v>
      </c>
      <c r="DB191" s="10"/>
      <c r="DC191" s="10"/>
      <c r="DD191" s="13">
        <v>0</v>
      </c>
      <c r="DE191" s="14"/>
    </row>
    <row r="192" spans="1:109" x14ac:dyDescent="0.35">
      <c r="A192" s="8" t="s">
        <v>444</v>
      </c>
      <c r="B192" s="9" t="s">
        <v>118</v>
      </c>
      <c r="C192" s="9" t="s">
        <v>43</v>
      </c>
      <c r="D192" s="9" t="s">
        <v>445</v>
      </c>
      <c r="E192" s="9" t="s">
        <v>61</v>
      </c>
      <c r="F192" s="9" t="s">
        <v>62</v>
      </c>
      <c r="G192" s="10"/>
      <c r="H192" s="10"/>
      <c r="I192" s="11">
        <v>0</v>
      </c>
      <c r="J192" s="10"/>
      <c r="K192" s="10"/>
      <c r="L192" s="12">
        <v>0</v>
      </c>
      <c r="M192" s="10"/>
      <c r="N192" s="10"/>
      <c r="O192" s="11">
        <v>0</v>
      </c>
      <c r="P192" s="10"/>
      <c r="Q192" s="10"/>
      <c r="R192" s="11">
        <v>0</v>
      </c>
      <c r="S192" s="10"/>
      <c r="T192" s="10"/>
      <c r="U192" s="11">
        <v>0</v>
      </c>
      <c r="V192" s="10">
        <v>3500000</v>
      </c>
      <c r="W192" s="10">
        <v>772300</v>
      </c>
      <c r="X192" s="11">
        <v>0.22065714285714286</v>
      </c>
      <c r="Y192" s="10"/>
      <c r="Z192" s="10"/>
      <c r="AA192" s="11"/>
      <c r="AB192" s="10"/>
      <c r="AC192" s="10"/>
      <c r="AD192" s="11">
        <v>0</v>
      </c>
      <c r="AE192" s="10"/>
      <c r="AF192" s="10"/>
      <c r="AG192" s="11">
        <v>0</v>
      </c>
      <c r="AH192" s="10"/>
      <c r="AI192" s="10"/>
      <c r="AJ192" s="11">
        <v>0</v>
      </c>
      <c r="AK192" s="10"/>
      <c r="AL192" s="10"/>
      <c r="AM192" s="11">
        <v>0</v>
      </c>
      <c r="AN192" s="10"/>
      <c r="AO192" s="10"/>
      <c r="AP192" s="11">
        <v>0</v>
      </c>
      <c r="AQ192" s="10"/>
      <c r="AR192" s="10"/>
      <c r="AS192" s="11">
        <v>0</v>
      </c>
      <c r="AT192" s="10"/>
      <c r="AU192" s="10"/>
      <c r="AV192" s="11">
        <v>0</v>
      </c>
      <c r="AW192" s="10"/>
      <c r="AX192" s="10"/>
      <c r="AY192" s="11">
        <v>0</v>
      </c>
      <c r="AZ192" s="10"/>
      <c r="BA192" s="10"/>
      <c r="BB192" s="11">
        <v>0</v>
      </c>
      <c r="BC192" s="10"/>
      <c r="BD192" s="10"/>
      <c r="BE192" s="11">
        <v>0</v>
      </c>
      <c r="BF192" s="10"/>
      <c r="BG192" s="10"/>
      <c r="BH192" s="11">
        <v>0</v>
      </c>
      <c r="BI192" s="10"/>
      <c r="BJ192" s="10"/>
      <c r="BK192" s="11">
        <v>0</v>
      </c>
      <c r="BL192" s="10"/>
      <c r="BM192" s="10"/>
      <c r="BN192" s="11">
        <v>0</v>
      </c>
      <c r="BO192" s="10"/>
      <c r="BP192" s="10"/>
      <c r="BQ192" s="11">
        <v>0</v>
      </c>
      <c r="BR192" s="10"/>
      <c r="BS192" s="10"/>
      <c r="BT192" s="11">
        <v>0</v>
      </c>
      <c r="BU192" s="10"/>
      <c r="BV192" s="10"/>
      <c r="BW192" s="11">
        <v>0</v>
      </c>
      <c r="BX192" s="10"/>
      <c r="BY192" s="10"/>
      <c r="BZ192" s="11">
        <v>0</v>
      </c>
      <c r="CA192" s="10"/>
      <c r="CB192" s="10"/>
      <c r="CC192" s="11">
        <v>0</v>
      </c>
      <c r="CD192" s="10"/>
      <c r="CE192" s="10"/>
      <c r="CF192" s="11">
        <v>0</v>
      </c>
      <c r="CG192" s="10"/>
      <c r="CH192" s="10"/>
      <c r="CI192" s="11">
        <v>0</v>
      </c>
      <c r="CJ192" s="10"/>
      <c r="CK192" s="10"/>
      <c r="CL192" s="11">
        <v>0</v>
      </c>
      <c r="CM192" s="10"/>
      <c r="CN192" s="10"/>
      <c r="CO192" s="11">
        <v>0</v>
      </c>
      <c r="CP192" s="10"/>
      <c r="CQ192" s="10"/>
      <c r="CR192" s="11">
        <v>0</v>
      </c>
      <c r="CS192" s="10"/>
      <c r="CT192" s="10"/>
      <c r="CU192" s="11">
        <v>0</v>
      </c>
      <c r="CV192" s="10"/>
      <c r="CW192" s="10"/>
      <c r="CX192" s="11">
        <v>0</v>
      </c>
      <c r="CY192" s="10"/>
      <c r="CZ192" s="10"/>
      <c r="DA192" s="11">
        <v>0</v>
      </c>
      <c r="DB192" s="10">
        <v>3500000</v>
      </c>
      <c r="DC192" s="10">
        <f t="shared" ref="DC192:DC193" si="423">SUM(H192,K192,N192,Q192,T192,W192,Z192,AC192,AF192,AI192,AL192,AO192,AR192,AU192,AX192,BA192,BD192,BG192,BJ192,BM192,BP192,BS192,BV192,BY192,CB192,CE192,CH192,CK192,CN192,CQ192,CT192,CW192,CZ192)</f>
        <v>772300</v>
      </c>
      <c r="DD192" s="13">
        <f t="shared" ref="DD192:DD193" si="424">DC192/DB192</f>
        <v>0.22065714285714286</v>
      </c>
      <c r="DE192" s="14"/>
    </row>
    <row r="193" spans="1:109" x14ac:dyDescent="0.35">
      <c r="A193" s="8" t="s">
        <v>446</v>
      </c>
      <c r="B193" s="9" t="s">
        <v>48</v>
      </c>
      <c r="C193" s="9" t="s">
        <v>43</v>
      </c>
      <c r="D193" s="9" t="s">
        <v>447</v>
      </c>
      <c r="E193" s="9" t="s">
        <v>45</v>
      </c>
      <c r="F193" s="9" t="s">
        <v>46</v>
      </c>
      <c r="G193" s="10"/>
      <c r="H193" s="10"/>
      <c r="I193" s="11">
        <v>0</v>
      </c>
      <c r="J193" s="10">
        <v>200000</v>
      </c>
      <c r="K193" s="10"/>
      <c r="L193" s="11">
        <f t="shared" ref="L193" si="425">K193/J193</f>
        <v>0</v>
      </c>
      <c r="M193" s="10"/>
      <c r="N193" s="10"/>
      <c r="O193" s="11">
        <v>0</v>
      </c>
      <c r="P193" s="10"/>
      <c r="Q193" s="10"/>
      <c r="R193" s="11">
        <v>0</v>
      </c>
      <c r="S193" s="10"/>
      <c r="T193" s="10"/>
      <c r="U193" s="11">
        <v>0</v>
      </c>
      <c r="V193" s="10"/>
      <c r="W193" s="10"/>
      <c r="X193" s="11">
        <v>0</v>
      </c>
      <c r="Y193" s="10"/>
      <c r="Z193" s="10"/>
      <c r="AA193" s="11"/>
      <c r="AB193" s="10"/>
      <c r="AC193" s="10"/>
      <c r="AD193" s="11">
        <v>0</v>
      </c>
      <c r="AE193" s="10"/>
      <c r="AF193" s="10"/>
      <c r="AG193" s="11">
        <v>0</v>
      </c>
      <c r="AH193" s="10"/>
      <c r="AI193" s="10"/>
      <c r="AJ193" s="11">
        <v>0</v>
      </c>
      <c r="AK193" s="10"/>
      <c r="AL193" s="10"/>
      <c r="AM193" s="11">
        <v>0</v>
      </c>
      <c r="AN193" s="10"/>
      <c r="AO193" s="10"/>
      <c r="AP193" s="11">
        <v>0</v>
      </c>
      <c r="AQ193" s="10"/>
      <c r="AR193" s="10"/>
      <c r="AS193" s="11">
        <v>0</v>
      </c>
      <c r="AT193" s="10"/>
      <c r="AU193" s="10"/>
      <c r="AV193" s="11">
        <v>0</v>
      </c>
      <c r="AW193" s="10"/>
      <c r="AX193" s="10">
        <v>48800</v>
      </c>
      <c r="AY193" s="11">
        <v>0</v>
      </c>
      <c r="AZ193" s="10"/>
      <c r="BA193" s="10"/>
      <c r="BB193" s="11">
        <v>0</v>
      </c>
      <c r="BC193" s="10"/>
      <c r="BD193" s="10"/>
      <c r="BE193" s="11">
        <v>0</v>
      </c>
      <c r="BF193" s="10"/>
      <c r="BG193" s="10"/>
      <c r="BH193" s="11">
        <v>0</v>
      </c>
      <c r="BI193" s="10"/>
      <c r="BJ193" s="10">
        <v>327500</v>
      </c>
      <c r="BK193" s="11">
        <v>0</v>
      </c>
      <c r="BL193" s="10"/>
      <c r="BM193" s="10"/>
      <c r="BN193" s="11">
        <v>0</v>
      </c>
      <c r="BO193" s="10">
        <v>600000</v>
      </c>
      <c r="BP193" s="10">
        <v>200580</v>
      </c>
      <c r="BQ193" s="11">
        <f t="shared" ref="BQ193" si="426">BP193/BO193</f>
        <v>0.33429999999999999</v>
      </c>
      <c r="BR193" s="10"/>
      <c r="BS193" s="10"/>
      <c r="BT193" s="11">
        <v>0</v>
      </c>
      <c r="BU193" s="10"/>
      <c r="BV193" s="10"/>
      <c r="BW193" s="11">
        <v>0</v>
      </c>
      <c r="BX193" s="10"/>
      <c r="BY193" s="10"/>
      <c r="BZ193" s="11">
        <v>0</v>
      </c>
      <c r="CA193" s="10"/>
      <c r="CB193" s="10"/>
      <c r="CC193" s="11">
        <v>0</v>
      </c>
      <c r="CD193" s="10"/>
      <c r="CE193" s="10"/>
      <c r="CF193" s="11">
        <v>0</v>
      </c>
      <c r="CG193" s="10">
        <v>200000</v>
      </c>
      <c r="CH193" s="10">
        <v>113200</v>
      </c>
      <c r="CI193" s="11">
        <f t="shared" ref="CI193" si="427">CH193/CG193</f>
        <v>0.56599999999999995</v>
      </c>
      <c r="CJ193" s="10"/>
      <c r="CK193" s="10"/>
      <c r="CL193" s="11">
        <v>0</v>
      </c>
      <c r="CM193" s="10"/>
      <c r="CN193" s="10"/>
      <c r="CO193" s="11">
        <v>0</v>
      </c>
      <c r="CP193" s="10"/>
      <c r="CQ193" s="10"/>
      <c r="CR193" s="11">
        <v>0</v>
      </c>
      <c r="CS193" s="10"/>
      <c r="CT193" s="10"/>
      <c r="CU193" s="11">
        <v>0</v>
      </c>
      <c r="CV193" s="10"/>
      <c r="CW193" s="10"/>
      <c r="CX193" s="11">
        <v>0</v>
      </c>
      <c r="CY193" s="10"/>
      <c r="CZ193" s="10"/>
      <c r="DA193" s="11">
        <v>0</v>
      </c>
      <c r="DB193" s="10">
        <v>1000000</v>
      </c>
      <c r="DC193" s="10">
        <f t="shared" si="423"/>
        <v>690080</v>
      </c>
      <c r="DD193" s="13">
        <f t="shared" si="424"/>
        <v>0.69008000000000003</v>
      </c>
      <c r="DE193" s="14"/>
    </row>
    <row r="194" spans="1:109" x14ac:dyDescent="0.35">
      <c r="A194" s="8" t="s">
        <v>449</v>
      </c>
      <c r="B194" s="9" t="s">
        <v>77</v>
      </c>
      <c r="C194" s="9" t="s">
        <v>43</v>
      </c>
      <c r="D194" s="9" t="s">
        <v>450</v>
      </c>
      <c r="E194" s="9" t="s">
        <v>61</v>
      </c>
      <c r="F194" s="9" t="s">
        <v>62</v>
      </c>
      <c r="G194" s="10"/>
      <c r="H194" s="10"/>
      <c r="I194" s="11">
        <v>0</v>
      </c>
      <c r="J194" s="10"/>
      <c r="K194" s="10"/>
      <c r="L194" s="12">
        <v>0</v>
      </c>
      <c r="M194" s="10"/>
      <c r="N194" s="10"/>
      <c r="O194" s="11">
        <v>0</v>
      </c>
      <c r="P194" s="10">
        <v>500000</v>
      </c>
      <c r="Q194" s="10">
        <v>2482200</v>
      </c>
      <c r="R194" s="11">
        <f t="shared" ref="R194:R195" si="428">Q194/P194</f>
        <v>4.9644000000000004</v>
      </c>
      <c r="S194" s="10"/>
      <c r="T194" s="10"/>
      <c r="U194" s="11">
        <v>0</v>
      </c>
      <c r="V194" s="10"/>
      <c r="W194" s="10"/>
      <c r="X194" s="11">
        <v>0</v>
      </c>
      <c r="Y194" s="10"/>
      <c r="Z194" s="10"/>
      <c r="AA194" s="11"/>
      <c r="AB194" s="10"/>
      <c r="AC194" s="10"/>
      <c r="AD194" s="11">
        <v>0</v>
      </c>
      <c r="AE194" s="10"/>
      <c r="AF194" s="10"/>
      <c r="AG194" s="11">
        <v>0</v>
      </c>
      <c r="AH194" s="10"/>
      <c r="AI194" s="10"/>
      <c r="AJ194" s="11">
        <v>0</v>
      </c>
      <c r="AK194" s="10"/>
      <c r="AL194" s="10"/>
      <c r="AM194" s="11">
        <v>0</v>
      </c>
      <c r="AN194" s="10"/>
      <c r="AO194" s="10"/>
      <c r="AP194" s="11">
        <v>0</v>
      </c>
      <c r="AQ194" s="10"/>
      <c r="AR194" s="10"/>
      <c r="AS194" s="11">
        <v>0</v>
      </c>
      <c r="AT194" s="10"/>
      <c r="AU194" s="10"/>
      <c r="AV194" s="11">
        <v>0</v>
      </c>
      <c r="AW194" s="10"/>
      <c r="AX194" s="10"/>
      <c r="AY194" s="11">
        <v>0</v>
      </c>
      <c r="AZ194" s="10"/>
      <c r="BA194" s="10"/>
      <c r="BB194" s="11">
        <v>0</v>
      </c>
      <c r="BC194" s="10"/>
      <c r="BD194" s="10"/>
      <c r="BE194" s="11">
        <v>0</v>
      </c>
      <c r="BF194" s="10"/>
      <c r="BG194" s="10"/>
      <c r="BH194" s="11">
        <v>0</v>
      </c>
      <c r="BI194" s="10"/>
      <c r="BJ194" s="10"/>
      <c r="BK194" s="11">
        <v>0</v>
      </c>
      <c r="BL194" s="10"/>
      <c r="BM194" s="10"/>
      <c r="BN194" s="11">
        <v>0</v>
      </c>
      <c r="BO194" s="10"/>
      <c r="BP194" s="10"/>
      <c r="BQ194" s="11">
        <v>0</v>
      </c>
      <c r="BR194" s="10"/>
      <c r="BS194" s="10"/>
      <c r="BT194" s="11">
        <v>0</v>
      </c>
      <c r="BU194" s="10"/>
      <c r="BV194" s="10"/>
      <c r="BW194" s="11">
        <v>0</v>
      </c>
      <c r="BX194" s="10"/>
      <c r="BY194" s="10"/>
      <c r="BZ194" s="11">
        <v>0</v>
      </c>
      <c r="CA194" s="10"/>
      <c r="CB194" s="10"/>
      <c r="CC194" s="11">
        <v>0</v>
      </c>
      <c r="CD194" s="10"/>
      <c r="CE194" s="10"/>
      <c r="CF194" s="11">
        <v>0</v>
      </c>
      <c r="CG194" s="10"/>
      <c r="CH194" s="10"/>
      <c r="CI194" s="11">
        <v>0</v>
      </c>
      <c r="CJ194" s="10"/>
      <c r="CK194" s="10"/>
      <c r="CL194" s="11">
        <v>0</v>
      </c>
      <c r="CM194" s="10"/>
      <c r="CN194" s="10"/>
      <c r="CO194" s="11">
        <v>0</v>
      </c>
      <c r="CP194" s="10"/>
      <c r="CQ194" s="10"/>
      <c r="CR194" s="11">
        <v>0</v>
      </c>
      <c r="CS194" s="10"/>
      <c r="CT194" s="10"/>
      <c r="CU194" s="11">
        <v>0</v>
      </c>
      <c r="CV194" s="10"/>
      <c r="CW194" s="10"/>
      <c r="CX194" s="11">
        <v>0</v>
      </c>
      <c r="CY194" s="10"/>
      <c r="CZ194" s="10"/>
      <c r="DA194" s="11">
        <v>0</v>
      </c>
      <c r="DB194" s="10">
        <v>500000</v>
      </c>
      <c r="DC194" s="10">
        <f t="shared" ref="DC194:DC203" si="429">SUM(H194,K194,N194,Q194,T194,W194,Z194,AC194,AF194,AI194,AL194,AO194,AR194,AU194,AX194,BA194,BD194,BG194,BJ194,BM194,BP194,BS194,BV194,BY194,CB194,CE194,CH194,CK194,CN194,CQ194,CT194,CW194,CZ194)</f>
        <v>2482200</v>
      </c>
      <c r="DD194" s="13">
        <f t="shared" ref="DD194:DD203" si="430">DC194/DB194</f>
        <v>4.9644000000000004</v>
      </c>
      <c r="DE194" s="14"/>
    </row>
    <row r="195" spans="1:109" x14ac:dyDescent="0.35">
      <c r="A195" s="8" t="s">
        <v>451</v>
      </c>
      <c r="B195" s="9" t="s">
        <v>118</v>
      </c>
      <c r="C195" s="9" t="s">
        <v>43</v>
      </c>
      <c r="D195" s="9" t="s">
        <v>452</v>
      </c>
      <c r="E195" s="9" t="s">
        <v>61</v>
      </c>
      <c r="F195" s="9" t="s">
        <v>62</v>
      </c>
      <c r="G195" s="10"/>
      <c r="H195" s="10"/>
      <c r="I195" s="11">
        <v>0</v>
      </c>
      <c r="J195" s="10"/>
      <c r="K195" s="10"/>
      <c r="L195" s="12">
        <v>0</v>
      </c>
      <c r="M195" s="10"/>
      <c r="N195" s="10"/>
      <c r="O195" s="11">
        <v>0</v>
      </c>
      <c r="P195" s="10">
        <v>800000</v>
      </c>
      <c r="Q195" s="10">
        <v>266600</v>
      </c>
      <c r="R195" s="11">
        <f t="shared" si="428"/>
        <v>0.33324999999999999</v>
      </c>
      <c r="S195" s="10"/>
      <c r="T195" s="10"/>
      <c r="U195" s="11">
        <v>0</v>
      </c>
      <c r="V195" s="10"/>
      <c r="W195" s="10"/>
      <c r="X195" s="11">
        <v>0</v>
      </c>
      <c r="Y195" s="10"/>
      <c r="Z195" s="10"/>
      <c r="AA195" s="11"/>
      <c r="AB195" s="10"/>
      <c r="AC195" s="10"/>
      <c r="AD195" s="11">
        <v>0</v>
      </c>
      <c r="AE195" s="10"/>
      <c r="AF195" s="10"/>
      <c r="AG195" s="11">
        <v>0</v>
      </c>
      <c r="AH195" s="10"/>
      <c r="AI195" s="10"/>
      <c r="AJ195" s="11">
        <v>0</v>
      </c>
      <c r="AK195" s="10"/>
      <c r="AL195" s="10"/>
      <c r="AM195" s="11">
        <v>0</v>
      </c>
      <c r="AN195" s="10"/>
      <c r="AO195" s="10"/>
      <c r="AP195" s="11">
        <v>0</v>
      </c>
      <c r="AQ195" s="10"/>
      <c r="AR195" s="10"/>
      <c r="AS195" s="11">
        <v>0</v>
      </c>
      <c r="AT195" s="10"/>
      <c r="AU195" s="10"/>
      <c r="AV195" s="11">
        <v>0</v>
      </c>
      <c r="AW195" s="10"/>
      <c r="AX195" s="10"/>
      <c r="AY195" s="11">
        <v>0</v>
      </c>
      <c r="AZ195" s="10"/>
      <c r="BA195" s="10"/>
      <c r="BB195" s="11">
        <v>0</v>
      </c>
      <c r="BC195" s="10"/>
      <c r="BD195" s="10"/>
      <c r="BE195" s="11">
        <v>0</v>
      </c>
      <c r="BF195" s="10"/>
      <c r="BG195" s="10"/>
      <c r="BH195" s="11">
        <v>0</v>
      </c>
      <c r="BI195" s="10"/>
      <c r="BJ195" s="10"/>
      <c r="BK195" s="11">
        <v>0</v>
      </c>
      <c r="BL195" s="10"/>
      <c r="BM195" s="10"/>
      <c r="BN195" s="11">
        <v>0</v>
      </c>
      <c r="BO195" s="10"/>
      <c r="BP195" s="10"/>
      <c r="BQ195" s="11">
        <v>0</v>
      </c>
      <c r="BR195" s="10"/>
      <c r="BS195" s="10"/>
      <c r="BT195" s="11">
        <v>0</v>
      </c>
      <c r="BU195" s="10"/>
      <c r="BV195" s="10"/>
      <c r="BW195" s="11">
        <v>0</v>
      </c>
      <c r="BX195" s="10"/>
      <c r="BY195" s="10"/>
      <c r="BZ195" s="11">
        <v>0</v>
      </c>
      <c r="CA195" s="10"/>
      <c r="CB195" s="10"/>
      <c r="CC195" s="11">
        <v>0</v>
      </c>
      <c r="CD195" s="10"/>
      <c r="CE195" s="10"/>
      <c r="CF195" s="11">
        <v>0</v>
      </c>
      <c r="CG195" s="10"/>
      <c r="CH195" s="10"/>
      <c r="CI195" s="11">
        <v>0</v>
      </c>
      <c r="CJ195" s="10"/>
      <c r="CK195" s="10"/>
      <c r="CL195" s="11">
        <v>0</v>
      </c>
      <c r="CM195" s="10"/>
      <c r="CN195" s="10"/>
      <c r="CO195" s="11">
        <v>0</v>
      </c>
      <c r="CP195" s="10"/>
      <c r="CQ195" s="10"/>
      <c r="CR195" s="11">
        <v>0</v>
      </c>
      <c r="CS195" s="10"/>
      <c r="CT195" s="10"/>
      <c r="CU195" s="11">
        <v>0</v>
      </c>
      <c r="CV195" s="10"/>
      <c r="CW195" s="10"/>
      <c r="CX195" s="11">
        <v>0</v>
      </c>
      <c r="CY195" s="10"/>
      <c r="CZ195" s="10"/>
      <c r="DA195" s="11">
        <v>0</v>
      </c>
      <c r="DB195" s="10">
        <v>800000</v>
      </c>
      <c r="DC195" s="10">
        <f t="shared" si="429"/>
        <v>266600</v>
      </c>
      <c r="DD195" s="13">
        <f t="shared" si="430"/>
        <v>0.33324999999999999</v>
      </c>
      <c r="DE195" s="14"/>
    </row>
    <row r="196" spans="1:109" x14ac:dyDescent="0.35">
      <c r="A196" s="8" t="s">
        <v>453</v>
      </c>
      <c r="B196" s="9" t="s">
        <v>108</v>
      </c>
      <c r="C196" s="9" t="s">
        <v>52</v>
      </c>
      <c r="D196" s="9" t="s">
        <v>454</v>
      </c>
      <c r="E196" s="9" t="s">
        <v>54</v>
      </c>
      <c r="F196" s="9" t="s">
        <v>55</v>
      </c>
      <c r="G196" s="10"/>
      <c r="H196" s="10"/>
      <c r="I196" s="11">
        <v>0</v>
      </c>
      <c r="J196" s="10"/>
      <c r="K196" s="10"/>
      <c r="L196" s="12">
        <v>0</v>
      </c>
      <c r="M196" s="10">
        <v>150000</v>
      </c>
      <c r="N196" s="10">
        <v>34520</v>
      </c>
      <c r="O196" s="11">
        <f t="shared" ref="O196:O202" si="431">N196/M196</f>
        <v>0.23013333333333333</v>
      </c>
      <c r="P196" s="10"/>
      <c r="Q196" s="10"/>
      <c r="R196" s="11">
        <v>0</v>
      </c>
      <c r="S196" s="10">
        <v>50000</v>
      </c>
      <c r="T196" s="10"/>
      <c r="U196" s="11">
        <f t="shared" ref="U196" si="432">T196/S196</f>
        <v>0</v>
      </c>
      <c r="V196" s="10"/>
      <c r="W196" s="10"/>
      <c r="X196" s="11">
        <v>0</v>
      </c>
      <c r="Y196" s="10"/>
      <c r="Z196" s="10">
        <v>57700</v>
      </c>
      <c r="AA196" s="11"/>
      <c r="AB196" s="10">
        <v>50000</v>
      </c>
      <c r="AC196" s="10">
        <v>2775</v>
      </c>
      <c r="AD196" s="11">
        <v>5.5500000000000001E-2</v>
      </c>
      <c r="AE196" s="10">
        <v>100000</v>
      </c>
      <c r="AF196" s="10">
        <v>3750</v>
      </c>
      <c r="AG196" s="11">
        <f t="shared" ref="AG196:AG199" si="433">AF196/AE196</f>
        <v>3.7499999999999999E-2</v>
      </c>
      <c r="AH196" s="10"/>
      <c r="AI196" s="10"/>
      <c r="AJ196" s="11">
        <v>0</v>
      </c>
      <c r="AK196" s="10"/>
      <c r="AL196" s="10"/>
      <c r="AM196" s="11">
        <v>0</v>
      </c>
      <c r="AN196" s="10"/>
      <c r="AO196" s="10"/>
      <c r="AP196" s="11">
        <v>0</v>
      </c>
      <c r="AQ196" s="10"/>
      <c r="AR196" s="10"/>
      <c r="AS196" s="11">
        <v>0</v>
      </c>
      <c r="AT196" s="10"/>
      <c r="AU196" s="10">
        <v>10100</v>
      </c>
      <c r="AV196" s="11">
        <v>0</v>
      </c>
      <c r="AW196" s="10"/>
      <c r="AX196" s="10"/>
      <c r="AY196" s="11">
        <v>0</v>
      </c>
      <c r="AZ196" s="10"/>
      <c r="BA196" s="10"/>
      <c r="BB196" s="11">
        <v>0</v>
      </c>
      <c r="BC196" s="10">
        <v>73726</v>
      </c>
      <c r="BD196" s="10">
        <v>10500</v>
      </c>
      <c r="BE196" s="11">
        <f t="shared" ref="BE196:BE200" si="434">BD196/BC196</f>
        <v>0.14241922795214715</v>
      </c>
      <c r="BF196" s="10"/>
      <c r="BG196" s="10"/>
      <c r="BH196" s="11">
        <v>0</v>
      </c>
      <c r="BI196" s="10"/>
      <c r="BJ196" s="10"/>
      <c r="BK196" s="11">
        <v>0</v>
      </c>
      <c r="BL196" s="10"/>
      <c r="BM196" s="10"/>
      <c r="BN196" s="11">
        <v>0</v>
      </c>
      <c r="BO196" s="10">
        <v>50000</v>
      </c>
      <c r="BP196" s="10"/>
      <c r="BQ196" s="11">
        <f t="shared" ref="BQ196:BQ202" si="435">BP196/BO196</f>
        <v>0</v>
      </c>
      <c r="BR196" s="10"/>
      <c r="BS196" s="10"/>
      <c r="BT196" s="11">
        <v>0</v>
      </c>
      <c r="BU196" s="10"/>
      <c r="BV196" s="10"/>
      <c r="BW196" s="11">
        <v>0</v>
      </c>
      <c r="BX196" s="10"/>
      <c r="BY196" s="10"/>
      <c r="BZ196" s="11">
        <v>0</v>
      </c>
      <c r="CA196" s="10"/>
      <c r="CB196" s="10"/>
      <c r="CC196" s="11">
        <v>0</v>
      </c>
      <c r="CD196" s="10"/>
      <c r="CE196" s="10"/>
      <c r="CF196" s="11">
        <v>0</v>
      </c>
      <c r="CG196" s="10"/>
      <c r="CH196" s="10"/>
      <c r="CI196" s="11">
        <v>0</v>
      </c>
      <c r="CJ196" s="10"/>
      <c r="CK196" s="10"/>
      <c r="CL196" s="11">
        <v>0</v>
      </c>
      <c r="CM196" s="10"/>
      <c r="CN196" s="10"/>
      <c r="CO196" s="11">
        <v>0</v>
      </c>
      <c r="CP196" s="10"/>
      <c r="CQ196" s="10"/>
      <c r="CR196" s="11">
        <v>0</v>
      </c>
      <c r="CS196" s="10"/>
      <c r="CT196" s="10"/>
      <c r="CU196" s="11">
        <v>0</v>
      </c>
      <c r="CV196" s="10"/>
      <c r="CW196" s="10"/>
      <c r="CX196" s="11">
        <v>0</v>
      </c>
      <c r="CY196" s="10"/>
      <c r="CZ196" s="10"/>
      <c r="DA196" s="11">
        <v>0</v>
      </c>
      <c r="DB196" s="10">
        <v>473726</v>
      </c>
      <c r="DC196" s="10">
        <f t="shared" si="429"/>
        <v>119345</v>
      </c>
      <c r="DD196" s="13">
        <f t="shared" si="430"/>
        <v>0.25192832987845293</v>
      </c>
      <c r="DE196" s="14"/>
    </row>
    <row r="197" spans="1:109" x14ac:dyDescent="0.35">
      <c r="A197" s="8" t="s">
        <v>455</v>
      </c>
      <c r="B197" s="9" t="s">
        <v>51</v>
      </c>
      <c r="C197" s="9" t="s">
        <v>52</v>
      </c>
      <c r="D197" s="9" t="s">
        <v>456</v>
      </c>
      <c r="E197" s="9" t="s">
        <v>54</v>
      </c>
      <c r="F197" s="9" t="s">
        <v>55</v>
      </c>
      <c r="G197" s="10"/>
      <c r="H197" s="10"/>
      <c r="I197" s="11">
        <v>0</v>
      </c>
      <c r="J197" s="10"/>
      <c r="K197" s="10"/>
      <c r="L197" s="12">
        <v>0</v>
      </c>
      <c r="M197" s="10">
        <v>56000</v>
      </c>
      <c r="N197" s="10"/>
      <c r="O197" s="11">
        <f t="shared" si="431"/>
        <v>0</v>
      </c>
      <c r="P197" s="10"/>
      <c r="Q197" s="10"/>
      <c r="R197" s="11">
        <v>0</v>
      </c>
      <c r="S197" s="10"/>
      <c r="T197" s="10"/>
      <c r="U197" s="11">
        <v>0</v>
      </c>
      <c r="V197" s="10"/>
      <c r="W197" s="10"/>
      <c r="X197" s="11">
        <v>0</v>
      </c>
      <c r="Y197" s="10">
        <v>70000</v>
      </c>
      <c r="Z197" s="10">
        <v>167000</v>
      </c>
      <c r="AA197" s="11">
        <f t="shared" ref="AA197" si="436">Z197/Y197</f>
        <v>2.3857142857142857</v>
      </c>
      <c r="AB197" s="10">
        <v>350000</v>
      </c>
      <c r="AC197" s="10"/>
      <c r="AD197" s="11">
        <v>0</v>
      </c>
      <c r="AE197" s="10"/>
      <c r="AF197" s="10">
        <v>27000</v>
      </c>
      <c r="AG197" s="11">
        <v>0</v>
      </c>
      <c r="AH197" s="10"/>
      <c r="AI197" s="10"/>
      <c r="AJ197" s="11">
        <v>0</v>
      </c>
      <c r="AK197" s="10"/>
      <c r="AL197" s="10"/>
      <c r="AM197" s="11">
        <v>0</v>
      </c>
      <c r="AN197" s="10"/>
      <c r="AO197" s="10"/>
      <c r="AP197" s="11">
        <v>0</v>
      </c>
      <c r="AQ197" s="10">
        <v>600000</v>
      </c>
      <c r="AR197" s="10"/>
      <c r="AS197" s="11">
        <f t="shared" ref="AS197" si="437">AR197/AQ197</f>
        <v>0</v>
      </c>
      <c r="AT197" s="10"/>
      <c r="AU197" s="10"/>
      <c r="AV197" s="11">
        <v>0</v>
      </c>
      <c r="AW197" s="10"/>
      <c r="AX197" s="10"/>
      <c r="AY197" s="11">
        <v>0</v>
      </c>
      <c r="AZ197" s="10"/>
      <c r="BA197" s="10"/>
      <c r="BB197" s="11">
        <v>0</v>
      </c>
      <c r="BC197" s="10">
        <v>59830</v>
      </c>
      <c r="BD197" s="10"/>
      <c r="BE197" s="11">
        <f t="shared" si="434"/>
        <v>0</v>
      </c>
      <c r="BF197" s="10"/>
      <c r="BG197" s="10"/>
      <c r="BH197" s="11">
        <v>0</v>
      </c>
      <c r="BI197" s="10"/>
      <c r="BJ197" s="10"/>
      <c r="BK197" s="11">
        <v>0</v>
      </c>
      <c r="BL197" s="10"/>
      <c r="BM197" s="10"/>
      <c r="BN197" s="11">
        <v>0</v>
      </c>
      <c r="BO197" s="10"/>
      <c r="BP197" s="10"/>
      <c r="BQ197" s="11">
        <v>0</v>
      </c>
      <c r="BR197" s="10"/>
      <c r="BS197" s="10"/>
      <c r="BT197" s="11">
        <v>0</v>
      </c>
      <c r="BU197" s="10"/>
      <c r="BV197" s="10">
        <v>14300</v>
      </c>
      <c r="BW197" s="11">
        <v>0</v>
      </c>
      <c r="BX197" s="10"/>
      <c r="BY197" s="10"/>
      <c r="BZ197" s="11">
        <v>0</v>
      </c>
      <c r="CA197" s="10"/>
      <c r="CB197" s="10"/>
      <c r="CC197" s="11">
        <v>0</v>
      </c>
      <c r="CD197" s="10"/>
      <c r="CE197" s="10"/>
      <c r="CF197" s="11">
        <v>0</v>
      </c>
      <c r="CG197" s="10">
        <v>60000</v>
      </c>
      <c r="CH197" s="10"/>
      <c r="CI197" s="11">
        <f t="shared" ref="CI197:CI198" si="438">CH197/CG197</f>
        <v>0</v>
      </c>
      <c r="CJ197" s="10"/>
      <c r="CK197" s="10"/>
      <c r="CL197" s="11">
        <v>0</v>
      </c>
      <c r="CM197" s="10"/>
      <c r="CN197" s="10"/>
      <c r="CO197" s="11">
        <v>0</v>
      </c>
      <c r="CP197" s="10"/>
      <c r="CQ197" s="10"/>
      <c r="CR197" s="11">
        <v>0</v>
      </c>
      <c r="CS197" s="10"/>
      <c r="CT197" s="10">
        <v>75000</v>
      </c>
      <c r="CU197" s="11">
        <v>0</v>
      </c>
      <c r="CV197" s="10"/>
      <c r="CW197" s="10"/>
      <c r="CX197" s="11">
        <v>0</v>
      </c>
      <c r="CY197" s="10"/>
      <c r="CZ197" s="10"/>
      <c r="DA197" s="11">
        <v>0</v>
      </c>
      <c r="DB197" s="10">
        <v>1195830</v>
      </c>
      <c r="DC197" s="10">
        <f t="shared" si="429"/>
        <v>283300</v>
      </c>
      <c r="DD197" s="13">
        <f t="shared" si="430"/>
        <v>0.23690658371173159</v>
      </c>
      <c r="DE197" s="14"/>
    </row>
    <row r="198" spans="1:109" x14ac:dyDescent="0.35">
      <c r="A198" s="8" t="s">
        <v>457</v>
      </c>
      <c r="B198" s="9" t="s">
        <v>42</v>
      </c>
      <c r="C198" s="9" t="s">
        <v>43</v>
      </c>
      <c r="D198" s="9" t="s">
        <v>458</v>
      </c>
      <c r="E198" s="9" t="s">
        <v>45</v>
      </c>
      <c r="F198" s="9" t="s">
        <v>46</v>
      </c>
      <c r="G198" s="10"/>
      <c r="H198" s="10"/>
      <c r="I198" s="11">
        <v>0</v>
      </c>
      <c r="J198" s="10"/>
      <c r="K198" s="10"/>
      <c r="L198" s="12">
        <v>0</v>
      </c>
      <c r="M198" s="10">
        <v>300000</v>
      </c>
      <c r="N198" s="10">
        <v>82000</v>
      </c>
      <c r="O198" s="11">
        <f t="shared" si="431"/>
        <v>0.27333333333333332</v>
      </c>
      <c r="P198" s="10"/>
      <c r="Q198" s="10"/>
      <c r="R198" s="11">
        <v>0</v>
      </c>
      <c r="S198" s="10"/>
      <c r="T198" s="10">
        <v>84000</v>
      </c>
      <c r="U198" s="11">
        <v>0</v>
      </c>
      <c r="V198" s="10"/>
      <c r="W198" s="10"/>
      <c r="X198" s="11">
        <v>0</v>
      </c>
      <c r="Y198" s="10"/>
      <c r="Z198" s="10"/>
      <c r="AA198" s="11"/>
      <c r="AB198" s="10"/>
      <c r="AC198" s="10"/>
      <c r="AD198" s="11">
        <v>0</v>
      </c>
      <c r="AE198" s="10"/>
      <c r="AF198" s="10"/>
      <c r="AG198" s="11">
        <v>0</v>
      </c>
      <c r="AH198" s="10"/>
      <c r="AI198" s="10"/>
      <c r="AJ198" s="11">
        <v>0</v>
      </c>
      <c r="AK198" s="10"/>
      <c r="AL198" s="10"/>
      <c r="AM198" s="11">
        <v>0</v>
      </c>
      <c r="AN198" s="10"/>
      <c r="AO198" s="10"/>
      <c r="AP198" s="11">
        <v>0</v>
      </c>
      <c r="AQ198" s="10"/>
      <c r="AR198" s="10"/>
      <c r="AS198" s="11">
        <v>0</v>
      </c>
      <c r="AT198" s="10"/>
      <c r="AU198" s="10"/>
      <c r="AV198" s="11">
        <v>0</v>
      </c>
      <c r="AW198" s="10"/>
      <c r="AX198" s="10"/>
      <c r="AY198" s="11">
        <v>0</v>
      </c>
      <c r="AZ198" s="10">
        <v>330800</v>
      </c>
      <c r="BA198" s="10"/>
      <c r="BB198" s="11">
        <f t="shared" ref="BB198" si="439">BA198/AZ198</f>
        <v>0</v>
      </c>
      <c r="BC198" s="10"/>
      <c r="BD198" s="10"/>
      <c r="BE198" s="11">
        <v>0</v>
      </c>
      <c r="BF198" s="10"/>
      <c r="BG198" s="10"/>
      <c r="BH198" s="11">
        <v>0</v>
      </c>
      <c r="BI198" s="10"/>
      <c r="BJ198" s="10"/>
      <c r="BK198" s="11">
        <v>0</v>
      </c>
      <c r="BL198" s="10"/>
      <c r="BM198" s="10"/>
      <c r="BN198" s="11">
        <v>0</v>
      </c>
      <c r="BO198" s="10"/>
      <c r="BP198" s="10"/>
      <c r="BQ198" s="11">
        <v>0</v>
      </c>
      <c r="BR198" s="10"/>
      <c r="BS198" s="10"/>
      <c r="BT198" s="11">
        <v>0</v>
      </c>
      <c r="BU198" s="10"/>
      <c r="BV198" s="10"/>
      <c r="BW198" s="11">
        <v>0</v>
      </c>
      <c r="BX198" s="10"/>
      <c r="BY198" s="10"/>
      <c r="BZ198" s="11">
        <v>0</v>
      </c>
      <c r="CA198" s="10"/>
      <c r="CB198" s="10"/>
      <c r="CC198" s="11">
        <v>0</v>
      </c>
      <c r="CD198" s="10"/>
      <c r="CE198" s="10"/>
      <c r="CF198" s="11">
        <v>0</v>
      </c>
      <c r="CG198" s="10">
        <v>600000</v>
      </c>
      <c r="CH198" s="10"/>
      <c r="CI198" s="11">
        <f t="shared" si="438"/>
        <v>0</v>
      </c>
      <c r="CJ198" s="10"/>
      <c r="CK198" s="10"/>
      <c r="CL198" s="11">
        <v>0</v>
      </c>
      <c r="CM198" s="10"/>
      <c r="CN198" s="10"/>
      <c r="CO198" s="11">
        <v>0</v>
      </c>
      <c r="CP198" s="10"/>
      <c r="CQ198" s="10"/>
      <c r="CR198" s="11">
        <v>0</v>
      </c>
      <c r="CS198" s="10"/>
      <c r="CT198" s="10">
        <v>60000</v>
      </c>
      <c r="CU198" s="11">
        <v>0</v>
      </c>
      <c r="CV198" s="10"/>
      <c r="CW198" s="10"/>
      <c r="CX198" s="11">
        <v>0</v>
      </c>
      <c r="CY198" s="10"/>
      <c r="CZ198" s="10"/>
      <c r="DA198" s="11">
        <v>0</v>
      </c>
      <c r="DB198" s="10">
        <v>1230800</v>
      </c>
      <c r="DC198" s="10">
        <f t="shared" si="429"/>
        <v>226000</v>
      </c>
      <c r="DD198" s="13">
        <f t="shared" si="430"/>
        <v>0.18362040948976274</v>
      </c>
      <c r="DE198" s="14"/>
    </row>
    <row r="199" spans="1:109" x14ac:dyDescent="0.35">
      <c r="A199" s="8" t="s">
        <v>459</v>
      </c>
      <c r="B199" s="9" t="s">
        <v>51</v>
      </c>
      <c r="C199" s="9" t="s">
        <v>52</v>
      </c>
      <c r="D199" s="9" t="s">
        <v>460</v>
      </c>
      <c r="E199" s="9" t="s">
        <v>54</v>
      </c>
      <c r="F199" s="9" t="s">
        <v>55</v>
      </c>
      <c r="G199" s="10"/>
      <c r="H199" s="10"/>
      <c r="I199" s="11">
        <v>0</v>
      </c>
      <c r="J199" s="10"/>
      <c r="K199" s="10"/>
      <c r="L199" s="12">
        <v>0</v>
      </c>
      <c r="M199" s="10"/>
      <c r="N199" s="10"/>
      <c r="O199" s="11">
        <v>0</v>
      </c>
      <c r="P199" s="10"/>
      <c r="Q199" s="10"/>
      <c r="R199" s="11">
        <v>0</v>
      </c>
      <c r="S199" s="10"/>
      <c r="T199" s="10"/>
      <c r="U199" s="11">
        <v>0</v>
      </c>
      <c r="V199" s="10"/>
      <c r="W199" s="10"/>
      <c r="X199" s="11">
        <v>0</v>
      </c>
      <c r="Y199" s="10"/>
      <c r="Z199" s="10"/>
      <c r="AA199" s="11"/>
      <c r="AB199" s="10"/>
      <c r="AC199" s="10"/>
      <c r="AD199" s="11">
        <v>0</v>
      </c>
      <c r="AE199" s="10">
        <v>100000</v>
      </c>
      <c r="AF199" s="10"/>
      <c r="AG199" s="11">
        <f t="shared" si="433"/>
        <v>0</v>
      </c>
      <c r="AH199" s="10"/>
      <c r="AI199" s="10"/>
      <c r="AJ199" s="11">
        <v>0</v>
      </c>
      <c r="AK199" s="10"/>
      <c r="AL199" s="10"/>
      <c r="AM199" s="11">
        <v>0</v>
      </c>
      <c r="AN199" s="10"/>
      <c r="AO199" s="10"/>
      <c r="AP199" s="11">
        <v>0</v>
      </c>
      <c r="AQ199" s="10"/>
      <c r="AR199" s="10"/>
      <c r="AS199" s="11">
        <v>0</v>
      </c>
      <c r="AT199" s="10"/>
      <c r="AU199" s="10"/>
      <c r="AV199" s="11">
        <v>0</v>
      </c>
      <c r="AW199" s="10"/>
      <c r="AX199" s="10"/>
      <c r="AY199" s="11">
        <v>0</v>
      </c>
      <c r="AZ199" s="10"/>
      <c r="BA199" s="10"/>
      <c r="BB199" s="11">
        <v>0</v>
      </c>
      <c r="BC199" s="10"/>
      <c r="BD199" s="10"/>
      <c r="BE199" s="11">
        <v>0</v>
      </c>
      <c r="BF199" s="10"/>
      <c r="BG199" s="10"/>
      <c r="BH199" s="11">
        <v>0</v>
      </c>
      <c r="BI199" s="10"/>
      <c r="BJ199" s="10"/>
      <c r="BK199" s="11">
        <v>0</v>
      </c>
      <c r="BL199" s="10"/>
      <c r="BM199" s="10"/>
      <c r="BN199" s="11">
        <v>0</v>
      </c>
      <c r="BO199" s="10"/>
      <c r="BP199" s="10"/>
      <c r="BQ199" s="11">
        <v>0</v>
      </c>
      <c r="BR199" s="10"/>
      <c r="BS199" s="10"/>
      <c r="BT199" s="11">
        <v>0</v>
      </c>
      <c r="BU199" s="10"/>
      <c r="BV199" s="10"/>
      <c r="BW199" s="11">
        <v>0</v>
      </c>
      <c r="BX199" s="10"/>
      <c r="BY199" s="10"/>
      <c r="BZ199" s="11">
        <v>0</v>
      </c>
      <c r="CA199" s="10"/>
      <c r="CB199" s="10"/>
      <c r="CC199" s="11">
        <v>0</v>
      </c>
      <c r="CD199" s="10"/>
      <c r="CE199" s="10"/>
      <c r="CF199" s="11">
        <v>0</v>
      </c>
      <c r="CG199" s="10"/>
      <c r="CH199" s="10"/>
      <c r="CI199" s="11">
        <v>0</v>
      </c>
      <c r="CJ199" s="10"/>
      <c r="CK199" s="10"/>
      <c r="CL199" s="11">
        <v>0</v>
      </c>
      <c r="CM199" s="10"/>
      <c r="CN199" s="10"/>
      <c r="CO199" s="11">
        <v>0</v>
      </c>
      <c r="CP199" s="10"/>
      <c r="CQ199" s="10"/>
      <c r="CR199" s="11">
        <v>0</v>
      </c>
      <c r="CS199" s="10"/>
      <c r="CT199" s="10"/>
      <c r="CU199" s="11">
        <v>0</v>
      </c>
      <c r="CV199" s="10"/>
      <c r="CW199" s="10"/>
      <c r="CX199" s="11">
        <v>0</v>
      </c>
      <c r="CY199" s="10"/>
      <c r="CZ199" s="10"/>
      <c r="DA199" s="11">
        <v>0</v>
      </c>
      <c r="DB199" s="10">
        <v>100000</v>
      </c>
      <c r="DC199" s="10"/>
      <c r="DD199" s="15">
        <f t="shared" si="430"/>
        <v>0</v>
      </c>
      <c r="DE199" s="16"/>
    </row>
    <row r="200" spans="1:109" x14ac:dyDescent="0.35">
      <c r="A200" s="8" t="s">
        <v>461</v>
      </c>
      <c r="B200" s="9" t="s">
        <v>172</v>
      </c>
      <c r="C200" s="9" t="s">
        <v>52</v>
      </c>
      <c r="D200" s="9" t="s">
        <v>462</v>
      </c>
      <c r="E200" s="9" t="s">
        <v>54</v>
      </c>
      <c r="F200" s="9" t="s">
        <v>55</v>
      </c>
      <c r="G200" s="10"/>
      <c r="H200" s="10">
        <v>43500</v>
      </c>
      <c r="I200" s="11">
        <v>0</v>
      </c>
      <c r="J200" s="10"/>
      <c r="K200" s="10"/>
      <c r="L200" s="12">
        <v>0</v>
      </c>
      <c r="M200" s="10"/>
      <c r="N200" s="10"/>
      <c r="O200" s="11">
        <v>0</v>
      </c>
      <c r="P200" s="10"/>
      <c r="Q200" s="10"/>
      <c r="R200" s="11">
        <v>0</v>
      </c>
      <c r="S200" s="10"/>
      <c r="T200" s="10"/>
      <c r="U200" s="11">
        <v>0</v>
      </c>
      <c r="V200" s="10"/>
      <c r="W200" s="10"/>
      <c r="X200" s="11">
        <v>0</v>
      </c>
      <c r="Y200" s="10"/>
      <c r="Z200" s="10"/>
      <c r="AA200" s="11"/>
      <c r="AB200" s="10">
        <v>15000</v>
      </c>
      <c r="AC200" s="10"/>
      <c r="AD200" s="11">
        <v>0</v>
      </c>
      <c r="AE200" s="10"/>
      <c r="AF200" s="10"/>
      <c r="AG200" s="11">
        <v>0</v>
      </c>
      <c r="AH200" s="10"/>
      <c r="AI200" s="10"/>
      <c r="AJ200" s="11">
        <v>0</v>
      </c>
      <c r="AK200" s="10">
        <v>200000</v>
      </c>
      <c r="AL200" s="10">
        <v>28000</v>
      </c>
      <c r="AM200" s="11">
        <f t="shared" ref="AM200" si="440">AL200/AK200</f>
        <v>0.14000000000000001</v>
      </c>
      <c r="AN200" s="10"/>
      <c r="AO200" s="10"/>
      <c r="AP200" s="11">
        <v>0</v>
      </c>
      <c r="AQ200" s="10"/>
      <c r="AR200" s="10"/>
      <c r="AS200" s="11">
        <v>0</v>
      </c>
      <c r="AT200" s="10"/>
      <c r="AU200" s="10">
        <v>53690</v>
      </c>
      <c r="AV200" s="11">
        <v>0</v>
      </c>
      <c r="AW200" s="10"/>
      <c r="AX200" s="10"/>
      <c r="AY200" s="11">
        <v>0</v>
      </c>
      <c r="AZ200" s="10"/>
      <c r="BA200" s="10"/>
      <c r="BB200" s="11">
        <v>0</v>
      </c>
      <c r="BC200" s="10">
        <v>15440</v>
      </c>
      <c r="BD200" s="10"/>
      <c r="BE200" s="11">
        <f t="shared" si="434"/>
        <v>0</v>
      </c>
      <c r="BF200" s="10"/>
      <c r="BG200" s="10">
        <f>VLOOKUP(A:A,'[1]2026 Customer Brand Sales'!$A:$BA,53,0)</f>
        <v>83420</v>
      </c>
      <c r="BH200" s="11">
        <v>0</v>
      </c>
      <c r="BI200" s="10"/>
      <c r="BJ200" s="10"/>
      <c r="BK200" s="11">
        <v>0</v>
      </c>
      <c r="BL200" s="10"/>
      <c r="BM200" s="10"/>
      <c r="BN200" s="11">
        <v>0</v>
      </c>
      <c r="BO200" s="10"/>
      <c r="BP200" s="10"/>
      <c r="BQ200" s="11">
        <v>0</v>
      </c>
      <c r="BR200" s="10"/>
      <c r="BS200" s="10"/>
      <c r="BT200" s="11">
        <v>0</v>
      </c>
      <c r="BU200" s="10"/>
      <c r="BV200" s="10">
        <v>1100</v>
      </c>
      <c r="BW200" s="11">
        <v>0</v>
      </c>
      <c r="BX200" s="10"/>
      <c r="BY200" s="10"/>
      <c r="BZ200" s="11">
        <v>0</v>
      </c>
      <c r="CA200" s="10"/>
      <c r="CB200" s="10"/>
      <c r="CC200" s="11">
        <v>0</v>
      </c>
      <c r="CD200" s="10"/>
      <c r="CE200" s="10"/>
      <c r="CF200" s="11">
        <v>0</v>
      </c>
      <c r="CG200" s="10"/>
      <c r="CH200" s="10"/>
      <c r="CI200" s="11">
        <v>0</v>
      </c>
      <c r="CJ200" s="10"/>
      <c r="CK200" s="10"/>
      <c r="CL200" s="11">
        <v>0</v>
      </c>
      <c r="CM200" s="10"/>
      <c r="CN200" s="10"/>
      <c r="CO200" s="11">
        <v>0</v>
      </c>
      <c r="CP200" s="10"/>
      <c r="CQ200" s="10"/>
      <c r="CR200" s="11">
        <v>0</v>
      </c>
      <c r="CS200" s="10"/>
      <c r="CT200" s="10"/>
      <c r="CU200" s="11">
        <v>0</v>
      </c>
      <c r="CV200" s="10"/>
      <c r="CW200" s="10"/>
      <c r="CX200" s="11">
        <v>0</v>
      </c>
      <c r="CY200" s="10"/>
      <c r="CZ200" s="10"/>
      <c r="DA200" s="11">
        <v>0</v>
      </c>
      <c r="DB200" s="10">
        <v>230440</v>
      </c>
      <c r="DC200" s="10">
        <f t="shared" si="429"/>
        <v>209710</v>
      </c>
      <c r="DD200" s="13">
        <f t="shared" si="430"/>
        <v>0.91004165943412607</v>
      </c>
      <c r="DE200" s="14"/>
    </row>
    <row r="201" spans="1:109" x14ac:dyDescent="0.35">
      <c r="A201" s="8" t="s">
        <v>463</v>
      </c>
      <c r="B201" s="9" t="s">
        <v>108</v>
      </c>
      <c r="C201" s="9" t="s">
        <v>52</v>
      </c>
      <c r="D201" s="9" t="s">
        <v>464</v>
      </c>
      <c r="E201" s="9" t="s">
        <v>54</v>
      </c>
      <c r="F201" s="9" t="s">
        <v>55</v>
      </c>
      <c r="G201" s="10"/>
      <c r="H201" s="10"/>
      <c r="I201" s="11">
        <v>0</v>
      </c>
      <c r="J201" s="10"/>
      <c r="K201" s="10"/>
      <c r="L201" s="12">
        <v>0</v>
      </c>
      <c r="M201" s="10"/>
      <c r="N201" s="10"/>
      <c r="O201" s="11">
        <v>0</v>
      </c>
      <c r="P201" s="10"/>
      <c r="Q201" s="10"/>
      <c r="R201" s="11">
        <v>0</v>
      </c>
      <c r="S201" s="10"/>
      <c r="T201" s="10"/>
      <c r="U201" s="11">
        <v>0</v>
      </c>
      <c r="V201" s="10"/>
      <c r="W201" s="10"/>
      <c r="X201" s="11">
        <v>0</v>
      </c>
      <c r="Y201" s="10"/>
      <c r="Z201" s="10"/>
      <c r="AA201" s="11"/>
      <c r="AB201" s="10"/>
      <c r="AC201" s="10"/>
      <c r="AD201" s="11">
        <v>0</v>
      </c>
      <c r="AE201" s="10"/>
      <c r="AF201" s="10"/>
      <c r="AG201" s="11">
        <v>0</v>
      </c>
      <c r="AH201" s="10"/>
      <c r="AI201" s="10"/>
      <c r="AJ201" s="11">
        <v>0</v>
      </c>
      <c r="AK201" s="10"/>
      <c r="AL201" s="10"/>
      <c r="AM201" s="11">
        <v>0</v>
      </c>
      <c r="AN201" s="10"/>
      <c r="AO201" s="10"/>
      <c r="AP201" s="11">
        <v>0</v>
      </c>
      <c r="AQ201" s="10"/>
      <c r="AR201" s="10"/>
      <c r="AS201" s="11">
        <v>0</v>
      </c>
      <c r="AT201" s="10"/>
      <c r="AU201" s="10"/>
      <c r="AV201" s="11">
        <v>0</v>
      </c>
      <c r="AW201" s="10"/>
      <c r="AX201" s="10"/>
      <c r="AY201" s="11">
        <v>0</v>
      </c>
      <c r="AZ201" s="10"/>
      <c r="BA201" s="10"/>
      <c r="BB201" s="11">
        <v>0</v>
      </c>
      <c r="BC201" s="10"/>
      <c r="BD201" s="10"/>
      <c r="BE201" s="11">
        <v>0</v>
      </c>
      <c r="BF201" s="10"/>
      <c r="BG201" s="10"/>
      <c r="BH201" s="11">
        <v>0</v>
      </c>
      <c r="BI201" s="10"/>
      <c r="BJ201" s="10"/>
      <c r="BK201" s="11">
        <v>0</v>
      </c>
      <c r="BL201" s="10"/>
      <c r="BM201" s="10"/>
      <c r="BN201" s="11">
        <v>0</v>
      </c>
      <c r="BO201" s="10"/>
      <c r="BP201" s="10"/>
      <c r="BQ201" s="11">
        <v>0</v>
      </c>
      <c r="BR201" s="10"/>
      <c r="BS201" s="10"/>
      <c r="BT201" s="11">
        <v>0</v>
      </c>
      <c r="BU201" s="10"/>
      <c r="BV201" s="10"/>
      <c r="BW201" s="11">
        <v>0</v>
      </c>
      <c r="BX201" s="10"/>
      <c r="BY201" s="10"/>
      <c r="BZ201" s="11">
        <v>0</v>
      </c>
      <c r="CA201" s="10"/>
      <c r="CB201" s="10"/>
      <c r="CC201" s="11">
        <v>0</v>
      </c>
      <c r="CD201" s="10"/>
      <c r="CE201" s="10"/>
      <c r="CF201" s="11">
        <v>0</v>
      </c>
      <c r="CG201" s="10"/>
      <c r="CH201" s="10"/>
      <c r="CI201" s="11">
        <v>0</v>
      </c>
      <c r="CJ201" s="10"/>
      <c r="CK201" s="10"/>
      <c r="CL201" s="11">
        <v>0</v>
      </c>
      <c r="CM201" s="10"/>
      <c r="CN201" s="10"/>
      <c r="CO201" s="11">
        <v>0</v>
      </c>
      <c r="CP201" s="10"/>
      <c r="CQ201" s="10"/>
      <c r="CR201" s="11">
        <v>0</v>
      </c>
      <c r="CS201" s="10"/>
      <c r="CT201" s="10"/>
      <c r="CU201" s="11">
        <v>0</v>
      </c>
      <c r="CV201" s="10"/>
      <c r="CW201" s="10"/>
      <c r="CX201" s="11">
        <v>0</v>
      </c>
      <c r="CY201" s="10"/>
      <c r="CZ201" s="10"/>
      <c r="DA201" s="11">
        <v>0</v>
      </c>
      <c r="DB201" s="10"/>
      <c r="DC201" s="10"/>
      <c r="DD201" s="13">
        <v>0</v>
      </c>
      <c r="DE201" s="14"/>
    </row>
    <row r="202" spans="1:109" x14ac:dyDescent="0.35">
      <c r="A202" s="8" t="s">
        <v>465</v>
      </c>
      <c r="B202" s="9" t="s">
        <v>140</v>
      </c>
      <c r="C202" s="9" t="s">
        <v>43</v>
      </c>
      <c r="D202" s="9" t="s">
        <v>466</v>
      </c>
      <c r="E202" s="9" t="s">
        <v>45</v>
      </c>
      <c r="F202" s="9" t="s">
        <v>46</v>
      </c>
      <c r="G202" s="10"/>
      <c r="H202" s="10"/>
      <c r="I202" s="11">
        <v>0</v>
      </c>
      <c r="J202" s="10"/>
      <c r="K202" s="10"/>
      <c r="L202" s="12">
        <v>0</v>
      </c>
      <c r="M202" s="10">
        <v>896000</v>
      </c>
      <c r="N202" s="10"/>
      <c r="O202" s="11">
        <f t="shared" si="431"/>
        <v>0</v>
      </c>
      <c r="P202" s="10"/>
      <c r="Q202" s="10"/>
      <c r="R202" s="11">
        <v>0</v>
      </c>
      <c r="S202" s="10"/>
      <c r="T202" s="10"/>
      <c r="U202" s="11">
        <v>0</v>
      </c>
      <c r="V202" s="10"/>
      <c r="W202" s="10"/>
      <c r="X202" s="11">
        <v>0</v>
      </c>
      <c r="Y202" s="10"/>
      <c r="Z202" s="10"/>
      <c r="AA202" s="11"/>
      <c r="AB202" s="10"/>
      <c r="AC202" s="10"/>
      <c r="AD202" s="11">
        <v>0</v>
      </c>
      <c r="AE202" s="10"/>
      <c r="AF202" s="10"/>
      <c r="AG202" s="11">
        <v>0</v>
      </c>
      <c r="AH202" s="10"/>
      <c r="AI202" s="10"/>
      <c r="AJ202" s="11">
        <v>0</v>
      </c>
      <c r="AK202" s="10"/>
      <c r="AL202" s="10"/>
      <c r="AM202" s="11">
        <v>0</v>
      </c>
      <c r="AN202" s="10"/>
      <c r="AO202" s="10"/>
      <c r="AP202" s="11">
        <v>0</v>
      </c>
      <c r="AQ202" s="10"/>
      <c r="AR202" s="10"/>
      <c r="AS202" s="11">
        <v>0</v>
      </c>
      <c r="AT202" s="10"/>
      <c r="AU202" s="10"/>
      <c r="AV202" s="11">
        <v>0</v>
      </c>
      <c r="AW202" s="10"/>
      <c r="AX202" s="10"/>
      <c r="AY202" s="11">
        <v>0</v>
      </c>
      <c r="AZ202" s="10"/>
      <c r="BA202" s="10"/>
      <c r="BB202" s="11">
        <v>0</v>
      </c>
      <c r="BC202" s="10"/>
      <c r="BD202" s="10"/>
      <c r="BE202" s="11">
        <v>0</v>
      </c>
      <c r="BF202" s="10">
        <v>1000000</v>
      </c>
      <c r="BG202" s="10"/>
      <c r="BH202" s="11">
        <f t="shared" ref="BH202" si="441">BG202/BF202</f>
        <v>0</v>
      </c>
      <c r="BI202" s="10"/>
      <c r="BJ202" s="10"/>
      <c r="BK202" s="11">
        <v>0</v>
      </c>
      <c r="BL202" s="10"/>
      <c r="BM202" s="10"/>
      <c r="BN202" s="11">
        <v>0</v>
      </c>
      <c r="BO202" s="10">
        <v>350000</v>
      </c>
      <c r="BP202" s="10"/>
      <c r="BQ202" s="11">
        <f t="shared" si="435"/>
        <v>0</v>
      </c>
      <c r="BR202" s="10"/>
      <c r="BS202" s="10"/>
      <c r="BT202" s="11">
        <v>0</v>
      </c>
      <c r="BU202" s="10"/>
      <c r="BV202" s="10"/>
      <c r="BW202" s="11">
        <v>0</v>
      </c>
      <c r="BX202" s="10"/>
      <c r="BY202" s="10"/>
      <c r="BZ202" s="11">
        <v>0</v>
      </c>
      <c r="CA202" s="10"/>
      <c r="CB202" s="10"/>
      <c r="CC202" s="11">
        <v>0</v>
      </c>
      <c r="CD202" s="10"/>
      <c r="CE202" s="10"/>
      <c r="CF202" s="11">
        <v>0</v>
      </c>
      <c r="CG202" s="10"/>
      <c r="CH202" s="10"/>
      <c r="CI202" s="11">
        <v>0</v>
      </c>
      <c r="CJ202" s="10"/>
      <c r="CK202" s="10"/>
      <c r="CL202" s="11">
        <v>0</v>
      </c>
      <c r="CM202" s="10"/>
      <c r="CN202" s="10"/>
      <c r="CO202" s="11">
        <v>0</v>
      </c>
      <c r="CP202" s="10"/>
      <c r="CQ202" s="10"/>
      <c r="CR202" s="11">
        <v>0</v>
      </c>
      <c r="CS202" s="10"/>
      <c r="CT202" s="10"/>
      <c r="CU202" s="11">
        <v>0</v>
      </c>
      <c r="CV202" s="10"/>
      <c r="CW202" s="10"/>
      <c r="CX202" s="11">
        <v>0</v>
      </c>
      <c r="CY202" s="10"/>
      <c r="CZ202" s="10"/>
      <c r="DA202" s="11">
        <v>0</v>
      </c>
      <c r="DB202" s="10">
        <v>2246000</v>
      </c>
      <c r="DC202" s="10"/>
      <c r="DD202" s="15">
        <f t="shared" si="430"/>
        <v>0</v>
      </c>
      <c r="DE202" s="16"/>
    </row>
    <row r="203" spans="1:109" x14ac:dyDescent="0.35">
      <c r="A203" s="8" t="s">
        <v>467</v>
      </c>
      <c r="B203" s="9" t="s">
        <v>118</v>
      </c>
      <c r="C203" s="9" t="s">
        <v>43</v>
      </c>
      <c r="D203" s="9" t="s">
        <v>468</v>
      </c>
      <c r="E203" s="9" t="s">
        <v>61</v>
      </c>
      <c r="F203" s="9" t="s">
        <v>62</v>
      </c>
      <c r="G203" s="10"/>
      <c r="H203" s="10"/>
      <c r="I203" s="11">
        <v>0</v>
      </c>
      <c r="J203" s="10"/>
      <c r="K203" s="10"/>
      <c r="L203" s="12">
        <v>0</v>
      </c>
      <c r="M203" s="10"/>
      <c r="N203" s="10"/>
      <c r="O203" s="11">
        <v>0</v>
      </c>
      <c r="P203" s="10"/>
      <c r="Q203" s="10"/>
      <c r="R203" s="11">
        <v>0</v>
      </c>
      <c r="S203" s="10"/>
      <c r="T203" s="10"/>
      <c r="U203" s="11">
        <v>0</v>
      </c>
      <c r="V203" s="10">
        <v>5600000</v>
      </c>
      <c r="W203" s="10">
        <v>1093700</v>
      </c>
      <c r="X203" s="11">
        <v>0.19530357142857144</v>
      </c>
      <c r="Y203" s="10"/>
      <c r="Z203" s="10"/>
      <c r="AA203" s="11"/>
      <c r="AB203" s="10"/>
      <c r="AC203" s="10"/>
      <c r="AD203" s="11">
        <v>0</v>
      </c>
      <c r="AE203" s="10"/>
      <c r="AF203" s="10"/>
      <c r="AG203" s="11">
        <v>0</v>
      </c>
      <c r="AH203" s="10"/>
      <c r="AI203" s="10"/>
      <c r="AJ203" s="11">
        <v>0</v>
      </c>
      <c r="AK203" s="10"/>
      <c r="AL203" s="10"/>
      <c r="AM203" s="11">
        <v>0</v>
      </c>
      <c r="AN203" s="10"/>
      <c r="AO203" s="10"/>
      <c r="AP203" s="11">
        <v>0</v>
      </c>
      <c r="AQ203" s="10"/>
      <c r="AR203" s="10"/>
      <c r="AS203" s="11">
        <v>0</v>
      </c>
      <c r="AT203" s="10"/>
      <c r="AU203" s="10"/>
      <c r="AV203" s="11">
        <v>0</v>
      </c>
      <c r="AW203" s="10"/>
      <c r="AX203" s="10"/>
      <c r="AY203" s="11">
        <v>0</v>
      </c>
      <c r="AZ203" s="10"/>
      <c r="BA203" s="10"/>
      <c r="BB203" s="11">
        <v>0</v>
      </c>
      <c r="BC203" s="10"/>
      <c r="BD203" s="10"/>
      <c r="BE203" s="11">
        <v>0</v>
      </c>
      <c r="BF203" s="10"/>
      <c r="BG203" s="10"/>
      <c r="BH203" s="11">
        <v>0</v>
      </c>
      <c r="BI203" s="10"/>
      <c r="BJ203" s="10"/>
      <c r="BK203" s="11">
        <v>0</v>
      </c>
      <c r="BL203" s="10"/>
      <c r="BM203" s="10"/>
      <c r="BN203" s="11">
        <v>0</v>
      </c>
      <c r="BO203" s="10"/>
      <c r="BP203" s="10"/>
      <c r="BQ203" s="11">
        <v>0</v>
      </c>
      <c r="BR203" s="10"/>
      <c r="BS203" s="10"/>
      <c r="BT203" s="11">
        <v>0</v>
      </c>
      <c r="BU203" s="10"/>
      <c r="BV203" s="10"/>
      <c r="BW203" s="11">
        <v>0</v>
      </c>
      <c r="BX203" s="10"/>
      <c r="BY203" s="10"/>
      <c r="BZ203" s="11">
        <v>0</v>
      </c>
      <c r="CA203" s="10"/>
      <c r="CB203" s="10"/>
      <c r="CC203" s="11">
        <v>0</v>
      </c>
      <c r="CD203" s="10"/>
      <c r="CE203" s="10"/>
      <c r="CF203" s="11">
        <v>0</v>
      </c>
      <c r="CG203" s="10"/>
      <c r="CH203" s="10"/>
      <c r="CI203" s="11">
        <v>0</v>
      </c>
      <c r="CJ203" s="10"/>
      <c r="CK203" s="10"/>
      <c r="CL203" s="11">
        <v>0</v>
      </c>
      <c r="CM203" s="10"/>
      <c r="CN203" s="10"/>
      <c r="CO203" s="11">
        <v>0</v>
      </c>
      <c r="CP203" s="10"/>
      <c r="CQ203" s="10"/>
      <c r="CR203" s="11">
        <v>0</v>
      </c>
      <c r="CS203" s="10"/>
      <c r="CT203" s="10"/>
      <c r="CU203" s="11">
        <v>0</v>
      </c>
      <c r="CV203" s="10"/>
      <c r="CW203" s="10"/>
      <c r="CX203" s="11">
        <v>0</v>
      </c>
      <c r="CY203" s="10"/>
      <c r="CZ203" s="10"/>
      <c r="DA203" s="11">
        <v>0</v>
      </c>
      <c r="DB203" s="10">
        <v>5600000</v>
      </c>
      <c r="DC203" s="10">
        <f t="shared" si="429"/>
        <v>1093700</v>
      </c>
      <c r="DD203" s="13">
        <f t="shared" si="430"/>
        <v>0.19530357142857144</v>
      </c>
      <c r="DE203" s="14"/>
    </row>
    <row r="204" spans="1:109" x14ac:dyDescent="0.35">
      <c r="A204" s="8" t="s">
        <v>469</v>
      </c>
      <c r="B204" s="9" t="s">
        <v>74</v>
      </c>
      <c r="C204" s="9" t="s">
        <v>52</v>
      </c>
      <c r="D204" s="9" t="s">
        <v>470</v>
      </c>
      <c r="E204" s="9" t="s">
        <v>54</v>
      </c>
      <c r="F204" s="9" t="s">
        <v>55</v>
      </c>
      <c r="G204" s="10"/>
      <c r="H204" s="10"/>
      <c r="I204" s="11">
        <v>0</v>
      </c>
      <c r="J204" s="10"/>
      <c r="K204" s="10"/>
      <c r="L204" s="12">
        <v>0</v>
      </c>
      <c r="M204" s="10"/>
      <c r="N204" s="10"/>
      <c r="O204" s="11">
        <v>0</v>
      </c>
      <c r="P204" s="10"/>
      <c r="Q204" s="10"/>
      <c r="R204" s="11">
        <v>0</v>
      </c>
      <c r="S204" s="10"/>
      <c r="T204" s="10"/>
      <c r="U204" s="11">
        <v>0</v>
      </c>
      <c r="V204" s="10"/>
      <c r="W204" s="10"/>
      <c r="X204" s="11">
        <v>0</v>
      </c>
      <c r="Y204" s="10"/>
      <c r="Z204" s="10"/>
      <c r="AA204" s="11"/>
      <c r="AB204" s="10"/>
      <c r="AC204" s="10"/>
      <c r="AD204" s="11">
        <v>0</v>
      </c>
      <c r="AE204" s="10"/>
      <c r="AF204" s="10"/>
      <c r="AG204" s="11">
        <v>0</v>
      </c>
      <c r="AH204" s="10"/>
      <c r="AI204" s="10"/>
      <c r="AJ204" s="11">
        <v>0</v>
      </c>
      <c r="AK204" s="10"/>
      <c r="AL204" s="10"/>
      <c r="AM204" s="11">
        <v>0</v>
      </c>
      <c r="AN204" s="10"/>
      <c r="AO204" s="10"/>
      <c r="AP204" s="11">
        <v>0</v>
      </c>
      <c r="AQ204" s="10"/>
      <c r="AR204" s="10"/>
      <c r="AS204" s="11">
        <v>0</v>
      </c>
      <c r="AT204" s="10"/>
      <c r="AU204" s="10"/>
      <c r="AV204" s="11">
        <v>0</v>
      </c>
      <c r="AW204" s="10"/>
      <c r="AX204" s="10"/>
      <c r="AY204" s="11">
        <v>0</v>
      </c>
      <c r="AZ204" s="10"/>
      <c r="BA204" s="10"/>
      <c r="BB204" s="11">
        <v>0</v>
      </c>
      <c r="BC204" s="10"/>
      <c r="BD204" s="10"/>
      <c r="BE204" s="11">
        <v>0</v>
      </c>
      <c r="BF204" s="10"/>
      <c r="BG204" s="10"/>
      <c r="BH204" s="11">
        <v>0</v>
      </c>
      <c r="BI204" s="10"/>
      <c r="BJ204" s="10"/>
      <c r="BK204" s="11">
        <v>0</v>
      </c>
      <c r="BL204" s="10"/>
      <c r="BM204" s="10"/>
      <c r="BN204" s="11">
        <v>0</v>
      </c>
      <c r="BO204" s="10"/>
      <c r="BP204" s="10"/>
      <c r="BQ204" s="11">
        <v>0</v>
      </c>
      <c r="BR204" s="10"/>
      <c r="BS204" s="10"/>
      <c r="BT204" s="11">
        <v>0</v>
      </c>
      <c r="BU204" s="10"/>
      <c r="BV204" s="10"/>
      <c r="BW204" s="11">
        <v>0</v>
      </c>
      <c r="BX204" s="10"/>
      <c r="BY204" s="10"/>
      <c r="BZ204" s="11">
        <v>0</v>
      </c>
      <c r="CA204" s="10"/>
      <c r="CB204" s="10"/>
      <c r="CC204" s="11">
        <v>0</v>
      </c>
      <c r="CD204" s="10"/>
      <c r="CE204" s="10"/>
      <c r="CF204" s="11">
        <v>0</v>
      </c>
      <c r="CG204" s="10"/>
      <c r="CH204" s="10"/>
      <c r="CI204" s="11">
        <v>0</v>
      </c>
      <c r="CJ204" s="10"/>
      <c r="CK204" s="10"/>
      <c r="CL204" s="11">
        <v>0</v>
      </c>
      <c r="CM204" s="10"/>
      <c r="CN204" s="10"/>
      <c r="CO204" s="11">
        <v>0</v>
      </c>
      <c r="CP204" s="10"/>
      <c r="CQ204" s="10"/>
      <c r="CR204" s="11">
        <v>0</v>
      </c>
      <c r="CS204" s="10"/>
      <c r="CT204" s="10"/>
      <c r="CU204" s="11">
        <v>0</v>
      </c>
      <c r="CV204" s="10"/>
      <c r="CW204" s="10"/>
      <c r="CX204" s="11">
        <v>0</v>
      </c>
      <c r="CY204" s="10"/>
      <c r="CZ204" s="10"/>
      <c r="DA204" s="11">
        <v>0</v>
      </c>
      <c r="DB204" s="10"/>
      <c r="DC204" s="10"/>
      <c r="DD204" s="13">
        <v>0</v>
      </c>
      <c r="DE204" s="14"/>
    </row>
    <row r="205" spans="1:109" x14ac:dyDescent="0.35">
      <c r="A205" s="8" t="s">
        <v>471</v>
      </c>
      <c r="B205" s="9" t="s">
        <v>51</v>
      </c>
      <c r="C205" s="9" t="s">
        <v>52</v>
      </c>
      <c r="D205" s="9" t="s">
        <v>472</v>
      </c>
      <c r="E205" s="9" t="s">
        <v>54</v>
      </c>
      <c r="F205" s="9" t="s">
        <v>55</v>
      </c>
      <c r="G205" s="10"/>
      <c r="H205" s="10"/>
      <c r="I205" s="11">
        <v>0</v>
      </c>
      <c r="J205" s="10"/>
      <c r="K205" s="10"/>
      <c r="L205" s="12">
        <v>0</v>
      </c>
      <c r="M205" s="10"/>
      <c r="N205" s="10"/>
      <c r="O205" s="11">
        <v>0</v>
      </c>
      <c r="P205" s="10"/>
      <c r="Q205" s="10"/>
      <c r="R205" s="11">
        <v>0</v>
      </c>
      <c r="S205" s="10"/>
      <c r="T205" s="10"/>
      <c r="U205" s="11">
        <v>0</v>
      </c>
      <c r="V205" s="10"/>
      <c r="W205" s="10"/>
      <c r="X205" s="11">
        <v>0</v>
      </c>
      <c r="Y205" s="10"/>
      <c r="Z205" s="10"/>
      <c r="AA205" s="11"/>
      <c r="AB205" s="10"/>
      <c r="AC205" s="10"/>
      <c r="AD205" s="11">
        <v>0</v>
      </c>
      <c r="AE205" s="10"/>
      <c r="AF205" s="10"/>
      <c r="AG205" s="11">
        <v>0</v>
      </c>
      <c r="AH205" s="10"/>
      <c r="AI205" s="10"/>
      <c r="AJ205" s="11">
        <v>0</v>
      </c>
      <c r="AK205" s="10"/>
      <c r="AL205" s="10"/>
      <c r="AM205" s="11">
        <v>0</v>
      </c>
      <c r="AN205" s="10"/>
      <c r="AO205" s="10"/>
      <c r="AP205" s="11">
        <v>0</v>
      </c>
      <c r="AQ205" s="10"/>
      <c r="AR205" s="10"/>
      <c r="AS205" s="11">
        <v>0</v>
      </c>
      <c r="AT205" s="10"/>
      <c r="AU205" s="10"/>
      <c r="AV205" s="11">
        <v>0</v>
      </c>
      <c r="AW205" s="10"/>
      <c r="AX205" s="10"/>
      <c r="AY205" s="11">
        <v>0</v>
      </c>
      <c r="AZ205" s="10"/>
      <c r="BA205" s="10"/>
      <c r="BB205" s="11">
        <v>0</v>
      </c>
      <c r="BC205" s="10"/>
      <c r="BD205" s="10"/>
      <c r="BE205" s="11">
        <v>0</v>
      </c>
      <c r="BF205" s="10"/>
      <c r="BG205" s="10"/>
      <c r="BH205" s="11">
        <v>0</v>
      </c>
      <c r="BI205" s="10"/>
      <c r="BJ205" s="10"/>
      <c r="BK205" s="11">
        <v>0</v>
      </c>
      <c r="BL205" s="10"/>
      <c r="BM205" s="10"/>
      <c r="BN205" s="11">
        <v>0</v>
      </c>
      <c r="BO205" s="10"/>
      <c r="BP205" s="10"/>
      <c r="BQ205" s="11">
        <v>0</v>
      </c>
      <c r="BR205" s="10"/>
      <c r="BS205" s="10"/>
      <c r="BT205" s="11">
        <v>0</v>
      </c>
      <c r="BU205" s="10"/>
      <c r="BV205" s="10"/>
      <c r="BW205" s="11">
        <v>0</v>
      </c>
      <c r="BX205" s="10"/>
      <c r="BY205" s="10"/>
      <c r="BZ205" s="11">
        <v>0</v>
      </c>
      <c r="CA205" s="10"/>
      <c r="CB205" s="10"/>
      <c r="CC205" s="11">
        <v>0</v>
      </c>
      <c r="CD205" s="10"/>
      <c r="CE205" s="10"/>
      <c r="CF205" s="11">
        <v>0</v>
      </c>
      <c r="CG205" s="10"/>
      <c r="CH205" s="10"/>
      <c r="CI205" s="11">
        <v>0</v>
      </c>
      <c r="CJ205" s="10"/>
      <c r="CK205" s="10"/>
      <c r="CL205" s="11">
        <v>0</v>
      </c>
      <c r="CM205" s="10"/>
      <c r="CN205" s="10"/>
      <c r="CO205" s="11">
        <v>0</v>
      </c>
      <c r="CP205" s="10"/>
      <c r="CQ205" s="10"/>
      <c r="CR205" s="11">
        <v>0</v>
      </c>
      <c r="CS205" s="10"/>
      <c r="CT205" s="10"/>
      <c r="CU205" s="11">
        <v>0</v>
      </c>
      <c r="CV205" s="10"/>
      <c r="CW205" s="10"/>
      <c r="CX205" s="11">
        <v>0</v>
      </c>
      <c r="CY205" s="10"/>
      <c r="CZ205" s="10"/>
      <c r="DA205" s="11">
        <v>0</v>
      </c>
      <c r="DB205" s="10"/>
      <c r="DC205" s="10"/>
      <c r="DD205" s="13">
        <v>0</v>
      </c>
      <c r="DE205" s="14"/>
    </row>
    <row r="206" spans="1:109" x14ac:dyDescent="0.35">
      <c r="A206" s="8" t="s">
        <v>473</v>
      </c>
      <c r="B206" s="9" t="s">
        <v>74</v>
      </c>
      <c r="C206" s="9" t="s">
        <v>52</v>
      </c>
      <c r="D206" s="9" t="s">
        <v>474</v>
      </c>
      <c r="E206" s="9" t="s">
        <v>54</v>
      </c>
      <c r="F206" s="9" t="s">
        <v>55</v>
      </c>
      <c r="G206" s="10"/>
      <c r="H206" s="10"/>
      <c r="I206" s="11">
        <v>0</v>
      </c>
      <c r="J206" s="10"/>
      <c r="K206" s="10"/>
      <c r="L206" s="12">
        <v>0</v>
      </c>
      <c r="M206" s="10"/>
      <c r="N206" s="10"/>
      <c r="O206" s="11">
        <v>0</v>
      </c>
      <c r="P206" s="10"/>
      <c r="Q206" s="10"/>
      <c r="R206" s="11">
        <v>0</v>
      </c>
      <c r="S206" s="10"/>
      <c r="T206" s="10"/>
      <c r="U206" s="11">
        <v>0</v>
      </c>
      <c r="V206" s="10"/>
      <c r="W206" s="10"/>
      <c r="X206" s="11">
        <v>0</v>
      </c>
      <c r="Y206" s="10"/>
      <c r="Z206" s="10"/>
      <c r="AA206" s="11"/>
      <c r="AB206" s="10"/>
      <c r="AC206" s="10"/>
      <c r="AD206" s="11">
        <v>0</v>
      </c>
      <c r="AE206" s="10"/>
      <c r="AF206" s="10"/>
      <c r="AG206" s="11">
        <v>0</v>
      </c>
      <c r="AH206" s="10"/>
      <c r="AI206" s="10"/>
      <c r="AJ206" s="11">
        <v>0</v>
      </c>
      <c r="AK206" s="10">
        <v>200000</v>
      </c>
      <c r="AL206" s="10"/>
      <c r="AM206" s="11">
        <f t="shared" ref="AM206" si="442">AL206/AK206</f>
        <v>0</v>
      </c>
      <c r="AN206" s="10"/>
      <c r="AO206" s="10"/>
      <c r="AP206" s="11">
        <v>0</v>
      </c>
      <c r="AQ206" s="10"/>
      <c r="AR206" s="10"/>
      <c r="AS206" s="11">
        <v>0</v>
      </c>
      <c r="AT206" s="10"/>
      <c r="AU206" s="10"/>
      <c r="AV206" s="11">
        <v>0</v>
      </c>
      <c r="AW206" s="10"/>
      <c r="AX206" s="10"/>
      <c r="AY206" s="11">
        <v>0</v>
      </c>
      <c r="AZ206" s="10"/>
      <c r="BA206" s="10"/>
      <c r="BB206" s="11">
        <v>0</v>
      </c>
      <c r="BC206" s="10"/>
      <c r="BD206" s="10"/>
      <c r="BE206" s="11">
        <v>0</v>
      </c>
      <c r="BF206" s="10"/>
      <c r="BG206" s="10"/>
      <c r="BH206" s="11">
        <v>0</v>
      </c>
      <c r="BI206" s="10"/>
      <c r="BJ206" s="10">
        <v>9500</v>
      </c>
      <c r="BK206" s="11">
        <v>0</v>
      </c>
      <c r="BL206" s="10"/>
      <c r="BM206" s="10"/>
      <c r="BN206" s="11">
        <v>0</v>
      </c>
      <c r="BO206" s="10"/>
      <c r="BP206" s="10"/>
      <c r="BQ206" s="11">
        <v>0</v>
      </c>
      <c r="BR206" s="10"/>
      <c r="BS206" s="10"/>
      <c r="BT206" s="11">
        <v>0</v>
      </c>
      <c r="BU206" s="10"/>
      <c r="BV206" s="10"/>
      <c r="BW206" s="11">
        <v>0</v>
      </c>
      <c r="BX206" s="10"/>
      <c r="BY206" s="10"/>
      <c r="BZ206" s="11">
        <v>0</v>
      </c>
      <c r="CA206" s="10"/>
      <c r="CB206" s="10"/>
      <c r="CC206" s="11">
        <v>0</v>
      </c>
      <c r="CD206" s="10"/>
      <c r="CE206" s="10"/>
      <c r="CF206" s="11">
        <v>0</v>
      </c>
      <c r="CG206" s="10"/>
      <c r="CH206" s="10"/>
      <c r="CI206" s="11">
        <v>0</v>
      </c>
      <c r="CJ206" s="10"/>
      <c r="CK206" s="10"/>
      <c r="CL206" s="11">
        <v>0</v>
      </c>
      <c r="CM206" s="10"/>
      <c r="CN206" s="10"/>
      <c r="CO206" s="11">
        <v>0</v>
      </c>
      <c r="CP206" s="10"/>
      <c r="CQ206" s="10"/>
      <c r="CR206" s="11">
        <v>0</v>
      </c>
      <c r="CS206" s="10"/>
      <c r="CT206" s="10"/>
      <c r="CU206" s="11">
        <v>0</v>
      </c>
      <c r="CV206" s="10"/>
      <c r="CW206" s="10"/>
      <c r="CX206" s="11">
        <v>0</v>
      </c>
      <c r="CY206" s="10"/>
      <c r="CZ206" s="10"/>
      <c r="DA206" s="11">
        <v>0</v>
      </c>
      <c r="DB206" s="10">
        <v>200000</v>
      </c>
      <c r="DC206" s="10">
        <f t="shared" ref="DC206:DC208" si="443">SUM(H206,K206,N206,Q206,T206,W206,Z206,AC206,AF206,AI206,AL206,AO206,AR206,AU206,AX206,BA206,BD206,BG206,BJ206,BM206,BP206,BS206,BV206,BY206,CB206,CE206,CH206,CK206,CN206,CQ206,CT206,CW206,CZ206)</f>
        <v>9500</v>
      </c>
      <c r="DD206" s="13">
        <f t="shared" ref="DD206:DD208" si="444">DC206/DB206</f>
        <v>4.7500000000000001E-2</v>
      </c>
      <c r="DE206" s="14"/>
    </row>
    <row r="207" spans="1:109" x14ac:dyDescent="0.35">
      <c r="A207" s="8" t="s">
        <v>475</v>
      </c>
      <c r="B207" s="9" t="s">
        <v>59</v>
      </c>
      <c r="C207" s="9" t="s">
        <v>43</v>
      </c>
      <c r="D207" s="9" t="s">
        <v>476</v>
      </c>
      <c r="E207" s="9" t="s">
        <v>61</v>
      </c>
      <c r="F207" s="9" t="s">
        <v>62</v>
      </c>
      <c r="G207" s="10"/>
      <c r="H207" s="10"/>
      <c r="I207" s="11">
        <v>0</v>
      </c>
      <c r="J207" s="10"/>
      <c r="K207" s="10"/>
      <c r="L207" s="12">
        <v>0</v>
      </c>
      <c r="M207" s="10"/>
      <c r="N207" s="10"/>
      <c r="O207" s="11">
        <v>0</v>
      </c>
      <c r="P207" s="10"/>
      <c r="Q207" s="10"/>
      <c r="R207" s="11">
        <v>0</v>
      </c>
      <c r="S207" s="10"/>
      <c r="T207" s="10"/>
      <c r="U207" s="11">
        <v>0</v>
      </c>
      <c r="V207" s="10">
        <v>500000</v>
      </c>
      <c r="W207" s="10"/>
      <c r="X207" s="11">
        <v>0</v>
      </c>
      <c r="Y207" s="10"/>
      <c r="Z207" s="10"/>
      <c r="AA207" s="11"/>
      <c r="AB207" s="10"/>
      <c r="AC207" s="10"/>
      <c r="AD207" s="11">
        <v>0</v>
      </c>
      <c r="AE207" s="10"/>
      <c r="AF207" s="10"/>
      <c r="AG207" s="11">
        <v>0</v>
      </c>
      <c r="AH207" s="10"/>
      <c r="AI207" s="10"/>
      <c r="AJ207" s="11">
        <v>0</v>
      </c>
      <c r="AK207" s="10"/>
      <c r="AL207" s="10"/>
      <c r="AM207" s="11">
        <v>0</v>
      </c>
      <c r="AN207" s="10"/>
      <c r="AO207" s="10"/>
      <c r="AP207" s="11">
        <v>0</v>
      </c>
      <c r="AQ207" s="10"/>
      <c r="AR207" s="10"/>
      <c r="AS207" s="11">
        <v>0</v>
      </c>
      <c r="AT207" s="10"/>
      <c r="AU207" s="10"/>
      <c r="AV207" s="11">
        <v>0</v>
      </c>
      <c r="AW207" s="10"/>
      <c r="AX207" s="10"/>
      <c r="AY207" s="11">
        <v>0</v>
      </c>
      <c r="AZ207" s="10"/>
      <c r="BA207" s="10"/>
      <c r="BB207" s="11">
        <v>0</v>
      </c>
      <c r="BC207" s="10"/>
      <c r="BD207" s="10"/>
      <c r="BE207" s="11">
        <v>0</v>
      </c>
      <c r="BF207" s="10"/>
      <c r="BG207" s="10"/>
      <c r="BH207" s="11">
        <v>0</v>
      </c>
      <c r="BI207" s="10"/>
      <c r="BJ207" s="10"/>
      <c r="BK207" s="11">
        <v>0</v>
      </c>
      <c r="BL207" s="10"/>
      <c r="BM207" s="10"/>
      <c r="BN207" s="11">
        <v>0</v>
      </c>
      <c r="BO207" s="10"/>
      <c r="BP207" s="10"/>
      <c r="BQ207" s="11">
        <v>0</v>
      </c>
      <c r="BR207" s="10"/>
      <c r="BS207" s="10"/>
      <c r="BT207" s="11">
        <v>0</v>
      </c>
      <c r="BU207" s="10"/>
      <c r="BV207" s="10"/>
      <c r="BW207" s="11">
        <v>0</v>
      </c>
      <c r="BX207" s="10"/>
      <c r="BY207" s="10"/>
      <c r="BZ207" s="11">
        <v>0</v>
      </c>
      <c r="CA207" s="10"/>
      <c r="CB207" s="10"/>
      <c r="CC207" s="11">
        <v>0</v>
      </c>
      <c r="CD207" s="10"/>
      <c r="CE207" s="10"/>
      <c r="CF207" s="11">
        <v>0</v>
      </c>
      <c r="CG207" s="10"/>
      <c r="CH207" s="10"/>
      <c r="CI207" s="11">
        <v>0</v>
      </c>
      <c r="CJ207" s="10"/>
      <c r="CK207" s="10"/>
      <c r="CL207" s="11">
        <v>0</v>
      </c>
      <c r="CM207" s="10"/>
      <c r="CN207" s="10"/>
      <c r="CO207" s="11">
        <v>0</v>
      </c>
      <c r="CP207" s="10"/>
      <c r="CQ207" s="10"/>
      <c r="CR207" s="11">
        <v>0</v>
      </c>
      <c r="CS207" s="10"/>
      <c r="CT207" s="10"/>
      <c r="CU207" s="11">
        <v>0</v>
      </c>
      <c r="CV207" s="10"/>
      <c r="CW207" s="10"/>
      <c r="CX207" s="11">
        <v>0</v>
      </c>
      <c r="CY207" s="10"/>
      <c r="CZ207" s="10"/>
      <c r="DA207" s="11">
        <v>0</v>
      </c>
      <c r="DB207" s="10">
        <v>500000</v>
      </c>
      <c r="DC207" s="10"/>
      <c r="DD207" s="15">
        <f t="shared" si="444"/>
        <v>0</v>
      </c>
      <c r="DE207" s="16"/>
    </row>
    <row r="208" spans="1:109" x14ac:dyDescent="0.35">
      <c r="A208" s="8" t="s">
        <v>477</v>
      </c>
      <c r="B208" s="9" t="s">
        <v>74</v>
      </c>
      <c r="C208" s="9" t="s">
        <v>52</v>
      </c>
      <c r="D208" s="9" t="s">
        <v>478</v>
      </c>
      <c r="E208" s="9" t="s">
        <v>54</v>
      </c>
      <c r="F208" s="9" t="s">
        <v>55</v>
      </c>
      <c r="G208" s="10"/>
      <c r="H208" s="10"/>
      <c r="I208" s="11">
        <v>0</v>
      </c>
      <c r="J208" s="10"/>
      <c r="K208" s="10"/>
      <c r="L208" s="12">
        <v>0</v>
      </c>
      <c r="M208" s="10"/>
      <c r="N208" s="10"/>
      <c r="O208" s="11">
        <v>0</v>
      </c>
      <c r="P208" s="10"/>
      <c r="Q208" s="10"/>
      <c r="R208" s="11">
        <v>0</v>
      </c>
      <c r="S208" s="10"/>
      <c r="T208" s="10"/>
      <c r="U208" s="11">
        <v>0</v>
      </c>
      <c r="V208" s="10"/>
      <c r="W208" s="10"/>
      <c r="X208" s="11">
        <v>0</v>
      </c>
      <c r="Y208" s="10"/>
      <c r="Z208" s="10"/>
      <c r="AA208" s="11"/>
      <c r="AB208" s="10"/>
      <c r="AC208" s="10"/>
      <c r="AD208" s="11">
        <v>0</v>
      </c>
      <c r="AE208" s="10"/>
      <c r="AF208" s="10"/>
      <c r="AG208" s="11">
        <v>0</v>
      </c>
      <c r="AH208" s="10"/>
      <c r="AI208" s="10"/>
      <c r="AJ208" s="11">
        <v>0</v>
      </c>
      <c r="AK208" s="10"/>
      <c r="AL208" s="10"/>
      <c r="AM208" s="11">
        <v>0</v>
      </c>
      <c r="AN208" s="10"/>
      <c r="AO208" s="10"/>
      <c r="AP208" s="11">
        <v>0</v>
      </c>
      <c r="AQ208" s="10"/>
      <c r="AR208" s="10"/>
      <c r="AS208" s="11">
        <v>0</v>
      </c>
      <c r="AT208" s="10"/>
      <c r="AU208" s="10"/>
      <c r="AV208" s="11">
        <v>0</v>
      </c>
      <c r="AW208" s="10"/>
      <c r="AX208" s="10"/>
      <c r="AY208" s="11">
        <v>0</v>
      </c>
      <c r="AZ208" s="10"/>
      <c r="BA208" s="10"/>
      <c r="BB208" s="11">
        <v>0</v>
      </c>
      <c r="BC208" s="10"/>
      <c r="BD208" s="10"/>
      <c r="BE208" s="11">
        <v>0</v>
      </c>
      <c r="BF208" s="10"/>
      <c r="BG208" s="10"/>
      <c r="BH208" s="11">
        <v>0</v>
      </c>
      <c r="BI208" s="10"/>
      <c r="BJ208" s="10"/>
      <c r="BK208" s="11">
        <v>0</v>
      </c>
      <c r="BL208" s="10"/>
      <c r="BM208" s="10"/>
      <c r="BN208" s="11">
        <v>0</v>
      </c>
      <c r="BO208" s="10"/>
      <c r="BP208" s="10"/>
      <c r="BQ208" s="11">
        <v>0</v>
      </c>
      <c r="BR208" s="10"/>
      <c r="BS208" s="10"/>
      <c r="BT208" s="11">
        <v>0</v>
      </c>
      <c r="BU208" s="10"/>
      <c r="BV208" s="10"/>
      <c r="BW208" s="11">
        <v>0</v>
      </c>
      <c r="BX208" s="10"/>
      <c r="BY208" s="10"/>
      <c r="BZ208" s="11">
        <v>0</v>
      </c>
      <c r="CA208" s="10"/>
      <c r="CB208" s="10"/>
      <c r="CC208" s="11">
        <v>0</v>
      </c>
      <c r="CD208" s="10"/>
      <c r="CE208" s="10"/>
      <c r="CF208" s="11">
        <v>0</v>
      </c>
      <c r="CG208" s="10">
        <v>350000</v>
      </c>
      <c r="CH208" s="10">
        <v>177000</v>
      </c>
      <c r="CI208" s="11">
        <f t="shared" ref="CI208" si="445">CH208/CG208</f>
        <v>0.50571428571428567</v>
      </c>
      <c r="CJ208" s="10"/>
      <c r="CK208" s="10"/>
      <c r="CL208" s="11">
        <v>0</v>
      </c>
      <c r="CM208" s="10"/>
      <c r="CN208" s="10"/>
      <c r="CO208" s="11">
        <v>0</v>
      </c>
      <c r="CP208" s="10"/>
      <c r="CQ208" s="10"/>
      <c r="CR208" s="11">
        <v>0</v>
      </c>
      <c r="CS208" s="10"/>
      <c r="CT208" s="10"/>
      <c r="CU208" s="11">
        <v>0</v>
      </c>
      <c r="CV208" s="10"/>
      <c r="CW208" s="10"/>
      <c r="CX208" s="11">
        <v>0</v>
      </c>
      <c r="CY208" s="10"/>
      <c r="CZ208" s="10"/>
      <c r="DA208" s="11">
        <v>0</v>
      </c>
      <c r="DB208" s="10">
        <v>350000</v>
      </c>
      <c r="DC208" s="10">
        <f t="shared" si="443"/>
        <v>177000</v>
      </c>
      <c r="DD208" s="13">
        <f t="shared" si="444"/>
        <v>0.50571428571428567</v>
      </c>
      <c r="DE208" s="14"/>
    </row>
    <row r="209" spans="1:109" x14ac:dyDescent="0.35">
      <c r="A209" s="8" t="s">
        <v>479</v>
      </c>
      <c r="B209" s="9" t="s">
        <v>51</v>
      </c>
      <c r="C209" s="9" t="s">
        <v>52</v>
      </c>
      <c r="D209" s="9" t="s">
        <v>480</v>
      </c>
      <c r="E209" s="9" t="s">
        <v>54</v>
      </c>
      <c r="F209" s="9" t="s">
        <v>55</v>
      </c>
      <c r="G209" s="10"/>
      <c r="H209" s="10"/>
      <c r="I209" s="11">
        <v>0</v>
      </c>
      <c r="J209" s="10"/>
      <c r="K209" s="10"/>
      <c r="L209" s="12">
        <v>0</v>
      </c>
      <c r="M209" s="10"/>
      <c r="N209" s="10"/>
      <c r="O209" s="11">
        <v>0</v>
      </c>
      <c r="P209" s="10"/>
      <c r="Q209" s="10"/>
      <c r="R209" s="11">
        <v>0</v>
      </c>
      <c r="S209" s="10"/>
      <c r="T209" s="10"/>
      <c r="U209" s="11">
        <v>0</v>
      </c>
      <c r="V209" s="10"/>
      <c r="W209" s="10"/>
      <c r="X209" s="11">
        <v>0</v>
      </c>
      <c r="Y209" s="10"/>
      <c r="Z209" s="10"/>
      <c r="AA209" s="11"/>
      <c r="AB209" s="10"/>
      <c r="AC209" s="10"/>
      <c r="AD209" s="11">
        <v>0</v>
      </c>
      <c r="AE209" s="10"/>
      <c r="AF209" s="10"/>
      <c r="AG209" s="11">
        <v>0</v>
      </c>
      <c r="AH209" s="10"/>
      <c r="AI209" s="10"/>
      <c r="AJ209" s="11">
        <v>0</v>
      </c>
      <c r="AK209" s="10"/>
      <c r="AL209" s="10"/>
      <c r="AM209" s="11">
        <v>0</v>
      </c>
      <c r="AN209" s="10"/>
      <c r="AO209" s="10"/>
      <c r="AP209" s="11">
        <v>0</v>
      </c>
      <c r="AQ209" s="10"/>
      <c r="AR209" s="10"/>
      <c r="AS209" s="11">
        <v>0</v>
      </c>
      <c r="AT209" s="10"/>
      <c r="AU209" s="10"/>
      <c r="AV209" s="11">
        <v>0</v>
      </c>
      <c r="AW209" s="10"/>
      <c r="AX209" s="10"/>
      <c r="AY209" s="11">
        <v>0</v>
      </c>
      <c r="AZ209" s="10"/>
      <c r="BA209" s="10"/>
      <c r="BB209" s="11">
        <v>0</v>
      </c>
      <c r="BC209" s="10"/>
      <c r="BD209" s="10"/>
      <c r="BE209" s="11">
        <v>0</v>
      </c>
      <c r="BF209" s="10"/>
      <c r="BG209" s="10"/>
      <c r="BH209" s="11">
        <v>0</v>
      </c>
      <c r="BI209" s="10"/>
      <c r="BJ209" s="10"/>
      <c r="BK209" s="11">
        <v>0</v>
      </c>
      <c r="BL209" s="10"/>
      <c r="BM209" s="10"/>
      <c r="BN209" s="11">
        <v>0</v>
      </c>
      <c r="BO209" s="10"/>
      <c r="BP209" s="10"/>
      <c r="BQ209" s="11">
        <v>0</v>
      </c>
      <c r="BR209" s="10"/>
      <c r="BS209" s="10"/>
      <c r="BT209" s="11">
        <v>0</v>
      </c>
      <c r="BU209" s="10"/>
      <c r="BV209" s="10"/>
      <c r="BW209" s="11">
        <v>0</v>
      </c>
      <c r="BX209" s="10"/>
      <c r="BY209" s="10"/>
      <c r="BZ209" s="11">
        <v>0</v>
      </c>
      <c r="CA209" s="10"/>
      <c r="CB209" s="10"/>
      <c r="CC209" s="11">
        <v>0</v>
      </c>
      <c r="CD209" s="10"/>
      <c r="CE209" s="10"/>
      <c r="CF209" s="11">
        <v>0</v>
      </c>
      <c r="CG209" s="10">
        <v>8000</v>
      </c>
      <c r="CH209" s="10"/>
      <c r="CI209" s="11">
        <f t="shared" ref="CI209:CI211" si="446">CH209/CG209</f>
        <v>0</v>
      </c>
      <c r="CJ209" s="10"/>
      <c r="CK209" s="10"/>
      <c r="CL209" s="11">
        <v>0</v>
      </c>
      <c r="CM209" s="10"/>
      <c r="CN209" s="10"/>
      <c r="CO209" s="11">
        <v>0</v>
      </c>
      <c r="CP209" s="10"/>
      <c r="CQ209" s="10"/>
      <c r="CR209" s="11">
        <v>0</v>
      </c>
      <c r="CS209" s="10"/>
      <c r="CT209" s="10"/>
      <c r="CU209" s="11">
        <v>0</v>
      </c>
      <c r="CV209" s="10"/>
      <c r="CW209" s="10"/>
      <c r="CX209" s="11">
        <v>0</v>
      </c>
      <c r="CY209" s="10"/>
      <c r="CZ209" s="10"/>
      <c r="DA209" s="11">
        <v>0</v>
      </c>
      <c r="DB209" s="10">
        <v>8000</v>
      </c>
      <c r="DC209" s="10"/>
      <c r="DD209" s="15">
        <f t="shared" ref="DD209:DD214" si="447">DC209/DB209</f>
        <v>0</v>
      </c>
      <c r="DE209" s="16"/>
    </row>
    <row r="210" spans="1:109" x14ac:dyDescent="0.35">
      <c r="A210" s="8" t="s">
        <v>481</v>
      </c>
      <c r="B210" s="9" t="s">
        <v>111</v>
      </c>
      <c r="C210" s="9" t="s">
        <v>52</v>
      </c>
      <c r="D210" s="9" t="s">
        <v>482</v>
      </c>
      <c r="E210" s="9" t="s">
        <v>54</v>
      </c>
      <c r="F210" s="9" t="s">
        <v>55</v>
      </c>
      <c r="G210" s="10"/>
      <c r="H210" s="10"/>
      <c r="I210" s="11">
        <v>0</v>
      </c>
      <c r="J210" s="10"/>
      <c r="K210" s="10"/>
      <c r="L210" s="12">
        <v>0</v>
      </c>
      <c r="M210" s="10"/>
      <c r="N210" s="10"/>
      <c r="O210" s="11">
        <v>0</v>
      </c>
      <c r="P210" s="10"/>
      <c r="Q210" s="10"/>
      <c r="R210" s="11">
        <v>0</v>
      </c>
      <c r="S210" s="10"/>
      <c r="T210" s="10"/>
      <c r="U210" s="11">
        <v>0</v>
      </c>
      <c r="V210" s="10">
        <v>300000</v>
      </c>
      <c r="W210" s="10"/>
      <c r="X210" s="11">
        <v>0</v>
      </c>
      <c r="Y210" s="10"/>
      <c r="Z210" s="10"/>
      <c r="AA210" s="11"/>
      <c r="AB210" s="10"/>
      <c r="AC210" s="10"/>
      <c r="AD210" s="11">
        <v>0</v>
      </c>
      <c r="AE210" s="10"/>
      <c r="AF210" s="10"/>
      <c r="AG210" s="11">
        <v>0</v>
      </c>
      <c r="AH210" s="10"/>
      <c r="AI210" s="10"/>
      <c r="AJ210" s="11">
        <v>0</v>
      </c>
      <c r="AK210" s="10"/>
      <c r="AL210" s="10"/>
      <c r="AM210" s="11">
        <v>0</v>
      </c>
      <c r="AN210" s="10"/>
      <c r="AO210" s="10"/>
      <c r="AP210" s="11">
        <v>0</v>
      </c>
      <c r="AQ210" s="10"/>
      <c r="AR210" s="10"/>
      <c r="AS210" s="11">
        <v>0</v>
      </c>
      <c r="AT210" s="10"/>
      <c r="AU210" s="10"/>
      <c r="AV210" s="11">
        <v>0</v>
      </c>
      <c r="AW210" s="10"/>
      <c r="AX210" s="10"/>
      <c r="AY210" s="11">
        <v>0</v>
      </c>
      <c r="AZ210" s="10"/>
      <c r="BA210" s="10"/>
      <c r="BB210" s="11">
        <v>0</v>
      </c>
      <c r="BC210" s="10"/>
      <c r="BD210" s="10"/>
      <c r="BE210" s="11">
        <v>0</v>
      </c>
      <c r="BF210" s="10"/>
      <c r="BG210" s="10"/>
      <c r="BH210" s="11">
        <v>0</v>
      </c>
      <c r="BI210" s="10"/>
      <c r="BJ210" s="10"/>
      <c r="BK210" s="11">
        <v>0</v>
      </c>
      <c r="BL210" s="10"/>
      <c r="BM210" s="10"/>
      <c r="BN210" s="11">
        <v>0</v>
      </c>
      <c r="BO210" s="10"/>
      <c r="BP210" s="10"/>
      <c r="BQ210" s="11">
        <v>0</v>
      </c>
      <c r="BR210" s="10"/>
      <c r="BS210" s="10"/>
      <c r="BT210" s="11">
        <v>0</v>
      </c>
      <c r="BU210" s="10"/>
      <c r="BV210" s="10"/>
      <c r="BW210" s="11">
        <v>0</v>
      </c>
      <c r="BX210" s="10"/>
      <c r="BY210" s="10"/>
      <c r="BZ210" s="11">
        <v>0</v>
      </c>
      <c r="CA210" s="10"/>
      <c r="CB210" s="10"/>
      <c r="CC210" s="11">
        <v>0</v>
      </c>
      <c r="CD210" s="10"/>
      <c r="CE210" s="10"/>
      <c r="CF210" s="11">
        <v>0</v>
      </c>
      <c r="CG210" s="10"/>
      <c r="CH210" s="10"/>
      <c r="CI210" s="11">
        <v>0</v>
      </c>
      <c r="CJ210" s="10"/>
      <c r="CK210" s="10"/>
      <c r="CL210" s="11">
        <v>0</v>
      </c>
      <c r="CM210" s="10"/>
      <c r="CN210" s="10"/>
      <c r="CO210" s="11">
        <v>0</v>
      </c>
      <c r="CP210" s="10"/>
      <c r="CQ210" s="10"/>
      <c r="CR210" s="11">
        <v>0</v>
      </c>
      <c r="CS210" s="10"/>
      <c r="CT210" s="10"/>
      <c r="CU210" s="11">
        <v>0</v>
      </c>
      <c r="CV210" s="10"/>
      <c r="CW210" s="10"/>
      <c r="CX210" s="11">
        <v>0</v>
      </c>
      <c r="CY210" s="10"/>
      <c r="CZ210" s="10"/>
      <c r="DA210" s="11">
        <v>0</v>
      </c>
      <c r="DB210" s="10">
        <v>300000</v>
      </c>
      <c r="DC210" s="10"/>
      <c r="DD210" s="15">
        <f t="shared" si="447"/>
        <v>0</v>
      </c>
      <c r="DE210" s="16"/>
    </row>
    <row r="211" spans="1:109" x14ac:dyDescent="0.35">
      <c r="A211" s="8" t="s">
        <v>483</v>
      </c>
      <c r="B211" s="9" t="s">
        <v>51</v>
      </c>
      <c r="C211" s="9" t="s">
        <v>52</v>
      </c>
      <c r="D211" s="9" t="s">
        <v>484</v>
      </c>
      <c r="E211" s="9" t="s">
        <v>54</v>
      </c>
      <c r="F211" s="9" t="s">
        <v>55</v>
      </c>
      <c r="G211" s="10"/>
      <c r="H211" s="10">
        <v>6100</v>
      </c>
      <c r="I211" s="11">
        <v>0</v>
      </c>
      <c r="J211" s="10"/>
      <c r="K211" s="10"/>
      <c r="L211" s="12">
        <v>0</v>
      </c>
      <c r="M211" s="10"/>
      <c r="N211" s="10"/>
      <c r="O211" s="11">
        <v>0</v>
      </c>
      <c r="P211" s="10"/>
      <c r="Q211" s="10"/>
      <c r="R211" s="11">
        <v>0</v>
      </c>
      <c r="S211" s="10"/>
      <c r="T211" s="10"/>
      <c r="U211" s="11">
        <v>0</v>
      </c>
      <c r="V211" s="10"/>
      <c r="W211" s="10"/>
      <c r="X211" s="11">
        <v>0</v>
      </c>
      <c r="Y211" s="10"/>
      <c r="Z211" s="10"/>
      <c r="AA211" s="11"/>
      <c r="AB211" s="10"/>
      <c r="AC211" s="10"/>
      <c r="AD211" s="11">
        <v>0</v>
      </c>
      <c r="AE211" s="10"/>
      <c r="AF211" s="10"/>
      <c r="AG211" s="11">
        <v>0</v>
      </c>
      <c r="AH211" s="10"/>
      <c r="AI211" s="10"/>
      <c r="AJ211" s="11">
        <v>0</v>
      </c>
      <c r="AK211" s="10"/>
      <c r="AL211" s="10"/>
      <c r="AM211" s="11">
        <v>0</v>
      </c>
      <c r="AN211" s="10"/>
      <c r="AO211" s="10"/>
      <c r="AP211" s="11">
        <v>0</v>
      </c>
      <c r="AQ211" s="10"/>
      <c r="AR211" s="10"/>
      <c r="AS211" s="11">
        <v>0</v>
      </c>
      <c r="AT211" s="10"/>
      <c r="AU211" s="10"/>
      <c r="AV211" s="11">
        <v>0</v>
      </c>
      <c r="AW211" s="10"/>
      <c r="AX211" s="10"/>
      <c r="AY211" s="11">
        <v>0</v>
      </c>
      <c r="AZ211" s="10"/>
      <c r="BA211" s="10"/>
      <c r="BB211" s="11">
        <v>0</v>
      </c>
      <c r="BC211" s="10"/>
      <c r="BD211" s="10"/>
      <c r="BE211" s="11">
        <v>0</v>
      </c>
      <c r="BF211" s="10"/>
      <c r="BG211" s="10">
        <f>VLOOKUP(A:A,'[1]2026 Customer Brand Sales'!$A:$BA,53,0)</f>
        <v>29500</v>
      </c>
      <c r="BH211" s="11">
        <v>0</v>
      </c>
      <c r="BI211" s="10"/>
      <c r="BJ211" s="10"/>
      <c r="BK211" s="11">
        <v>0</v>
      </c>
      <c r="BL211" s="10"/>
      <c r="BM211" s="10">
        <v>1140</v>
      </c>
      <c r="BN211" s="11">
        <v>0</v>
      </c>
      <c r="BO211" s="10"/>
      <c r="BP211" s="10"/>
      <c r="BQ211" s="11">
        <v>0</v>
      </c>
      <c r="BR211" s="10"/>
      <c r="BS211" s="10"/>
      <c r="BT211" s="11">
        <v>0</v>
      </c>
      <c r="BU211" s="10"/>
      <c r="BV211" s="10"/>
      <c r="BW211" s="11">
        <v>0</v>
      </c>
      <c r="BX211" s="10"/>
      <c r="BY211" s="10"/>
      <c r="BZ211" s="11">
        <v>0</v>
      </c>
      <c r="CA211" s="10"/>
      <c r="CB211" s="10"/>
      <c r="CC211" s="11">
        <v>0</v>
      </c>
      <c r="CD211" s="10"/>
      <c r="CE211" s="10"/>
      <c r="CF211" s="11">
        <v>0</v>
      </c>
      <c r="CG211" s="10">
        <v>5000</v>
      </c>
      <c r="CH211" s="10"/>
      <c r="CI211" s="11">
        <f t="shared" si="446"/>
        <v>0</v>
      </c>
      <c r="CJ211" s="10"/>
      <c r="CK211" s="10"/>
      <c r="CL211" s="11">
        <v>0</v>
      </c>
      <c r="CM211" s="10"/>
      <c r="CN211" s="10"/>
      <c r="CO211" s="11">
        <v>0</v>
      </c>
      <c r="CP211" s="10"/>
      <c r="CQ211" s="10"/>
      <c r="CR211" s="11">
        <v>0</v>
      </c>
      <c r="CS211" s="10"/>
      <c r="CT211" s="10"/>
      <c r="CU211" s="11">
        <v>0</v>
      </c>
      <c r="CV211" s="10"/>
      <c r="CW211" s="10"/>
      <c r="CX211" s="11">
        <v>0</v>
      </c>
      <c r="CY211" s="10"/>
      <c r="CZ211" s="10"/>
      <c r="DA211" s="11">
        <v>0</v>
      </c>
      <c r="DB211" s="10">
        <v>5000</v>
      </c>
      <c r="DC211" s="10">
        <f t="shared" ref="DC211:DC215" si="448">SUM(H211,K211,N211,Q211,T211,W211,Z211,AC211,AF211,AI211,AL211,AO211,AR211,AU211,AX211,BA211,BD211,BG211,BJ211,BM211,BP211,BS211,BV211,BY211,CB211,CE211,CH211,CK211,CN211,CQ211,CT211,CW211,CZ211)</f>
        <v>36740</v>
      </c>
      <c r="DD211" s="13">
        <f t="shared" si="447"/>
        <v>7.3479999999999999</v>
      </c>
      <c r="DE211" s="14"/>
    </row>
    <row r="212" spans="1:109" x14ac:dyDescent="0.35">
      <c r="A212" s="8" t="s">
        <v>485</v>
      </c>
      <c r="B212" s="9" t="s">
        <v>118</v>
      </c>
      <c r="C212" s="9" t="s">
        <v>43</v>
      </c>
      <c r="D212" s="9" t="s">
        <v>486</v>
      </c>
      <c r="E212" s="9" t="s">
        <v>61</v>
      </c>
      <c r="F212" s="9" t="s">
        <v>62</v>
      </c>
      <c r="G212" s="10"/>
      <c r="H212" s="10"/>
      <c r="I212" s="11">
        <v>0</v>
      </c>
      <c r="J212" s="10"/>
      <c r="K212" s="10"/>
      <c r="L212" s="12">
        <v>0</v>
      </c>
      <c r="M212" s="10"/>
      <c r="N212" s="10"/>
      <c r="O212" s="11">
        <v>0</v>
      </c>
      <c r="P212" s="10"/>
      <c r="Q212" s="10"/>
      <c r="R212" s="11">
        <v>0</v>
      </c>
      <c r="S212" s="10"/>
      <c r="T212" s="10"/>
      <c r="U212" s="11">
        <v>0</v>
      </c>
      <c r="V212" s="10">
        <v>1500000</v>
      </c>
      <c r="W212" s="10">
        <v>607200</v>
      </c>
      <c r="X212" s="11">
        <v>0.40479999999999999</v>
      </c>
      <c r="Y212" s="10"/>
      <c r="Z212" s="10"/>
      <c r="AA212" s="11"/>
      <c r="AB212" s="10"/>
      <c r="AC212" s="10"/>
      <c r="AD212" s="11">
        <v>0</v>
      </c>
      <c r="AE212" s="10"/>
      <c r="AF212" s="10"/>
      <c r="AG212" s="11">
        <v>0</v>
      </c>
      <c r="AH212" s="10"/>
      <c r="AI212" s="10"/>
      <c r="AJ212" s="11">
        <v>0</v>
      </c>
      <c r="AK212" s="10"/>
      <c r="AL212" s="10"/>
      <c r="AM212" s="11">
        <v>0</v>
      </c>
      <c r="AN212" s="10"/>
      <c r="AO212" s="10"/>
      <c r="AP212" s="11">
        <v>0</v>
      </c>
      <c r="AQ212" s="10"/>
      <c r="AR212" s="10"/>
      <c r="AS212" s="11">
        <v>0</v>
      </c>
      <c r="AT212" s="10"/>
      <c r="AU212" s="10"/>
      <c r="AV212" s="11">
        <v>0</v>
      </c>
      <c r="AW212" s="10"/>
      <c r="AX212" s="10"/>
      <c r="AY212" s="11">
        <v>0</v>
      </c>
      <c r="AZ212" s="10"/>
      <c r="BA212" s="10"/>
      <c r="BB212" s="11">
        <v>0</v>
      </c>
      <c r="BC212" s="10"/>
      <c r="BD212" s="10"/>
      <c r="BE212" s="11">
        <v>0</v>
      </c>
      <c r="BF212" s="10"/>
      <c r="BG212" s="10"/>
      <c r="BH212" s="11">
        <v>0</v>
      </c>
      <c r="BI212" s="10"/>
      <c r="BJ212" s="10"/>
      <c r="BK212" s="11">
        <v>0</v>
      </c>
      <c r="BL212" s="10"/>
      <c r="BM212" s="10"/>
      <c r="BN212" s="11">
        <v>0</v>
      </c>
      <c r="BO212" s="10"/>
      <c r="BP212" s="10"/>
      <c r="BQ212" s="11">
        <v>0</v>
      </c>
      <c r="BR212" s="10"/>
      <c r="BS212" s="10"/>
      <c r="BT212" s="11">
        <v>0</v>
      </c>
      <c r="BU212" s="10"/>
      <c r="BV212" s="10"/>
      <c r="BW212" s="11">
        <v>0</v>
      </c>
      <c r="BX212" s="10"/>
      <c r="BY212" s="10"/>
      <c r="BZ212" s="11">
        <v>0</v>
      </c>
      <c r="CA212" s="10"/>
      <c r="CB212" s="10"/>
      <c r="CC212" s="11">
        <v>0</v>
      </c>
      <c r="CD212" s="10"/>
      <c r="CE212" s="10"/>
      <c r="CF212" s="11">
        <v>0</v>
      </c>
      <c r="CG212" s="10"/>
      <c r="CH212" s="10"/>
      <c r="CI212" s="11">
        <v>0</v>
      </c>
      <c r="CJ212" s="10"/>
      <c r="CK212" s="10"/>
      <c r="CL212" s="11">
        <v>0</v>
      </c>
      <c r="CM212" s="10"/>
      <c r="CN212" s="10"/>
      <c r="CO212" s="11">
        <v>0</v>
      </c>
      <c r="CP212" s="10"/>
      <c r="CQ212" s="10"/>
      <c r="CR212" s="11">
        <v>0</v>
      </c>
      <c r="CS212" s="10"/>
      <c r="CT212" s="10"/>
      <c r="CU212" s="11">
        <v>0</v>
      </c>
      <c r="CV212" s="10"/>
      <c r="CW212" s="10"/>
      <c r="CX212" s="11">
        <v>0</v>
      </c>
      <c r="CY212" s="10"/>
      <c r="CZ212" s="10"/>
      <c r="DA212" s="11">
        <v>0</v>
      </c>
      <c r="DB212" s="10">
        <v>1500000</v>
      </c>
      <c r="DC212" s="10">
        <f t="shared" si="448"/>
        <v>607200</v>
      </c>
      <c r="DD212" s="13">
        <f t="shared" si="447"/>
        <v>0.40479999999999999</v>
      </c>
      <c r="DE212" s="14"/>
    </row>
    <row r="213" spans="1:109" x14ac:dyDescent="0.35">
      <c r="A213" s="8" t="s">
        <v>487</v>
      </c>
      <c r="B213" s="9" t="s">
        <v>77</v>
      </c>
      <c r="C213" s="9" t="s">
        <v>43</v>
      </c>
      <c r="D213" s="9" t="s">
        <v>488</v>
      </c>
      <c r="E213" s="9" t="s">
        <v>61</v>
      </c>
      <c r="F213" s="9" t="s">
        <v>62</v>
      </c>
      <c r="G213" s="10"/>
      <c r="H213" s="10"/>
      <c r="I213" s="11">
        <v>0</v>
      </c>
      <c r="J213" s="10"/>
      <c r="K213" s="10"/>
      <c r="L213" s="12">
        <v>0</v>
      </c>
      <c r="M213" s="10"/>
      <c r="N213" s="10"/>
      <c r="O213" s="11">
        <v>0</v>
      </c>
      <c r="P213" s="10"/>
      <c r="Q213" s="10"/>
      <c r="R213" s="11">
        <v>0</v>
      </c>
      <c r="S213" s="10"/>
      <c r="T213" s="10"/>
      <c r="U213" s="11">
        <v>0</v>
      </c>
      <c r="V213" s="10">
        <v>2200000</v>
      </c>
      <c r="W213" s="10">
        <v>236600</v>
      </c>
      <c r="X213" s="11">
        <v>0.10754545454545454</v>
      </c>
      <c r="Y213" s="10"/>
      <c r="Z213" s="10"/>
      <c r="AA213" s="11"/>
      <c r="AB213" s="10"/>
      <c r="AC213" s="10"/>
      <c r="AD213" s="11">
        <v>0</v>
      </c>
      <c r="AE213" s="10"/>
      <c r="AF213" s="10"/>
      <c r="AG213" s="11">
        <v>0</v>
      </c>
      <c r="AH213" s="10"/>
      <c r="AI213" s="10"/>
      <c r="AJ213" s="11">
        <v>0</v>
      </c>
      <c r="AK213" s="10"/>
      <c r="AL213" s="10"/>
      <c r="AM213" s="11">
        <v>0</v>
      </c>
      <c r="AN213" s="10"/>
      <c r="AO213" s="10"/>
      <c r="AP213" s="11">
        <v>0</v>
      </c>
      <c r="AQ213" s="10"/>
      <c r="AR213" s="10"/>
      <c r="AS213" s="11">
        <v>0</v>
      </c>
      <c r="AT213" s="10"/>
      <c r="AU213" s="10"/>
      <c r="AV213" s="11">
        <v>0</v>
      </c>
      <c r="AW213" s="10"/>
      <c r="AX213" s="10"/>
      <c r="AY213" s="11">
        <v>0</v>
      </c>
      <c r="AZ213" s="10"/>
      <c r="BA213" s="10"/>
      <c r="BB213" s="11">
        <v>0</v>
      </c>
      <c r="BC213" s="10"/>
      <c r="BD213" s="10"/>
      <c r="BE213" s="11">
        <v>0</v>
      </c>
      <c r="BF213" s="10"/>
      <c r="BG213" s="10"/>
      <c r="BH213" s="11">
        <v>0</v>
      </c>
      <c r="BI213" s="10"/>
      <c r="BJ213" s="10"/>
      <c r="BK213" s="11">
        <v>0</v>
      </c>
      <c r="BL213" s="10"/>
      <c r="BM213" s="10"/>
      <c r="BN213" s="11">
        <v>0</v>
      </c>
      <c r="BO213" s="10"/>
      <c r="BP213" s="10"/>
      <c r="BQ213" s="11">
        <v>0</v>
      </c>
      <c r="BR213" s="10"/>
      <c r="BS213" s="10"/>
      <c r="BT213" s="11">
        <v>0</v>
      </c>
      <c r="BU213" s="10"/>
      <c r="BV213" s="10"/>
      <c r="BW213" s="11">
        <v>0</v>
      </c>
      <c r="BX213" s="10"/>
      <c r="BY213" s="10"/>
      <c r="BZ213" s="11">
        <v>0</v>
      </c>
      <c r="CA213" s="10"/>
      <c r="CB213" s="10"/>
      <c r="CC213" s="11">
        <v>0</v>
      </c>
      <c r="CD213" s="10"/>
      <c r="CE213" s="10"/>
      <c r="CF213" s="11">
        <v>0</v>
      </c>
      <c r="CG213" s="10"/>
      <c r="CH213" s="10"/>
      <c r="CI213" s="11">
        <v>0</v>
      </c>
      <c r="CJ213" s="10"/>
      <c r="CK213" s="10"/>
      <c r="CL213" s="11">
        <v>0</v>
      </c>
      <c r="CM213" s="10"/>
      <c r="CN213" s="10"/>
      <c r="CO213" s="11">
        <v>0</v>
      </c>
      <c r="CP213" s="10"/>
      <c r="CQ213" s="10"/>
      <c r="CR213" s="11">
        <v>0</v>
      </c>
      <c r="CS213" s="10"/>
      <c r="CT213" s="10"/>
      <c r="CU213" s="11">
        <v>0</v>
      </c>
      <c r="CV213" s="10"/>
      <c r="CW213" s="10"/>
      <c r="CX213" s="11">
        <v>0</v>
      </c>
      <c r="CY213" s="10"/>
      <c r="CZ213" s="10"/>
      <c r="DA213" s="11">
        <v>0</v>
      </c>
      <c r="DB213" s="10">
        <v>2200000</v>
      </c>
      <c r="DC213" s="10">
        <f t="shared" si="448"/>
        <v>236600</v>
      </c>
      <c r="DD213" s="13">
        <f t="shared" si="447"/>
        <v>0.10754545454545454</v>
      </c>
      <c r="DE213" s="14"/>
    </row>
    <row r="214" spans="1:109" x14ac:dyDescent="0.35">
      <c r="A214" s="8" t="s">
        <v>489</v>
      </c>
      <c r="B214" s="9" t="s">
        <v>118</v>
      </c>
      <c r="C214" s="9" t="s">
        <v>43</v>
      </c>
      <c r="D214" s="9" t="s">
        <v>490</v>
      </c>
      <c r="E214" s="9" t="s">
        <v>61</v>
      </c>
      <c r="F214" s="9" t="s">
        <v>62</v>
      </c>
      <c r="G214" s="10"/>
      <c r="H214" s="10"/>
      <c r="I214" s="11">
        <v>0</v>
      </c>
      <c r="J214" s="10"/>
      <c r="K214" s="10"/>
      <c r="L214" s="12">
        <v>0</v>
      </c>
      <c r="M214" s="10"/>
      <c r="N214" s="10"/>
      <c r="O214" s="11">
        <v>0</v>
      </c>
      <c r="P214" s="10"/>
      <c r="Q214" s="10"/>
      <c r="R214" s="11">
        <v>0</v>
      </c>
      <c r="S214" s="10"/>
      <c r="T214" s="10"/>
      <c r="U214" s="11">
        <v>0</v>
      </c>
      <c r="V214" s="10">
        <v>3600000</v>
      </c>
      <c r="W214" s="10">
        <v>1531400</v>
      </c>
      <c r="X214" s="11">
        <v>0.42538888888888887</v>
      </c>
      <c r="Y214" s="10"/>
      <c r="Z214" s="10"/>
      <c r="AA214" s="11"/>
      <c r="AB214" s="10"/>
      <c r="AC214" s="10"/>
      <c r="AD214" s="11">
        <v>0</v>
      </c>
      <c r="AE214" s="10"/>
      <c r="AF214" s="10"/>
      <c r="AG214" s="11">
        <v>0</v>
      </c>
      <c r="AH214" s="10"/>
      <c r="AI214" s="10"/>
      <c r="AJ214" s="11">
        <v>0</v>
      </c>
      <c r="AK214" s="10"/>
      <c r="AL214" s="10"/>
      <c r="AM214" s="11">
        <v>0</v>
      </c>
      <c r="AN214" s="10"/>
      <c r="AO214" s="10"/>
      <c r="AP214" s="11">
        <v>0</v>
      </c>
      <c r="AQ214" s="10"/>
      <c r="AR214" s="10"/>
      <c r="AS214" s="11">
        <v>0</v>
      </c>
      <c r="AT214" s="10"/>
      <c r="AU214" s="10"/>
      <c r="AV214" s="11">
        <v>0</v>
      </c>
      <c r="AW214" s="10"/>
      <c r="AX214" s="10"/>
      <c r="AY214" s="11">
        <v>0</v>
      </c>
      <c r="AZ214" s="10"/>
      <c r="BA214" s="10"/>
      <c r="BB214" s="11">
        <v>0</v>
      </c>
      <c r="BC214" s="10"/>
      <c r="BD214" s="10"/>
      <c r="BE214" s="11">
        <v>0</v>
      </c>
      <c r="BF214" s="10"/>
      <c r="BG214" s="10"/>
      <c r="BH214" s="11">
        <v>0</v>
      </c>
      <c r="BI214" s="10"/>
      <c r="BJ214" s="10"/>
      <c r="BK214" s="11">
        <v>0</v>
      </c>
      <c r="BL214" s="10"/>
      <c r="BM214" s="10"/>
      <c r="BN214" s="11">
        <v>0</v>
      </c>
      <c r="BO214" s="10"/>
      <c r="BP214" s="10"/>
      <c r="BQ214" s="11">
        <v>0</v>
      </c>
      <c r="BR214" s="10"/>
      <c r="BS214" s="10"/>
      <c r="BT214" s="11">
        <v>0</v>
      </c>
      <c r="BU214" s="10"/>
      <c r="BV214" s="10"/>
      <c r="BW214" s="11">
        <v>0</v>
      </c>
      <c r="BX214" s="10"/>
      <c r="BY214" s="10"/>
      <c r="BZ214" s="11">
        <v>0</v>
      </c>
      <c r="CA214" s="10"/>
      <c r="CB214" s="10"/>
      <c r="CC214" s="11">
        <v>0</v>
      </c>
      <c r="CD214" s="10"/>
      <c r="CE214" s="10"/>
      <c r="CF214" s="11">
        <v>0</v>
      </c>
      <c r="CG214" s="10"/>
      <c r="CH214" s="10"/>
      <c r="CI214" s="11">
        <v>0</v>
      </c>
      <c r="CJ214" s="10"/>
      <c r="CK214" s="10"/>
      <c r="CL214" s="11">
        <v>0</v>
      </c>
      <c r="CM214" s="10"/>
      <c r="CN214" s="10"/>
      <c r="CO214" s="11">
        <v>0</v>
      </c>
      <c r="CP214" s="10"/>
      <c r="CQ214" s="10"/>
      <c r="CR214" s="11">
        <v>0</v>
      </c>
      <c r="CS214" s="10"/>
      <c r="CT214" s="10"/>
      <c r="CU214" s="11">
        <v>0</v>
      </c>
      <c r="CV214" s="10"/>
      <c r="CW214" s="10"/>
      <c r="CX214" s="11">
        <v>0</v>
      </c>
      <c r="CY214" s="10"/>
      <c r="CZ214" s="10"/>
      <c r="DA214" s="11">
        <v>0</v>
      </c>
      <c r="DB214" s="10">
        <v>3600000</v>
      </c>
      <c r="DC214" s="10">
        <f t="shared" si="448"/>
        <v>1531400</v>
      </c>
      <c r="DD214" s="13">
        <f t="shared" si="447"/>
        <v>0.42538888888888887</v>
      </c>
      <c r="DE214" s="14"/>
    </row>
    <row r="215" spans="1:109" x14ac:dyDescent="0.35">
      <c r="A215" s="8" t="s">
        <v>491</v>
      </c>
      <c r="B215" s="9" t="s">
        <v>51</v>
      </c>
      <c r="C215" s="9" t="s">
        <v>52</v>
      </c>
      <c r="D215" s="9" t="s">
        <v>492</v>
      </c>
      <c r="E215" s="9" t="s">
        <v>54</v>
      </c>
      <c r="F215" s="9" t="s">
        <v>55</v>
      </c>
      <c r="G215" s="10"/>
      <c r="H215" s="10"/>
      <c r="I215" s="11">
        <v>0</v>
      </c>
      <c r="J215" s="10"/>
      <c r="K215" s="10"/>
      <c r="L215" s="12">
        <v>0</v>
      </c>
      <c r="M215" s="10"/>
      <c r="N215" s="10"/>
      <c r="O215" s="11">
        <v>0</v>
      </c>
      <c r="P215" s="10"/>
      <c r="Q215" s="10"/>
      <c r="R215" s="11">
        <v>0</v>
      </c>
      <c r="S215" s="10"/>
      <c r="T215" s="10"/>
      <c r="U215" s="11">
        <v>0</v>
      </c>
      <c r="V215" s="10"/>
      <c r="W215" s="10"/>
      <c r="X215" s="11">
        <v>0</v>
      </c>
      <c r="Y215" s="10"/>
      <c r="Z215" s="10"/>
      <c r="AA215" s="11"/>
      <c r="AB215" s="10"/>
      <c r="AC215" s="10"/>
      <c r="AD215" s="11">
        <v>0</v>
      </c>
      <c r="AE215" s="10"/>
      <c r="AF215" s="10"/>
      <c r="AG215" s="11">
        <v>0</v>
      </c>
      <c r="AH215" s="10"/>
      <c r="AI215" s="10"/>
      <c r="AJ215" s="11">
        <v>0</v>
      </c>
      <c r="AK215" s="10"/>
      <c r="AL215" s="10"/>
      <c r="AM215" s="11">
        <v>0</v>
      </c>
      <c r="AN215" s="10"/>
      <c r="AO215" s="10"/>
      <c r="AP215" s="11">
        <v>0</v>
      </c>
      <c r="AQ215" s="10"/>
      <c r="AR215" s="10"/>
      <c r="AS215" s="11">
        <v>0</v>
      </c>
      <c r="AT215" s="10"/>
      <c r="AU215" s="10"/>
      <c r="AV215" s="11">
        <v>0</v>
      </c>
      <c r="AW215" s="10"/>
      <c r="AX215" s="10"/>
      <c r="AY215" s="11">
        <v>0</v>
      </c>
      <c r="AZ215" s="10"/>
      <c r="BA215" s="10"/>
      <c r="BB215" s="11">
        <v>0</v>
      </c>
      <c r="BC215" s="10"/>
      <c r="BD215" s="10"/>
      <c r="BE215" s="11">
        <v>0</v>
      </c>
      <c r="BF215" s="10"/>
      <c r="BG215" s="10">
        <f>VLOOKUP(A:A,'[1]2026 Customer Brand Sales'!$A:$BA,53,0)</f>
        <v>20830</v>
      </c>
      <c r="BH215" s="11">
        <v>0</v>
      </c>
      <c r="BI215" s="10"/>
      <c r="BJ215" s="10"/>
      <c r="BK215" s="11">
        <v>0</v>
      </c>
      <c r="BL215" s="10"/>
      <c r="BM215" s="10"/>
      <c r="BN215" s="11">
        <v>0</v>
      </c>
      <c r="BO215" s="10"/>
      <c r="BP215" s="10"/>
      <c r="BQ215" s="11">
        <v>0</v>
      </c>
      <c r="BR215" s="10"/>
      <c r="BS215" s="10"/>
      <c r="BT215" s="11">
        <v>0</v>
      </c>
      <c r="BU215" s="10"/>
      <c r="BV215" s="10"/>
      <c r="BW215" s="11">
        <v>0</v>
      </c>
      <c r="BX215" s="10"/>
      <c r="BY215" s="10"/>
      <c r="BZ215" s="11">
        <v>0</v>
      </c>
      <c r="CA215" s="10"/>
      <c r="CB215" s="10"/>
      <c r="CC215" s="11">
        <v>0</v>
      </c>
      <c r="CD215" s="10"/>
      <c r="CE215" s="10"/>
      <c r="CF215" s="11">
        <v>0</v>
      </c>
      <c r="CG215" s="10"/>
      <c r="CH215" s="10"/>
      <c r="CI215" s="11">
        <v>0</v>
      </c>
      <c r="CJ215" s="10"/>
      <c r="CK215" s="10"/>
      <c r="CL215" s="11">
        <v>0</v>
      </c>
      <c r="CM215" s="10"/>
      <c r="CN215" s="10"/>
      <c r="CO215" s="11">
        <v>0</v>
      </c>
      <c r="CP215" s="10"/>
      <c r="CQ215" s="10"/>
      <c r="CR215" s="11">
        <v>0</v>
      </c>
      <c r="CS215" s="10"/>
      <c r="CT215" s="10"/>
      <c r="CU215" s="11">
        <v>0</v>
      </c>
      <c r="CV215" s="10"/>
      <c r="CW215" s="10"/>
      <c r="CX215" s="11">
        <v>0</v>
      </c>
      <c r="CY215" s="10"/>
      <c r="CZ215" s="10"/>
      <c r="DA215" s="11">
        <v>0</v>
      </c>
      <c r="DB215" s="10"/>
      <c r="DC215" s="10">
        <f t="shared" si="448"/>
        <v>20830</v>
      </c>
      <c r="DD215" s="13">
        <v>0</v>
      </c>
      <c r="DE215" s="14"/>
    </row>
    <row r="216" spans="1:109" x14ac:dyDescent="0.35">
      <c r="A216" s="8" t="s">
        <v>493</v>
      </c>
      <c r="B216" s="9" t="s">
        <v>172</v>
      </c>
      <c r="C216" s="9" t="s">
        <v>52</v>
      </c>
      <c r="D216" s="9" t="s">
        <v>494</v>
      </c>
      <c r="E216" s="9" t="s">
        <v>54</v>
      </c>
      <c r="F216" s="9" t="s">
        <v>55</v>
      </c>
      <c r="G216" s="10"/>
      <c r="H216" s="10"/>
      <c r="I216" s="11">
        <v>0</v>
      </c>
      <c r="J216" s="10"/>
      <c r="K216" s="10"/>
      <c r="L216" s="12">
        <v>0</v>
      </c>
      <c r="M216" s="10"/>
      <c r="N216" s="10"/>
      <c r="O216" s="11">
        <v>0</v>
      </c>
      <c r="P216" s="10"/>
      <c r="Q216" s="10"/>
      <c r="R216" s="11">
        <v>0</v>
      </c>
      <c r="S216" s="10"/>
      <c r="T216" s="10"/>
      <c r="U216" s="11">
        <v>0</v>
      </c>
      <c r="V216" s="10">
        <v>2000000</v>
      </c>
      <c r="W216" s="10">
        <v>689100</v>
      </c>
      <c r="X216" s="11">
        <v>0.34455000000000002</v>
      </c>
      <c r="Y216" s="10"/>
      <c r="Z216" s="10"/>
      <c r="AA216" s="11"/>
      <c r="AB216" s="10"/>
      <c r="AC216" s="10"/>
      <c r="AD216" s="11">
        <v>0</v>
      </c>
      <c r="AE216" s="10"/>
      <c r="AF216" s="10"/>
      <c r="AG216" s="11">
        <v>0</v>
      </c>
      <c r="AH216" s="10"/>
      <c r="AI216" s="10"/>
      <c r="AJ216" s="11">
        <v>0</v>
      </c>
      <c r="AK216" s="10"/>
      <c r="AL216" s="10"/>
      <c r="AM216" s="11">
        <v>0</v>
      </c>
      <c r="AN216" s="10"/>
      <c r="AO216" s="10"/>
      <c r="AP216" s="11">
        <v>0</v>
      </c>
      <c r="AQ216" s="10"/>
      <c r="AR216" s="10"/>
      <c r="AS216" s="11">
        <v>0</v>
      </c>
      <c r="AT216" s="10"/>
      <c r="AU216" s="10"/>
      <c r="AV216" s="11">
        <v>0</v>
      </c>
      <c r="AW216" s="10"/>
      <c r="AX216" s="10"/>
      <c r="AY216" s="11">
        <v>0</v>
      </c>
      <c r="AZ216" s="10"/>
      <c r="BA216" s="10"/>
      <c r="BB216" s="11">
        <v>0</v>
      </c>
      <c r="BC216" s="10"/>
      <c r="BD216" s="10"/>
      <c r="BE216" s="11">
        <v>0</v>
      </c>
      <c r="BF216" s="10"/>
      <c r="BG216" s="10"/>
      <c r="BH216" s="11">
        <v>0</v>
      </c>
      <c r="BI216" s="10"/>
      <c r="BJ216" s="10"/>
      <c r="BK216" s="11">
        <v>0</v>
      </c>
      <c r="BL216" s="10"/>
      <c r="BM216" s="10"/>
      <c r="BN216" s="11">
        <v>0</v>
      </c>
      <c r="BO216" s="10"/>
      <c r="BP216" s="10"/>
      <c r="BQ216" s="11">
        <v>0</v>
      </c>
      <c r="BR216" s="10"/>
      <c r="BS216" s="10"/>
      <c r="BT216" s="11">
        <v>0</v>
      </c>
      <c r="BU216" s="10"/>
      <c r="BV216" s="10"/>
      <c r="BW216" s="11">
        <v>0</v>
      </c>
      <c r="BX216" s="10"/>
      <c r="BY216" s="10"/>
      <c r="BZ216" s="11">
        <v>0</v>
      </c>
      <c r="CA216" s="10"/>
      <c r="CB216" s="10"/>
      <c r="CC216" s="11">
        <v>0</v>
      </c>
      <c r="CD216" s="10"/>
      <c r="CE216" s="10"/>
      <c r="CF216" s="11">
        <v>0</v>
      </c>
      <c r="CG216" s="10"/>
      <c r="CH216" s="10"/>
      <c r="CI216" s="11">
        <v>0</v>
      </c>
      <c r="CJ216" s="10"/>
      <c r="CK216" s="10"/>
      <c r="CL216" s="11">
        <v>0</v>
      </c>
      <c r="CM216" s="10"/>
      <c r="CN216" s="10"/>
      <c r="CO216" s="11">
        <v>0</v>
      </c>
      <c r="CP216" s="10"/>
      <c r="CQ216" s="10"/>
      <c r="CR216" s="11">
        <v>0</v>
      </c>
      <c r="CS216" s="10"/>
      <c r="CT216" s="10"/>
      <c r="CU216" s="11">
        <v>0</v>
      </c>
      <c r="CV216" s="10"/>
      <c r="CW216" s="10"/>
      <c r="CX216" s="11">
        <v>0</v>
      </c>
      <c r="CY216" s="10"/>
      <c r="CZ216" s="10"/>
      <c r="DA216" s="11">
        <v>0</v>
      </c>
      <c r="DB216" s="10">
        <v>2000000</v>
      </c>
      <c r="DC216" s="10">
        <f t="shared" ref="DC216:DC223" si="449">SUM(H216,K216,N216,Q216,T216,W216,Z216,AC216,AF216,AI216,AL216,AO216,AR216,AU216,AX216,BA216,BD216,BG216,BJ216,BM216,BP216,BS216,BV216,BY216,CB216,CE216,CH216,CK216,CN216,CQ216,CT216,CW216,CZ216)</f>
        <v>689100</v>
      </c>
      <c r="DD216" s="13">
        <f t="shared" ref="DD216:DD223" si="450">DC216/DB216</f>
        <v>0.34455000000000002</v>
      </c>
      <c r="DE216" s="14"/>
    </row>
    <row r="217" spans="1:109" x14ac:dyDescent="0.35">
      <c r="A217" s="8" t="s">
        <v>495</v>
      </c>
      <c r="B217" s="9" t="s">
        <v>51</v>
      </c>
      <c r="C217" s="9" t="s">
        <v>52</v>
      </c>
      <c r="D217" s="9" t="s">
        <v>496</v>
      </c>
      <c r="E217" s="9" t="s">
        <v>54</v>
      </c>
      <c r="F217" s="9" t="s">
        <v>55</v>
      </c>
      <c r="G217" s="10"/>
      <c r="H217" s="10"/>
      <c r="I217" s="11">
        <v>0</v>
      </c>
      <c r="J217" s="10"/>
      <c r="K217" s="10"/>
      <c r="L217" s="12">
        <v>0</v>
      </c>
      <c r="M217" s="10"/>
      <c r="N217" s="10"/>
      <c r="O217" s="11">
        <v>0</v>
      </c>
      <c r="P217" s="10"/>
      <c r="Q217" s="10"/>
      <c r="R217" s="11">
        <v>0</v>
      </c>
      <c r="S217" s="10"/>
      <c r="T217" s="10"/>
      <c r="U217" s="11">
        <v>0</v>
      </c>
      <c r="V217" s="10"/>
      <c r="W217" s="10"/>
      <c r="X217" s="11">
        <v>0</v>
      </c>
      <c r="Y217" s="10"/>
      <c r="Z217" s="10"/>
      <c r="AA217" s="11"/>
      <c r="AB217" s="10"/>
      <c r="AC217" s="10"/>
      <c r="AD217" s="11">
        <v>0</v>
      </c>
      <c r="AE217" s="10"/>
      <c r="AF217" s="10"/>
      <c r="AG217" s="11">
        <v>0</v>
      </c>
      <c r="AH217" s="10"/>
      <c r="AI217" s="10"/>
      <c r="AJ217" s="11">
        <v>0</v>
      </c>
      <c r="AK217" s="10"/>
      <c r="AL217" s="10"/>
      <c r="AM217" s="11">
        <v>0</v>
      </c>
      <c r="AN217" s="10"/>
      <c r="AO217" s="10"/>
      <c r="AP217" s="11">
        <v>0</v>
      </c>
      <c r="AQ217" s="10"/>
      <c r="AR217" s="10"/>
      <c r="AS217" s="11">
        <v>0</v>
      </c>
      <c r="AT217" s="10"/>
      <c r="AU217" s="10"/>
      <c r="AV217" s="11">
        <v>0</v>
      </c>
      <c r="AW217" s="10"/>
      <c r="AX217" s="10"/>
      <c r="AY217" s="11">
        <v>0</v>
      </c>
      <c r="AZ217" s="10"/>
      <c r="BA217" s="10"/>
      <c r="BB217" s="11">
        <v>0</v>
      </c>
      <c r="BC217" s="10"/>
      <c r="BD217" s="10"/>
      <c r="BE217" s="11">
        <v>0</v>
      </c>
      <c r="BF217" s="10"/>
      <c r="BG217" s="10"/>
      <c r="BH217" s="11">
        <v>0</v>
      </c>
      <c r="BI217" s="10"/>
      <c r="BJ217" s="10"/>
      <c r="BK217" s="11">
        <v>0</v>
      </c>
      <c r="BL217" s="10"/>
      <c r="BM217" s="10"/>
      <c r="BN217" s="11">
        <v>0</v>
      </c>
      <c r="BO217" s="10"/>
      <c r="BP217" s="10"/>
      <c r="BQ217" s="11">
        <v>0</v>
      </c>
      <c r="BR217" s="10"/>
      <c r="BS217" s="10"/>
      <c r="BT217" s="11">
        <v>0</v>
      </c>
      <c r="BU217" s="10"/>
      <c r="BV217" s="10"/>
      <c r="BW217" s="11">
        <v>0</v>
      </c>
      <c r="BX217" s="10"/>
      <c r="BY217" s="10"/>
      <c r="BZ217" s="11">
        <v>0</v>
      </c>
      <c r="CA217" s="10"/>
      <c r="CB217" s="10"/>
      <c r="CC217" s="11">
        <v>0</v>
      </c>
      <c r="CD217" s="10"/>
      <c r="CE217" s="10"/>
      <c r="CF217" s="11">
        <v>0</v>
      </c>
      <c r="CG217" s="10"/>
      <c r="CH217" s="10"/>
      <c r="CI217" s="11">
        <v>0</v>
      </c>
      <c r="CJ217" s="10"/>
      <c r="CK217" s="10"/>
      <c r="CL217" s="11">
        <v>0</v>
      </c>
      <c r="CM217" s="10"/>
      <c r="CN217" s="10"/>
      <c r="CO217" s="11">
        <v>0</v>
      </c>
      <c r="CP217" s="10"/>
      <c r="CQ217" s="10"/>
      <c r="CR217" s="11">
        <v>0</v>
      </c>
      <c r="CS217" s="10"/>
      <c r="CT217" s="10"/>
      <c r="CU217" s="11">
        <v>0</v>
      </c>
      <c r="CV217" s="10"/>
      <c r="CW217" s="10"/>
      <c r="CX217" s="11">
        <v>0</v>
      </c>
      <c r="CY217" s="10"/>
      <c r="CZ217" s="10"/>
      <c r="DA217" s="11">
        <v>0</v>
      </c>
      <c r="DB217" s="10"/>
      <c r="DC217" s="10"/>
      <c r="DD217" s="13">
        <v>0</v>
      </c>
      <c r="DE217" s="14"/>
    </row>
    <row r="218" spans="1:109" x14ac:dyDescent="0.35">
      <c r="A218" s="8" t="s">
        <v>497</v>
      </c>
      <c r="B218" s="9" t="s">
        <v>172</v>
      </c>
      <c r="C218" s="9" t="s">
        <v>52</v>
      </c>
      <c r="D218" s="9" t="s">
        <v>498</v>
      </c>
      <c r="E218" s="9" t="s">
        <v>54</v>
      </c>
      <c r="F218" s="9" t="s">
        <v>55</v>
      </c>
      <c r="G218" s="10"/>
      <c r="H218" s="10"/>
      <c r="I218" s="11">
        <v>0</v>
      </c>
      <c r="J218" s="10"/>
      <c r="K218" s="10"/>
      <c r="L218" s="12">
        <v>0</v>
      </c>
      <c r="M218" s="10"/>
      <c r="N218" s="10"/>
      <c r="O218" s="11">
        <v>0</v>
      </c>
      <c r="P218" s="10"/>
      <c r="Q218" s="10"/>
      <c r="R218" s="11">
        <v>0</v>
      </c>
      <c r="S218" s="10"/>
      <c r="T218" s="10"/>
      <c r="U218" s="11">
        <v>0</v>
      </c>
      <c r="V218" s="10"/>
      <c r="W218" s="10"/>
      <c r="X218" s="11">
        <v>0</v>
      </c>
      <c r="Y218" s="10"/>
      <c r="Z218" s="10"/>
      <c r="AA218" s="11"/>
      <c r="AB218" s="10"/>
      <c r="AC218" s="10"/>
      <c r="AD218" s="11">
        <v>0</v>
      </c>
      <c r="AE218" s="10"/>
      <c r="AF218" s="10"/>
      <c r="AG218" s="11">
        <v>0</v>
      </c>
      <c r="AH218" s="10"/>
      <c r="AI218" s="10"/>
      <c r="AJ218" s="11">
        <v>0</v>
      </c>
      <c r="AK218" s="10">
        <v>200000</v>
      </c>
      <c r="AL218" s="10"/>
      <c r="AM218" s="11">
        <f t="shared" ref="AM218" si="451">AL218/AK218</f>
        <v>0</v>
      </c>
      <c r="AN218" s="10"/>
      <c r="AO218" s="10"/>
      <c r="AP218" s="11">
        <v>0</v>
      </c>
      <c r="AQ218" s="10"/>
      <c r="AR218" s="10"/>
      <c r="AS218" s="11">
        <v>0</v>
      </c>
      <c r="AT218" s="10"/>
      <c r="AU218" s="10"/>
      <c r="AV218" s="11">
        <v>0</v>
      </c>
      <c r="AW218" s="10"/>
      <c r="AX218" s="10"/>
      <c r="AY218" s="11">
        <v>0</v>
      </c>
      <c r="AZ218" s="10"/>
      <c r="BA218" s="10"/>
      <c r="BB218" s="11">
        <v>0</v>
      </c>
      <c r="BC218" s="10"/>
      <c r="BD218" s="10"/>
      <c r="BE218" s="11">
        <v>0</v>
      </c>
      <c r="BF218" s="10">
        <v>750000</v>
      </c>
      <c r="BG218" s="10"/>
      <c r="BH218" s="11">
        <f t="shared" ref="BH218" si="452">BG218/BF218</f>
        <v>0</v>
      </c>
      <c r="BI218" s="10"/>
      <c r="BJ218" s="10"/>
      <c r="BK218" s="11">
        <v>0</v>
      </c>
      <c r="BL218" s="10"/>
      <c r="BM218" s="10"/>
      <c r="BN218" s="11">
        <v>0</v>
      </c>
      <c r="BO218" s="10"/>
      <c r="BP218" s="10"/>
      <c r="BQ218" s="11">
        <v>0</v>
      </c>
      <c r="BR218" s="10"/>
      <c r="BS218" s="10"/>
      <c r="BT218" s="11">
        <v>0</v>
      </c>
      <c r="BU218" s="10"/>
      <c r="BV218" s="10"/>
      <c r="BW218" s="11">
        <v>0</v>
      </c>
      <c r="BX218" s="10"/>
      <c r="BY218" s="10"/>
      <c r="BZ218" s="11">
        <v>0</v>
      </c>
      <c r="CA218" s="10"/>
      <c r="CB218" s="10"/>
      <c r="CC218" s="11">
        <v>0</v>
      </c>
      <c r="CD218" s="10"/>
      <c r="CE218" s="10"/>
      <c r="CF218" s="11">
        <v>0</v>
      </c>
      <c r="CG218" s="10"/>
      <c r="CH218" s="10"/>
      <c r="CI218" s="11">
        <v>0</v>
      </c>
      <c r="CJ218" s="10"/>
      <c r="CK218" s="10"/>
      <c r="CL218" s="11">
        <v>0</v>
      </c>
      <c r="CM218" s="10"/>
      <c r="CN218" s="10"/>
      <c r="CO218" s="11">
        <v>0</v>
      </c>
      <c r="CP218" s="10"/>
      <c r="CQ218" s="10"/>
      <c r="CR218" s="11">
        <v>0</v>
      </c>
      <c r="CS218" s="10"/>
      <c r="CT218" s="10"/>
      <c r="CU218" s="11">
        <v>0</v>
      </c>
      <c r="CV218" s="10"/>
      <c r="CW218" s="10"/>
      <c r="CX218" s="11">
        <v>0</v>
      </c>
      <c r="CY218" s="10"/>
      <c r="CZ218" s="10"/>
      <c r="DA218" s="11">
        <v>0</v>
      </c>
      <c r="DB218" s="10">
        <v>950000</v>
      </c>
      <c r="DC218" s="10"/>
      <c r="DD218" s="15">
        <f t="shared" si="450"/>
        <v>0</v>
      </c>
      <c r="DE218" s="16"/>
    </row>
    <row r="219" spans="1:109" x14ac:dyDescent="0.35">
      <c r="A219" s="8" t="s">
        <v>499</v>
      </c>
      <c r="B219" s="9" t="s">
        <v>59</v>
      </c>
      <c r="C219" s="9" t="s">
        <v>43</v>
      </c>
      <c r="D219" s="9" t="s">
        <v>500</v>
      </c>
      <c r="E219" s="9" t="s">
        <v>61</v>
      </c>
      <c r="F219" s="9" t="s">
        <v>62</v>
      </c>
      <c r="G219" s="10"/>
      <c r="H219" s="10"/>
      <c r="I219" s="11">
        <v>0</v>
      </c>
      <c r="J219" s="10"/>
      <c r="K219" s="10"/>
      <c r="L219" s="12">
        <v>0</v>
      </c>
      <c r="M219" s="10"/>
      <c r="N219" s="10"/>
      <c r="O219" s="11">
        <v>0</v>
      </c>
      <c r="P219" s="10"/>
      <c r="Q219" s="10"/>
      <c r="R219" s="11">
        <v>0</v>
      </c>
      <c r="S219" s="10"/>
      <c r="T219" s="10"/>
      <c r="U219" s="11">
        <v>0</v>
      </c>
      <c r="V219" s="10"/>
      <c r="W219" s="10"/>
      <c r="X219" s="11">
        <v>0</v>
      </c>
      <c r="Y219" s="10"/>
      <c r="Z219" s="10"/>
      <c r="AA219" s="11"/>
      <c r="AB219" s="10"/>
      <c r="AC219" s="10"/>
      <c r="AD219" s="11">
        <v>0</v>
      </c>
      <c r="AE219" s="10"/>
      <c r="AF219" s="10"/>
      <c r="AG219" s="11">
        <v>0</v>
      </c>
      <c r="AH219" s="10"/>
      <c r="AI219" s="10"/>
      <c r="AJ219" s="11">
        <v>0</v>
      </c>
      <c r="AK219" s="10"/>
      <c r="AL219" s="10"/>
      <c r="AM219" s="11">
        <v>0</v>
      </c>
      <c r="AN219" s="10"/>
      <c r="AO219" s="10"/>
      <c r="AP219" s="11">
        <v>0</v>
      </c>
      <c r="AQ219" s="10"/>
      <c r="AR219" s="10"/>
      <c r="AS219" s="11">
        <v>0</v>
      </c>
      <c r="AT219" s="10"/>
      <c r="AU219" s="10"/>
      <c r="AV219" s="11">
        <v>0</v>
      </c>
      <c r="AW219" s="10"/>
      <c r="AX219" s="10"/>
      <c r="AY219" s="11">
        <v>0</v>
      </c>
      <c r="AZ219" s="10"/>
      <c r="BA219" s="10"/>
      <c r="BB219" s="11">
        <v>0</v>
      </c>
      <c r="BC219" s="10"/>
      <c r="BD219" s="10"/>
      <c r="BE219" s="11">
        <v>0</v>
      </c>
      <c r="BF219" s="10"/>
      <c r="BG219" s="10"/>
      <c r="BH219" s="11">
        <v>0</v>
      </c>
      <c r="BI219" s="10"/>
      <c r="BJ219" s="10"/>
      <c r="BK219" s="11">
        <v>0</v>
      </c>
      <c r="BL219" s="10"/>
      <c r="BM219" s="10"/>
      <c r="BN219" s="11">
        <v>0</v>
      </c>
      <c r="BO219" s="10"/>
      <c r="BP219" s="10"/>
      <c r="BQ219" s="11">
        <v>0</v>
      </c>
      <c r="BR219" s="10"/>
      <c r="BS219" s="10"/>
      <c r="BT219" s="11">
        <v>0</v>
      </c>
      <c r="BU219" s="10"/>
      <c r="BV219" s="10"/>
      <c r="BW219" s="11">
        <v>0</v>
      </c>
      <c r="BX219" s="10"/>
      <c r="BY219" s="10"/>
      <c r="BZ219" s="11">
        <v>0</v>
      </c>
      <c r="CA219" s="10"/>
      <c r="CB219" s="10"/>
      <c r="CC219" s="11">
        <v>0</v>
      </c>
      <c r="CD219" s="10"/>
      <c r="CE219" s="10"/>
      <c r="CF219" s="11">
        <v>0</v>
      </c>
      <c r="CG219" s="10"/>
      <c r="CH219" s="10"/>
      <c r="CI219" s="11">
        <v>0</v>
      </c>
      <c r="CJ219" s="10"/>
      <c r="CK219" s="10"/>
      <c r="CL219" s="11">
        <v>0</v>
      </c>
      <c r="CM219" s="10"/>
      <c r="CN219" s="10"/>
      <c r="CO219" s="11">
        <v>0</v>
      </c>
      <c r="CP219" s="10"/>
      <c r="CQ219" s="10"/>
      <c r="CR219" s="11">
        <v>0</v>
      </c>
      <c r="CS219" s="10"/>
      <c r="CT219" s="10"/>
      <c r="CU219" s="11">
        <v>0</v>
      </c>
      <c r="CV219" s="10"/>
      <c r="CW219" s="10"/>
      <c r="CX219" s="11">
        <v>0</v>
      </c>
      <c r="CY219" s="10"/>
      <c r="CZ219" s="10"/>
      <c r="DA219" s="11">
        <v>0</v>
      </c>
      <c r="DB219" s="10"/>
      <c r="DC219" s="10"/>
      <c r="DD219" s="13">
        <v>0</v>
      </c>
      <c r="DE219" s="14"/>
    </row>
    <row r="220" spans="1:109" x14ac:dyDescent="0.35">
      <c r="A220" s="8" t="s">
        <v>501</v>
      </c>
      <c r="B220" s="9" t="s">
        <v>77</v>
      </c>
      <c r="C220" s="9" t="s">
        <v>43</v>
      </c>
      <c r="D220" s="9" t="s">
        <v>502</v>
      </c>
      <c r="E220" s="9" t="s">
        <v>61</v>
      </c>
      <c r="F220" s="9" t="s">
        <v>62</v>
      </c>
      <c r="G220" s="10"/>
      <c r="H220" s="10"/>
      <c r="I220" s="11">
        <v>0</v>
      </c>
      <c r="J220" s="10"/>
      <c r="K220" s="10"/>
      <c r="L220" s="12">
        <v>0</v>
      </c>
      <c r="M220" s="10"/>
      <c r="N220" s="10"/>
      <c r="O220" s="11">
        <v>0</v>
      </c>
      <c r="P220" s="10"/>
      <c r="Q220" s="10"/>
      <c r="R220" s="11">
        <v>0</v>
      </c>
      <c r="S220" s="10"/>
      <c r="T220" s="10"/>
      <c r="U220" s="11">
        <v>0</v>
      </c>
      <c r="V220" s="10">
        <v>4000000</v>
      </c>
      <c r="W220" s="10">
        <v>881850</v>
      </c>
      <c r="X220" s="11">
        <v>0.22046250000000001</v>
      </c>
      <c r="Y220" s="10"/>
      <c r="Z220" s="10"/>
      <c r="AA220" s="11"/>
      <c r="AB220" s="10"/>
      <c r="AC220" s="10"/>
      <c r="AD220" s="11">
        <v>0</v>
      </c>
      <c r="AE220" s="10"/>
      <c r="AF220" s="10"/>
      <c r="AG220" s="11">
        <v>0</v>
      </c>
      <c r="AH220" s="10"/>
      <c r="AI220" s="10"/>
      <c r="AJ220" s="11">
        <v>0</v>
      </c>
      <c r="AK220" s="10"/>
      <c r="AL220" s="10"/>
      <c r="AM220" s="11">
        <v>0</v>
      </c>
      <c r="AN220" s="10"/>
      <c r="AO220" s="10"/>
      <c r="AP220" s="11">
        <v>0</v>
      </c>
      <c r="AQ220" s="10"/>
      <c r="AR220" s="10"/>
      <c r="AS220" s="11">
        <v>0</v>
      </c>
      <c r="AT220" s="10"/>
      <c r="AU220" s="10"/>
      <c r="AV220" s="11">
        <v>0</v>
      </c>
      <c r="AW220" s="10"/>
      <c r="AX220" s="10"/>
      <c r="AY220" s="11">
        <v>0</v>
      </c>
      <c r="AZ220" s="10"/>
      <c r="BA220" s="10"/>
      <c r="BB220" s="11">
        <v>0</v>
      </c>
      <c r="BC220" s="10"/>
      <c r="BD220" s="10"/>
      <c r="BE220" s="11">
        <v>0</v>
      </c>
      <c r="BF220" s="10"/>
      <c r="BG220" s="10"/>
      <c r="BH220" s="11">
        <v>0</v>
      </c>
      <c r="BI220" s="10"/>
      <c r="BJ220" s="10"/>
      <c r="BK220" s="11">
        <v>0</v>
      </c>
      <c r="BL220" s="10"/>
      <c r="BM220" s="10"/>
      <c r="BN220" s="11">
        <v>0</v>
      </c>
      <c r="BO220" s="10"/>
      <c r="BP220" s="10"/>
      <c r="BQ220" s="11">
        <v>0</v>
      </c>
      <c r="BR220" s="10"/>
      <c r="BS220" s="10"/>
      <c r="BT220" s="11">
        <v>0</v>
      </c>
      <c r="BU220" s="10"/>
      <c r="BV220" s="10"/>
      <c r="BW220" s="11">
        <v>0</v>
      </c>
      <c r="BX220" s="10"/>
      <c r="BY220" s="10"/>
      <c r="BZ220" s="11">
        <v>0</v>
      </c>
      <c r="CA220" s="10"/>
      <c r="CB220" s="10"/>
      <c r="CC220" s="11">
        <v>0</v>
      </c>
      <c r="CD220" s="10"/>
      <c r="CE220" s="10"/>
      <c r="CF220" s="11">
        <v>0</v>
      </c>
      <c r="CG220" s="10"/>
      <c r="CH220" s="10"/>
      <c r="CI220" s="11">
        <v>0</v>
      </c>
      <c r="CJ220" s="10"/>
      <c r="CK220" s="10"/>
      <c r="CL220" s="11">
        <v>0</v>
      </c>
      <c r="CM220" s="10"/>
      <c r="CN220" s="10"/>
      <c r="CO220" s="11">
        <v>0</v>
      </c>
      <c r="CP220" s="10"/>
      <c r="CQ220" s="10"/>
      <c r="CR220" s="11">
        <v>0</v>
      </c>
      <c r="CS220" s="10"/>
      <c r="CT220" s="10"/>
      <c r="CU220" s="11">
        <v>0</v>
      </c>
      <c r="CV220" s="10"/>
      <c r="CW220" s="10"/>
      <c r="CX220" s="11">
        <v>0</v>
      </c>
      <c r="CY220" s="10"/>
      <c r="CZ220" s="10"/>
      <c r="DA220" s="11">
        <v>0</v>
      </c>
      <c r="DB220" s="10">
        <v>4000000</v>
      </c>
      <c r="DC220" s="10">
        <f t="shared" si="449"/>
        <v>881850</v>
      </c>
      <c r="DD220" s="13">
        <f t="shared" si="450"/>
        <v>0.22046250000000001</v>
      </c>
      <c r="DE220" s="14"/>
    </row>
    <row r="221" spans="1:109" x14ac:dyDescent="0.35">
      <c r="A221" s="8" t="s">
        <v>503</v>
      </c>
      <c r="B221" s="9" t="s">
        <v>42</v>
      </c>
      <c r="C221" s="9" t="s">
        <v>43</v>
      </c>
      <c r="D221" s="9" t="s">
        <v>504</v>
      </c>
      <c r="E221" s="9" t="s">
        <v>45</v>
      </c>
      <c r="F221" s="9" t="s">
        <v>46</v>
      </c>
      <c r="G221" s="10"/>
      <c r="H221" s="10"/>
      <c r="I221" s="11">
        <v>0</v>
      </c>
      <c r="J221" s="10"/>
      <c r="K221" s="10"/>
      <c r="L221" s="12">
        <v>0</v>
      </c>
      <c r="M221" s="10"/>
      <c r="N221" s="10"/>
      <c r="O221" s="11">
        <v>0</v>
      </c>
      <c r="P221" s="10"/>
      <c r="Q221" s="10"/>
      <c r="R221" s="11">
        <v>0</v>
      </c>
      <c r="S221" s="10"/>
      <c r="T221" s="10"/>
      <c r="U221" s="11">
        <v>0</v>
      </c>
      <c r="V221" s="10"/>
      <c r="W221" s="10"/>
      <c r="X221" s="11">
        <v>0</v>
      </c>
      <c r="Y221" s="10">
        <v>700000</v>
      </c>
      <c r="Z221" s="10">
        <v>526800</v>
      </c>
      <c r="AA221" s="11">
        <f t="shared" ref="AA221" si="453">Z221/Y221</f>
        <v>0.75257142857142856</v>
      </c>
      <c r="AB221" s="10"/>
      <c r="AC221" s="10">
        <v>44000</v>
      </c>
      <c r="AD221" s="11">
        <v>0</v>
      </c>
      <c r="AE221" s="10"/>
      <c r="AF221" s="10">
        <v>67200</v>
      </c>
      <c r="AG221" s="11">
        <v>0</v>
      </c>
      <c r="AH221" s="10"/>
      <c r="AI221" s="10"/>
      <c r="AJ221" s="11">
        <v>0</v>
      </c>
      <c r="AK221" s="10"/>
      <c r="AL221" s="10"/>
      <c r="AM221" s="11">
        <v>0</v>
      </c>
      <c r="AN221" s="10"/>
      <c r="AO221" s="10"/>
      <c r="AP221" s="11">
        <v>0</v>
      </c>
      <c r="AQ221" s="10">
        <v>2321550</v>
      </c>
      <c r="AR221" s="10">
        <v>935000</v>
      </c>
      <c r="AS221" s="11">
        <f t="shared" ref="AS221" si="454">AR221/AQ221</f>
        <v>0.40274816394219382</v>
      </c>
      <c r="AT221" s="10"/>
      <c r="AU221" s="10"/>
      <c r="AV221" s="11">
        <v>0</v>
      </c>
      <c r="AW221" s="10"/>
      <c r="AX221" s="10"/>
      <c r="AY221" s="11">
        <v>0</v>
      </c>
      <c r="AZ221" s="10"/>
      <c r="BA221" s="10"/>
      <c r="BB221" s="11">
        <v>0</v>
      </c>
      <c r="BC221" s="10"/>
      <c r="BD221" s="10"/>
      <c r="BE221" s="11">
        <v>0</v>
      </c>
      <c r="BF221" s="10"/>
      <c r="BG221" s="10"/>
      <c r="BH221" s="11">
        <v>0</v>
      </c>
      <c r="BI221" s="10"/>
      <c r="BJ221" s="10"/>
      <c r="BK221" s="11">
        <v>0</v>
      </c>
      <c r="BL221" s="10"/>
      <c r="BM221" s="10"/>
      <c r="BN221" s="11">
        <v>0</v>
      </c>
      <c r="BO221" s="10"/>
      <c r="BP221" s="10"/>
      <c r="BQ221" s="11">
        <v>0</v>
      </c>
      <c r="BR221" s="10"/>
      <c r="BS221" s="10"/>
      <c r="BT221" s="11">
        <v>0</v>
      </c>
      <c r="BU221" s="10"/>
      <c r="BV221" s="10"/>
      <c r="BW221" s="11">
        <v>0</v>
      </c>
      <c r="BX221" s="10"/>
      <c r="BY221" s="10"/>
      <c r="BZ221" s="11">
        <v>0</v>
      </c>
      <c r="CA221" s="10"/>
      <c r="CB221" s="10"/>
      <c r="CC221" s="11">
        <v>0</v>
      </c>
      <c r="CD221" s="10"/>
      <c r="CE221" s="10"/>
      <c r="CF221" s="11">
        <v>0</v>
      </c>
      <c r="CG221" s="10">
        <v>200000</v>
      </c>
      <c r="CH221" s="10"/>
      <c r="CI221" s="11">
        <f t="shared" ref="CI221" si="455">CH221/CG221</f>
        <v>0</v>
      </c>
      <c r="CJ221" s="10"/>
      <c r="CK221" s="10"/>
      <c r="CL221" s="11">
        <v>0</v>
      </c>
      <c r="CM221" s="10"/>
      <c r="CN221" s="10"/>
      <c r="CO221" s="11">
        <v>0</v>
      </c>
      <c r="CP221" s="10"/>
      <c r="CQ221" s="10"/>
      <c r="CR221" s="11">
        <v>0</v>
      </c>
      <c r="CS221" s="10"/>
      <c r="CT221" s="10"/>
      <c r="CU221" s="11">
        <v>0</v>
      </c>
      <c r="CV221" s="10"/>
      <c r="CW221" s="10"/>
      <c r="CX221" s="11">
        <v>0</v>
      </c>
      <c r="CY221" s="10"/>
      <c r="CZ221" s="10"/>
      <c r="DA221" s="11">
        <v>0</v>
      </c>
      <c r="DB221" s="10">
        <v>3221550</v>
      </c>
      <c r="DC221" s="10">
        <f t="shared" si="449"/>
        <v>1573000</v>
      </c>
      <c r="DD221" s="13">
        <f t="shared" si="450"/>
        <v>0.48827427790970185</v>
      </c>
      <c r="DE221" s="14"/>
    </row>
    <row r="222" spans="1:109" x14ac:dyDescent="0.35">
      <c r="A222" s="8" t="s">
        <v>505</v>
      </c>
      <c r="B222" s="9" t="s">
        <v>140</v>
      </c>
      <c r="C222" s="9" t="s">
        <v>43</v>
      </c>
      <c r="D222" s="9" t="s">
        <v>506</v>
      </c>
      <c r="E222" s="9" t="s">
        <v>45</v>
      </c>
      <c r="F222" s="9" t="s">
        <v>46</v>
      </c>
      <c r="G222" s="10"/>
      <c r="H222" s="10"/>
      <c r="I222" s="11">
        <v>0</v>
      </c>
      <c r="J222" s="10"/>
      <c r="K222" s="10"/>
      <c r="L222" s="12">
        <v>0</v>
      </c>
      <c r="M222" s="10">
        <v>1792000</v>
      </c>
      <c r="N222" s="10">
        <v>495000</v>
      </c>
      <c r="O222" s="11">
        <f t="shared" ref="O222:O223" si="456">N222/M222</f>
        <v>0.27622767857142855</v>
      </c>
      <c r="P222" s="10"/>
      <c r="Q222" s="10"/>
      <c r="R222" s="11">
        <v>0</v>
      </c>
      <c r="S222" s="10"/>
      <c r="T222" s="10"/>
      <c r="U222" s="11">
        <v>0</v>
      </c>
      <c r="V222" s="10"/>
      <c r="W222" s="10"/>
      <c r="X222" s="11">
        <v>0</v>
      </c>
      <c r="Y222" s="10"/>
      <c r="Z222" s="10"/>
      <c r="AA222" s="11"/>
      <c r="AB222" s="10"/>
      <c r="AC222" s="10"/>
      <c r="AD222" s="11">
        <v>0</v>
      </c>
      <c r="AE222" s="10"/>
      <c r="AF222" s="10"/>
      <c r="AG222" s="11">
        <v>0</v>
      </c>
      <c r="AH222" s="10"/>
      <c r="AI222" s="10"/>
      <c r="AJ222" s="11">
        <v>0</v>
      </c>
      <c r="AK222" s="10"/>
      <c r="AL222" s="10"/>
      <c r="AM222" s="11">
        <v>0</v>
      </c>
      <c r="AN222" s="10"/>
      <c r="AO222" s="10"/>
      <c r="AP222" s="11">
        <v>0</v>
      </c>
      <c r="AQ222" s="10"/>
      <c r="AR222" s="10"/>
      <c r="AS222" s="11">
        <v>0</v>
      </c>
      <c r="AT222" s="10"/>
      <c r="AU222" s="10"/>
      <c r="AV222" s="11">
        <v>0</v>
      </c>
      <c r="AW222" s="10"/>
      <c r="AX222" s="10"/>
      <c r="AY222" s="11">
        <v>0</v>
      </c>
      <c r="AZ222" s="10"/>
      <c r="BA222" s="10"/>
      <c r="BB222" s="11">
        <v>0</v>
      </c>
      <c r="BC222" s="10"/>
      <c r="BD222" s="10"/>
      <c r="BE222" s="11">
        <v>0</v>
      </c>
      <c r="BF222" s="10"/>
      <c r="BG222" s="10"/>
      <c r="BH222" s="11">
        <v>0</v>
      </c>
      <c r="BI222" s="10"/>
      <c r="BJ222" s="10"/>
      <c r="BK222" s="11">
        <v>0</v>
      </c>
      <c r="BL222" s="10"/>
      <c r="BM222" s="10"/>
      <c r="BN222" s="11">
        <v>0</v>
      </c>
      <c r="BO222" s="10"/>
      <c r="BP222" s="10"/>
      <c r="BQ222" s="11">
        <v>0</v>
      </c>
      <c r="BR222" s="10">
        <v>500000</v>
      </c>
      <c r="BS222" s="10"/>
      <c r="BT222" s="11">
        <f t="shared" ref="BT222:BT223" si="457">BS222/BR222</f>
        <v>0</v>
      </c>
      <c r="BU222" s="10">
        <v>100000</v>
      </c>
      <c r="BV222" s="10"/>
      <c r="BW222" s="11">
        <f t="shared" ref="BW222:BW223" si="458">BV222/BU222</f>
        <v>0</v>
      </c>
      <c r="BX222" s="10"/>
      <c r="BY222" s="10"/>
      <c r="BZ222" s="11">
        <v>0</v>
      </c>
      <c r="CA222" s="10"/>
      <c r="CB222" s="10"/>
      <c r="CC222" s="11">
        <v>0</v>
      </c>
      <c r="CD222" s="10"/>
      <c r="CE222" s="10"/>
      <c r="CF222" s="11">
        <v>0</v>
      </c>
      <c r="CG222" s="10"/>
      <c r="CH222" s="10"/>
      <c r="CI222" s="11">
        <v>0</v>
      </c>
      <c r="CJ222" s="10"/>
      <c r="CK222" s="10"/>
      <c r="CL222" s="11">
        <v>0</v>
      </c>
      <c r="CM222" s="10"/>
      <c r="CN222" s="10"/>
      <c r="CO222" s="11">
        <v>0</v>
      </c>
      <c r="CP222" s="10"/>
      <c r="CQ222" s="10"/>
      <c r="CR222" s="11">
        <v>0</v>
      </c>
      <c r="CS222" s="10"/>
      <c r="CT222" s="10"/>
      <c r="CU222" s="11">
        <v>0</v>
      </c>
      <c r="CV222" s="10"/>
      <c r="CW222" s="10"/>
      <c r="CX222" s="11">
        <v>0</v>
      </c>
      <c r="CY222" s="10"/>
      <c r="CZ222" s="10"/>
      <c r="DA222" s="11">
        <v>0</v>
      </c>
      <c r="DB222" s="10">
        <v>2392000</v>
      </c>
      <c r="DC222" s="10">
        <f t="shared" si="449"/>
        <v>495000</v>
      </c>
      <c r="DD222" s="13">
        <f t="shared" si="450"/>
        <v>0.20693979933110368</v>
      </c>
      <c r="DE222" s="14"/>
    </row>
    <row r="223" spans="1:109" x14ac:dyDescent="0.35">
      <c r="A223" s="8" t="s">
        <v>507</v>
      </c>
      <c r="B223" s="9" t="s">
        <v>140</v>
      </c>
      <c r="C223" s="9" t="s">
        <v>43</v>
      </c>
      <c r="D223" s="9" t="s">
        <v>508</v>
      </c>
      <c r="E223" s="9" t="s">
        <v>45</v>
      </c>
      <c r="F223" s="9" t="s">
        <v>46</v>
      </c>
      <c r="G223" s="10"/>
      <c r="H223" s="10"/>
      <c r="I223" s="11">
        <v>0</v>
      </c>
      <c r="J223" s="10"/>
      <c r="K223" s="10"/>
      <c r="L223" s="12">
        <v>0</v>
      </c>
      <c r="M223" s="10">
        <v>2240000</v>
      </c>
      <c r="N223" s="10"/>
      <c r="O223" s="11">
        <f t="shared" si="456"/>
        <v>0</v>
      </c>
      <c r="P223" s="10"/>
      <c r="Q223" s="10">
        <v>17000</v>
      </c>
      <c r="R223" s="11">
        <v>0</v>
      </c>
      <c r="S223" s="10"/>
      <c r="T223" s="10"/>
      <c r="U223" s="11">
        <v>0</v>
      </c>
      <c r="V223" s="10"/>
      <c r="W223" s="10"/>
      <c r="X223" s="11">
        <v>0</v>
      </c>
      <c r="Y223" s="10"/>
      <c r="Z223" s="10">
        <v>25800</v>
      </c>
      <c r="AA223" s="11"/>
      <c r="AB223" s="10"/>
      <c r="AC223" s="10"/>
      <c r="AD223" s="11">
        <v>0</v>
      </c>
      <c r="AE223" s="10"/>
      <c r="AF223" s="10"/>
      <c r="AG223" s="11">
        <v>0</v>
      </c>
      <c r="AH223" s="10"/>
      <c r="AI223" s="10"/>
      <c r="AJ223" s="11">
        <v>0</v>
      </c>
      <c r="AK223" s="10"/>
      <c r="AL223" s="10"/>
      <c r="AM223" s="11">
        <v>0</v>
      </c>
      <c r="AN223" s="10"/>
      <c r="AO223" s="10"/>
      <c r="AP223" s="11">
        <v>0</v>
      </c>
      <c r="AQ223" s="10"/>
      <c r="AR223" s="10"/>
      <c r="AS223" s="11">
        <v>0</v>
      </c>
      <c r="AT223" s="10"/>
      <c r="AU223" s="10"/>
      <c r="AV223" s="11">
        <v>0</v>
      </c>
      <c r="AW223" s="10"/>
      <c r="AX223" s="10"/>
      <c r="AY223" s="11">
        <v>0</v>
      </c>
      <c r="AZ223" s="10"/>
      <c r="BA223" s="10"/>
      <c r="BB223" s="11">
        <v>0</v>
      </c>
      <c r="BC223" s="10"/>
      <c r="BD223" s="10"/>
      <c r="BE223" s="11">
        <v>0</v>
      </c>
      <c r="BF223" s="10"/>
      <c r="BG223" s="10"/>
      <c r="BH223" s="11">
        <v>0</v>
      </c>
      <c r="BI223" s="10"/>
      <c r="BJ223" s="10"/>
      <c r="BK223" s="11">
        <v>0</v>
      </c>
      <c r="BL223" s="10"/>
      <c r="BM223" s="10"/>
      <c r="BN223" s="11">
        <v>0</v>
      </c>
      <c r="BO223" s="10"/>
      <c r="BP223" s="10"/>
      <c r="BQ223" s="11">
        <v>0</v>
      </c>
      <c r="BR223" s="10">
        <v>500000</v>
      </c>
      <c r="BS223" s="10"/>
      <c r="BT223" s="11">
        <f t="shared" si="457"/>
        <v>0</v>
      </c>
      <c r="BU223" s="10">
        <v>300000</v>
      </c>
      <c r="BV223" s="10"/>
      <c r="BW223" s="11">
        <f t="shared" si="458"/>
        <v>0</v>
      </c>
      <c r="BX223" s="10"/>
      <c r="BY223" s="10"/>
      <c r="BZ223" s="11">
        <v>0</v>
      </c>
      <c r="CA223" s="10"/>
      <c r="CB223" s="10"/>
      <c r="CC223" s="11">
        <v>0</v>
      </c>
      <c r="CD223" s="10"/>
      <c r="CE223" s="10"/>
      <c r="CF223" s="11">
        <v>0</v>
      </c>
      <c r="CG223" s="10"/>
      <c r="CH223" s="10"/>
      <c r="CI223" s="11">
        <v>0</v>
      </c>
      <c r="CJ223" s="10"/>
      <c r="CK223" s="10"/>
      <c r="CL223" s="11">
        <v>0</v>
      </c>
      <c r="CM223" s="10"/>
      <c r="CN223" s="10"/>
      <c r="CO223" s="11">
        <v>0</v>
      </c>
      <c r="CP223" s="10"/>
      <c r="CQ223" s="10"/>
      <c r="CR223" s="11">
        <v>0</v>
      </c>
      <c r="CS223" s="10">
        <v>500000</v>
      </c>
      <c r="CT223" s="10"/>
      <c r="CU223" s="11">
        <f t="shared" ref="CU223" si="459">CT223/CS223</f>
        <v>0</v>
      </c>
      <c r="CV223" s="10"/>
      <c r="CW223" s="10"/>
      <c r="CX223" s="11">
        <v>0</v>
      </c>
      <c r="CY223" s="10"/>
      <c r="CZ223" s="10"/>
      <c r="DA223" s="11">
        <v>0</v>
      </c>
      <c r="DB223" s="10">
        <v>3540000</v>
      </c>
      <c r="DC223" s="10">
        <f t="shared" si="449"/>
        <v>42800</v>
      </c>
      <c r="DD223" s="13">
        <f t="shared" si="450"/>
        <v>1.2090395480225989E-2</v>
      </c>
      <c r="DE223" s="14"/>
    </row>
    <row r="224" spans="1:109" x14ac:dyDescent="0.35">
      <c r="A224" s="8" t="s">
        <v>509</v>
      </c>
      <c r="B224" s="9" t="s">
        <v>51</v>
      </c>
      <c r="C224" s="9" t="s">
        <v>52</v>
      </c>
      <c r="D224" s="9" t="s">
        <v>510</v>
      </c>
      <c r="E224" s="9" t="s">
        <v>54</v>
      </c>
      <c r="F224" s="9" t="s">
        <v>55</v>
      </c>
      <c r="G224" s="10"/>
      <c r="H224" s="10"/>
      <c r="I224" s="11">
        <v>0</v>
      </c>
      <c r="J224" s="10"/>
      <c r="K224" s="10">
        <v>9400</v>
      </c>
      <c r="L224" s="12">
        <v>0</v>
      </c>
      <c r="M224" s="10"/>
      <c r="N224" s="10"/>
      <c r="O224" s="11">
        <v>0</v>
      </c>
      <c r="P224" s="10"/>
      <c r="Q224" s="10"/>
      <c r="R224" s="11">
        <v>0</v>
      </c>
      <c r="S224" s="10"/>
      <c r="T224" s="10"/>
      <c r="U224" s="11">
        <v>0</v>
      </c>
      <c r="V224" s="10"/>
      <c r="W224" s="10"/>
      <c r="X224" s="11">
        <v>0</v>
      </c>
      <c r="Y224" s="10"/>
      <c r="Z224" s="10">
        <v>66000</v>
      </c>
      <c r="AA224" s="11"/>
      <c r="AB224" s="10"/>
      <c r="AC224" s="10"/>
      <c r="AD224" s="11">
        <v>0</v>
      </c>
      <c r="AE224" s="10">
        <v>100000</v>
      </c>
      <c r="AF224" s="10">
        <v>26850</v>
      </c>
      <c r="AG224" s="11">
        <f t="shared" ref="AG224" si="460">AF224/AE224</f>
        <v>0.26850000000000002</v>
      </c>
      <c r="AH224" s="10"/>
      <c r="AI224" s="10"/>
      <c r="AJ224" s="11">
        <v>0</v>
      </c>
      <c r="AK224" s="10"/>
      <c r="AL224" s="10"/>
      <c r="AM224" s="11">
        <v>0</v>
      </c>
      <c r="AN224" s="10"/>
      <c r="AO224" s="10"/>
      <c r="AP224" s="11">
        <v>0</v>
      </c>
      <c r="AQ224" s="10"/>
      <c r="AR224" s="10">
        <v>17200</v>
      </c>
      <c r="AS224" s="11">
        <v>0</v>
      </c>
      <c r="AT224" s="10"/>
      <c r="AU224" s="10"/>
      <c r="AV224" s="11">
        <v>0</v>
      </c>
      <c r="AW224" s="10"/>
      <c r="AX224" s="10"/>
      <c r="AY224" s="11">
        <v>0</v>
      </c>
      <c r="AZ224" s="10"/>
      <c r="BA224" s="10"/>
      <c r="BB224" s="11">
        <v>0</v>
      </c>
      <c r="BC224" s="10"/>
      <c r="BD224" s="10"/>
      <c r="BE224" s="11">
        <v>0</v>
      </c>
      <c r="BF224" s="10">
        <v>400000</v>
      </c>
      <c r="BG224" s="10">
        <f>VLOOKUP(A:A,'[1]2026 Customer Brand Sales'!$A:$BA,53,0)</f>
        <v>736945</v>
      </c>
      <c r="BH224" s="11">
        <f t="shared" ref="BH224" si="461">BG224/BF224</f>
        <v>1.8423624999999999</v>
      </c>
      <c r="BI224" s="10"/>
      <c r="BJ224" s="10"/>
      <c r="BK224" s="11">
        <v>0</v>
      </c>
      <c r="BL224" s="10">
        <v>200000</v>
      </c>
      <c r="BM224" s="10">
        <v>187115</v>
      </c>
      <c r="BN224" s="11">
        <f t="shared" ref="BN224" si="462">BM224/BL224</f>
        <v>0.93557500000000005</v>
      </c>
      <c r="BO224" s="10"/>
      <c r="BP224" s="10"/>
      <c r="BQ224" s="11">
        <v>0</v>
      </c>
      <c r="BR224" s="10"/>
      <c r="BS224" s="10"/>
      <c r="BT224" s="11">
        <v>0</v>
      </c>
      <c r="BU224" s="10"/>
      <c r="BV224" s="10"/>
      <c r="BW224" s="11">
        <v>0</v>
      </c>
      <c r="BX224" s="10"/>
      <c r="BY224" s="10"/>
      <c r="BZ224" s="11">
        <v>0</v>
      </c>
      <c r="CA224" s="10"/>
      <c r="CB224" s="10"/>
      <c r="CC224" s="11">
        <v>0</v>
      </c>
      <c r="CD224" s="10"/>
      <c r="CE224" s="10"/>
      <c r="CF224" s="11">
        <v>0</v>
      </c>
      <c r="CG224" s="10"/>
      <c r="CH224" s="10"/>
      <c r="CI224" s="11">
        <v>0</v>
      </c>
      <c r="CJ224" s="10"/>
      <c r="CK224" s="10"/>
      <c r="CL224" s="11">
        <v>0</v>
      </c>
      <c r="CM224" s="10"/>
      <c r="CN224" s="10"/>
      <c r="CO224" s="11">
        <v>0</v>
      </c>
      <c r="CP224" s="10"/>
      <c r="CQ224" s="10"/>
      <c r="CR224" s="11">
        <v>0</v>
      </c>
      <c r="CS224" s="10"/>
      <c r="CT224" s="10"/>
      <c r="CU224" s="11">
        <v>0</v>
      </c>
      <c r="CV224" s="10"/>
      <c r="CW224" s="10"/>
      <c r="CX224" s="11">
        <v>0</v>
      </c>
      <c r="CY224" s="10"/>
      <c r="CZ224" s="10"/>
      <c r="DA224" s="11">
        <v>0</v>
      </c>
      <c r="DB224" s="10">
        <v>700000</v>
      </c>
      <c r="DC224" s="10">
        <f t="shared" ref="DC224:DC226" si="463">SUM(H224,K224,N224,Q224,T224,W224,Z224,AC224,AF224,AI224,AL224,AO224,AR224,AU224,AX224,BA224,BD224,BG224,BJ224,BM224,BP224,BS224,BV224,BY224,CB224,CE224,CH224,CK224,CN224,CQ224,CT224,CW224,CZ224)</f>
        <v>1043510</v>
      </c>
      <c r="DD224" s="13">
        <f t="shared" ref="DD224:DD227" si="464">DC224/DB224</f>
        <v>1.4907285714285714</v>
      </c>
      <c r="DE224" s="14"/>
    </row>
    <row r="225" spans="1:109" x14ac:dyDescent="0.35">
      <c r="A225" s="8" t="s">
        <v>511</v>
      </c>
      <c r="B225" s="9" t="s">
        <v>51</v>
      </c>
      <c r="C225" s="9" t="s">
        <v>52</v>
      </c>
      <c r="D225" s="9" t="s">
        <v>512</v>
      </c>
      <c r="E225" s="9" t="s">
        <v>54</v>
      </c>
      <c r="F225" s="9" t="s">
        <v>55</v>
      </c>
      <c r="G225" s="10"/>
      <c r="H225" s="10"/>
      <c r="I225" s="11">
        <v>0</v>
      </c>
      <c r="J225" s="10"/>
      <c r="K225" s="10"/>
      <c r="L225" s="12">
        <v>0</v>
      </c>
      <c r="M225" s="10"/>
      <c r="N225" s="10"/>
      <c r="O225" s="11">
        <v>0</v>
      </c>
      <c r="P225" s="10"/>
      <c r="Q225" s="10"/>
      <c r="R225" s="11">
        <v>0</v>
      </c>
      <c r="S225" s="10"/>
      <c r="T225" s="10"/>
      <c r="U225" s="11">
        <v>0</v>
      </c>
      <c r="V225" s="10"/>
      <c r="W225" s="10"/>
      <c r="X225" s="11">
        <v>0</v>
      </c>
      <c r="Y225" s="10"/>
      <c r="Z225" s="10"/>
      <c r="AA225" s="11"/>
      <c r="AB225" s="10"/>
      <c r="AC225" s="10"/>
      <c r="AD225" s="11">
        <v>0</v>
      </c>
      <c r="AE225" s="10"/>
      <c r="AF225" s="10"/>
      <c r="AG225" s="11">
        <v>0</v>
      </c>
      <c r="AH225" s="10"/>
      <c r="AI225" s="10"/>
      <c r="AJ225" s="11">
        <v>0</v>
      </c>
      <c r="AK225" s="10"/>
      <c r="AL225" s="10"/>
      <c r="AM225" s="11">
        <v>0</v>
      </c>
      <c r="AN225" s="10"/>
      <c r="AO225" s="10"/>
      <c r="AP225" s="11">
        <v>0</v>
      </c>
      <c r="AQ225" s="10"/>
      <c r="AR225" s="10"/>
      <c r="AS225" s="11">
        <v>0</v>
      </c>
      <c r="AT225" s="10"/>
      <c r="AU225" s="10"/>
      <c r="AV225" s="11">
        <v>0</v>
      </c>
      <c r="AW225" s="10"/>
      <c r="AX225" s="10"/>
      <c r="AY225" s="11">
        <v>0</v>
      </c>
      <c r="AZ225" s="10"/>
      <c r="BA225" s="10"/>
      <c r="BB225" s="11">
        <v>0</v>
      </c>
      <c r="BC225" s="10"/>
      <c r="BD225" s="10"/>
      <c r="BE225" s="11">
        <v>0</v>
      </c>
      <c r="BF225" s="10"/>
      <c r="BG225" s="10"/>
      <c r="BH225" s="11">
        <v>0</v>
      </c>
      <c r="BI225" s="10"/>
      <c r="BJ225" s="10"/>
      <c r="BK225" s="11">
        <v>0</v>
      </c>
      <c r="BL225" s="10"/>
      <c r="BM225" s="10"/>
      <c r="BN225" s="11">
        <v>0</v>
      </c>
      <c r="BO225" s="10"/>
      <c r="BP225" s="10"/>
      <c r="BQ225" s="11">
        <v>0</v>
      </c>
      <c r="BR225" s="10"/>
      <c r="BS225" s="10"/>
      <c r="BT225" s="11">
        <v>0</v>
      </c>
      <c r="BU225" s="10"/>
      <c r="BV225" s="10"/>
      <c r="BW225" s="11">
        <v>0</v>
      </c>
      <c r="BX225" s="10"/>
      <c r="BY225" s="10"/>
      <c r="BZ225" s="11">
        <v>0</v>
      </c>
      <c r="CA225" s="10"/>
      <c r="CB225" s="10"/>
      <c r="CC225" s="11">
        <v>0</v>
      </c>
      <c r="CD225" s="10"/>
      <c r="CE225" s="10"/>
      <c r="CF225" s="11">
        <v>0</v>
      </c>
      <c r="CG225" s="10"/>
      <c r="CH225" s="10"/>
      <c r="CI225" s="11">
        <v>0</v>
      </c>
      <c r="CJ225" s="10"/>
      <c r="CK225" s="10"/>
      <c r="CL225" s="11">
        <v>0</v>
      </c>
      <c r="CM225" s="10"/>
      <c r="CN225" s="10"/>
      <c r="CO225" s="11">
        <v>0</v>
      </c>
      <c r="CP225" s="10"/>
      <c r="CQ225" s="10"/>
      <c r="CR225" s="11">
        <v>0</v>
      </c>
      <c r="CS225" s="10"/>
      <c r="CT225" s="10"/>
      <c r="CU225" s="11">
        <v>0</v>
      </c>
      <c r="CV225" s="10"/>
      <c r="CW225" s="10"/>
      <c r="CX225" s="11">
        <v>0</v>
      </c>
      <c r="CY225" s="10"/>
      <c r="CZ225" s="10"/>
      <c r="DA225" s="11">
        <v>0</v>
      </c>
      <c r="DB225" s="10"/>
      <c r="DC225" s="10"/>
      <c r="DD225" s="13">
        <v>0</v>
      </c>
      <c r="DE225" s="14"/>
    </row>
    <row r="226" spans="1:109" x14ac:dyDescent="0.35">
      <c r="A226" s="8" t="s">
        <v>513</v>
      </c>
      <c r="B226" s="9" t="s">
        <v>77</v>
      </c>
      <c r="C226" s="9" t="s">
        <v>43</v>
      </c>
      <c r="D226" s="9" t="s">
        <v>514</v>
      </c>
      <c r="E226" s="9" t="s">
        <v>61</v>
      </c>
      <c r="F226" s="9" t="s">
        <v>62</v>
      </c>
      <c r="G226" s="10"/>
      <c r="H226" s="10"/>
      <c r="I226" s="11">
        <v>0</v>
      </c>
      <c r="J226" s="10"/>
      <c r="K226" s="10"/>
      <c r="L226" s="12">
        <v>0</v>
      </c>
      <c r="M226" s="10"/>
      <c r="N226" s="10"/>
      <c r="O226" s="11">
        <v>0</v>
      </c>
      <c r="P226" s="10">
        <v>500000</v>
      </c>
      <c r="Q226" s="10">
        <v>459100</v>
      </c>
      <c r="R226" s="11">
        <f t="shared" ref="R226" si="465">Q226/P226</f>
        <v>0.91820000000000002</v>
      </c>
      <c r="S226" s="10"/>
      <c r="T226" s="10"/>
      <c r="U226" s="11">
        <v>0</v>
      </c>
      <c r="V226" s="10"/>
      <c r="W226" s="10"/>
      <c r="X226" s="11">
        <v>0</v>
      </c>
      <c r="Y226" s="10"/>
      <c r="Z226" s="10"/>
      <c r="AA226" s="11"/>
      <c r="AB226" s="10"/>
      <c r="AC226" s="10"/>
      <c r="AD226" s="11">
        <v>0</v>
      </c>
      <c r="AE226" s="10"/>
      <c r="AF226" s="10"/>
      <c r="AG226" s="11">
        <v>0</v>
      </c>
      <c r="AH226" s="10"/>
      <c r="AI226" s="10"/>
      <c r="AJ226" s="11">
        <v>0</v>
      </c>
      <c r="AK226" s="10"/>
      <c r="AL226" s="10"/>
      <c r="AM226" s="11">
        <v>0</v>
      </c>
      <c r="AN226" s="10"/>
      <c r="AO226" s="10"/>
      <c r="AP226" s="11">
        <v>0</v>
      </c>
      <c r="AQ226" s="10"/>
      <c r="AR226" s="10"/>
      <c r="AS226" s="11">
        <v>0</v>
      </c>
      <c r="AT226" s="10"/>
      <c r="AU226" s="10"/>
      <c r="AV226" s="11">
        <v>0</v>
      </c>
      <c r="AW226" s="10"/>
      <c r="AX226" s="10"/>
      <c r="AY226" s="11">
        <v>0</v>
      </c>
      <c r="AZ226" s="10"/>
      <c r="BA226" s="10"/>
      <c r="BB226" s="11">
        <v>0</v>
      </c>
      <c r="BC226" s="10"/>
      <c r="BD226" s="10"/>
      <c r="BE226" s="11">
        <v>0</v>
      </c>
      <c r="BF226" s="10"/>
      <c r="BG226" s="10"/>
      <c r="BH226" s="11">
        <v>0</v>
      </c>
      <c r="BI226" s="10"/>
      <c r="BJ226" s="10"/>
      <c r="BK226" s="11">
        <v>0</v>
      </c>
      <c r="BL226" s="10"/>
      <c r="BM226" s="10"/>
      <c r="BN226" s="11">
        <v>0</v>
      </c>
      <c r="BO226" s="10"/>
      <c r="BP226" s="10"/>
      <c r="BQ226" s="11">
        <v>0</v>
      </c>
      <c r="BR226" s="10"/>
      <c r="BS226" s="10"/>
      <c r="BT226" s="11">
        <v>0</v>
      </c>
      <c r="BU226" s="10"/>
      <c r="BV226" s="10"/>
      <c r="BW226" s="11">
        <v>0</v>
      </c>
      <c r="BX226" s="10"/>
      <c r="BY226" s="10"/>
      <c r="BZ226" s="11">
        <v>0</v>
      </c>
      <c r="CA226" s="10"/>
      <c r="CB226" s="10"/>
      <c r="CC226" s="11">
        <v>0</v>
      </c>
      <c r="CD226" s="10"/>
      <c r="CE226" s="10"/>
      <c r="CF226" s="11">
        <v>0</v>
      </c>
      <c r="CG226" s="10"/>
      <c r="CH226" s="10"/>
      <c r="CI226" s="11">
        <v>0</v>
      </c>
      <c r="CJ226" s="10"/>
      <c r="CK226" s="10"/>
      <c r="CL226" s="11">
        <v>0</v>
      </c>
      <c r="CM226" s="10"/>
      <c r="CN226" s="10"/>
      <c r="CO226" s="11">
        <v>0</v>
      </c>
      <c r="CP226" s="10"/>
      <c r="CQ226" s="10"/>
      <c r="CR226" s="11">
        <v>0</v>
      </c>
      <c r="CS226" s="10"/>
      <c r="CT226" s="10"/>
      <c r="CU226" s="11">
        <v>0</v>
      </c>
      <c r="CV226" s="10"/>
      <c r="CW226" s="10"/>
      <c r="CX226" s="11">
        <v>0</v>
      </c>
      <c r="CY226" s="10"/>
      <c r="CZ226" s="10"/>
      <c r="DA226" s="11">
        <v>0</v>
      </c>
      <c r="DB226" s="10">
        <v>500000</v>
      </c>
      <c r="DC226" s="10">
        <f t="shared" si="463"/>
        <v>459100</v>
      </c>
      <c r="DD226" s="13">
        <f t="shared" si="464"/>
        <v>0.91820000000000002</v>
      </c>
      <c r="DE226" s="14"/>
    </row>
    <row r="227" spans="1:109" x14ac:dyDescent="0.35">
      <c r="A227" s="8" t="s">
        <v>515</v>
      </c>
      <c r="B227" s="9" t="s">
        <v>42</v>
      </c>
      <c r="C227" s="9" t="s">
        <v>43</v>
      </c>
      <c r="D227" s="9" t="s">
        <v>516</v>
      </c>
      <c r="E227" s="9" t="s">
        <v>45</v>
      </c>
      <c r="F227" s="9" t="s">
        <v>46</v>
      </c>
      <c r="G227" s="10"/>
      <c r="H227" s="10"/>
      <c r="I227" s="11">
        <v>0</v>
      </c>
      <c r="J227" s="10"/>
      <c r="K227" s="10"/>
      <c r="L227" s="12">
        <v>0</v>
      </c>
      <c r="M227" s="10">
        <v>560000</v>
      </c>
      <c r="N227" s="10"/>
      <c r="O227" s="11">
        <f t="shared" ref="O227" si="466">N227/M227</f>
        <v>0</v>
      </c>
      <c r="P227" s="10"/>
      <c r="Q227" s="10"/>
      <c r="R227" s="11">
        <v>0</v>
      </c>
      <c r="S227" s="10"/>
      <c r="T227" s="10"/>
      <c r="U227" s="11">
        <v>0</v>
      </c>
      <c r="V227" s="10"/>
      <c r="W227" s="10"/>
      <c r="X227" s="11">
        <v>0</v>
      </c>
      <c r="Y227" s="10"/>
      <c r="Z227" s="10"/>
      <c r="AA227" s="11"/>
      <c r="AB227" s="10"/>
      <c r="AC227" s="10"/>
      <c r="AD227" s="11">
        <v>0</v>
      </c>
      <c r="AE227" s="10"/>
      <c r="AF227" s="10"/>
      <c r="AG227" s="11">
        <v>0</v>
      </c>
      <c r="AH227" s="10"/>
      <c r="AI227" s="10"/>
      <c r="AJ227" s="11">
        <v>0</v>
      </c>
      <c r="AK227" s="10"/>
      <c r="AL227" s="10"/>
      <c r="AM227" s="11">
        <v>0</v>
      </c>
      <c r="AN227" s="10"/>
      <c r="AO227" s="10"/>
      <c r="AP227" s="11">
        <v>0</v>
      </c>
      <c r="AQ227" s="10"/>
      <c r="AR227" s="10"/>
      <c r="AS227" s="11">
        <v>0</v>
      </c>
      <c r="AT227" s="10"/>
      <c r="AU227" s="10"/>
      <c r="AV227" s="11">
        <v>0</v>
      </c>
      <c r="AW227" s="10"/>
      <c r="AX227" s="10"/>
      <c r="AY227" s="11">
        <v>0</v>
      </c>
      <c r="AZ227" s="10"/>
      <c r="BA227" s="10"/>
      <c r="BB227" s="11">
        <v>0</v>
      </c>
      <c r="BC227" s="10"/>
      <c r="BD227" s="10"/>
      <c r="BE227" s="11">
        <v>0</v>
      </c>
      <c r="BF227" s="10"/>
      <c r="BG227" s="10"/>
      <c r="BH227" s="11">
        <v>0</v>
      </c>
      <c r="BI227" s="10"/>
      <c r="BJ227" s="10"/>
      <c r="BK227" s="11">
        <v>0</v>
      </c>
      <c r="BL227" s="10"/>
      <c r="BM227" s="10"/>
      <c r="BN227" s="11">
        <v>0</v>
      </c>
      <c r="BO227" s="10"/>
      <c r="BP227" s="10"/>
      <c r="BQ227" s="11">
        <v>0</v>
      </c>
      <c r="BR227" s="10"/>
      <c r="BS227" s="10"/>
      <c r="BT227" s="11">
        <v>0</v>
      </c>
      <c r="BU227" s="10"/>
      <c r="BV227" s="10"/>
      <c r="BW227" s="11">
        <v>0</v>
      </c>
      <c r="BX227" s="10"/>
      <c r="BY227" s="10"/>
      <c r="BZ227" s="11">
        <v>0</v>
      </c>
      <c r="CA227" s="10"/>
      <c r="CB227" s="10"/>
      <c r="CC227" s="11">
        <v>0</v>
      </c>
      <c r="CD227" s="10"/>
      <c r="CE227" s="10"/>
      <c r="CF227" s="11">
        <v>0</v>
      </c>
      <c r="CG227" s="10"/>
      <c r="CH227" s="10"/>
      <c r="CI227" s="11">
        <v>0</v>
      </c>
      <c r="CJ227" s="10"/>
      <c r="CK227" s="10"/>
      <c r="CL227" s="11">
        <v>0</v>
      </c>
      <c r="CM227" s="10"/>
      <c r="CN227" s="10"/>
      <c r="CO227" s="11">
        <v>0</v>
      </c>
      <c r="CP227" s="10"/>
      <c r="CQ227" s="10"/>
      <c r="CR227" s="11">
        <v>0</v>
      </c>
      <c r="CS227" s="10"/>
      <c r="CT227" s="10"/>
      <c r="CU227" s="11">
        <v>0</v>
      </c>
      <c r="CV227" s="10"/>
      <c r="CW227" s="10"/>
      <c r="CX227" s="11">
        <v>0</v>
      </c>
      <c r="CY227" s="10"/>
      <c r="CZ227" s="10"/>
      <c r="DA227" s="11">
        <v>0</v>
      </c>
      <c r="DB227" s="10">
        <v>560000</v>
      </c>
      <c r="DC227" s="10"/>
      <c r="DD227" s="15">
        <f t="shared" si="464"/>
        <v>0</v>
      </c>
      <c r="DE227" s="16"/>
    </row>
    <row r="228" spans="1:109" x14ac:dyDescent="0.35">
      <c r="A228" s="8" t="s">
        <v>517</v>
      </c>
      <c r="B228" s="9" t="s">
        <v>51</v>
      </c>
      <c r="C228" s="9" t="s">
        <v>52</v>
      </c>
      <c r="D228" s="9" t="s">
        <v>518</v>
      </c>
      <c r="E228" s="9" t="s">
        <v>54</v>
      </c>
      <c r="F228" s="9" t="s">
        <v>55</v>
      </c>
      <c r="G228" s="10"/>
      <c r="H228" s="10"/>
      <c r="I228" s="11">
        <v>0</v>
      </c>
      <c r="J228" s="10"/>
      <c r="K228" s="10"/>
      <c r="L228" s="12">
        <v>0</v>
      </c>
      <c r="M228" s="10"/>
      <c r="N228" s="10"/>
      <c r="O228" s="11">
        <v>0</v>
      </c>
      <c r="P228" s="10"/>
      <c r="Q228" s="10"/>
      <c r="R228" s="11">
        <v>0</v>
      </c>
      <c r="S228" s="10"/>
      <c r="T228" s="10"/>
      <c r="U228" s="11">
        <v>0</v>
      </c>
      <c r="V228" s="10"/>
      <c r="W228" s="10"/>
      <c r="X228" s="11">
        <v>0</v>
      </c>
      <c r="Y228" s="10"/>
      <c r="Z228" s="10"/>
      <c r="AA228" s="11"/>
      <c r="AB228" s="10"/>
      <c r="AC228" s="10"/>
      <c r="AD228" s="11">
        <v>0</v>
      </c>
      <c r="AE228" s="10"/>
      <c r="AF228" s="10"/>
      <c r="AG228" s="11">
        <v>0</v>
      </c>
      <c r="AH228" s="10"/>
      <c r="AI228" s="10"/>
      <c r="AJ228" s="11">
        <v>0</v>
      </c>
      <c r="AK228" s="10"/>
      <c r="AL228" s="10"/>
      <c r="AM228" s="11">
        <v>0</v>
      </c>
      <c r="AN228" s="10"/>
      <c r="AO228" s="10"/>
      <c r="AP228" s="11">
        <v>0</v>
      </c>
      <c r="AQ228" s="10"/>
      <c r="AR228" s="10"/>
      <c r="AS228" s="11">
        <v>0</v>
      </c>
      <c r="AT228" s="10"/>
      <c r="AU228" s="10"/>
      <c r="AV228" s="11">
        <v>0</v>
      </c>
      <c r="AW228" s="10"/>
      <c r="AX228" s="10"/>
      <c r="AY228" s="11">
        <v>0</v>
      </c>
      <c r="AZ228" s="10"/>
      <c r="BA228" s="10"/>
      <c r="BB228" s="11">
        <v>0</v>
      </c>
      <c r="BC228" s="10"/>
      <c r="BD228" s="10"/>
      <c r="BE228" s="11">
        <v>0</v>
      </c>
      <c r="BF228" s="10"/>
      <c r="BG228" s="10"/>
      <c r="BH228" s="11">
        <v>0</v>
      </c>
      <c r="BI228" s="10"/>
      <c r="BJ228" s="10"/>
      <c r="BK228" s="11">
        <v>0</v>
      </c>
      <c r="BL228" s="10"/>
      <c r="BM228" s="10"/>
      <c r="BN228" s="11">
        <v>0</v>
      </c>
      <c r="BO228" s="10"/>
      <c r="BP228" s="10"/>
      <c r="BQ228" s="11">
        <v>0</v>
      </c>
      <c r="BR228" s="10"/>
      <c r="BS228" s="10"/>
      <c r="BT228" s="11">
        <v>0</v>
      </c>
      <c r="BU228" s="10"/>
      <c r="BV228" s="10"/>
      <c r="BW228" s="11">
        <v>0</v>
      </c>
      <c r="BX228" s="10"/>
      <c r="BY228" s="10"/>
      <c r="BZ228" s="11">
        <v>0</v>
      </c>
      <c r="CA228" s="10"/>
      <c r="CB228" s="10"/>
      <c r="CC228" s="11">
        <v>0</v>
      </c>
      <c r="CD228" s="10"/>
      <c r="CE228" s="10"/>
      <c r="CF228" s="11">
        <v>0</v>
      </c>
      <c r="CG228" s="10"/>
      <c r="CH228" s="10"/>
      <c r="CI228" s="11">
        <v>0</v>
      </c>
      <c r="CJ228" s="10"/>
      <c r="CK228" s="10"/>
      <c r="CL228" s="11">
        <v>0</v>
      </c>
      <c r="CM228" s="10"/>
      <c r="CN228" s="10"/>
      <c r="CO228" s="11">
        <v>0</v>
      </c>
      <c r="CP228" s="10"/>
      <c r="CQ228" s="10"/>
      <c r="CR228" s="11">
        <v>0</v>
      </c>
      <c r="CS228" s="10"/>
      <c r="CT228" s="10"/>
      <c r="CU228" s="11">
        <v>0</v>
      </c>
      <c r="CV228" s="10"/>
      <c r="CW228" s="10"/>
      <c r="CX228" s="11">
        <v>0</v>
      </c>
      <c r="CY228" s="10"/>
      <c r="CZ228" s="10"/>
      <c r="DA228" s="11">
        <v>0</v>
      </c>
      <c r="DB228" s="10"/>
      <c r="DC228" s="10"/>
      <c r="DD228" s="13">
        <v>0</v>
      </c>
      <c r="DE228" s="14"/>
    </row>
    <row r="229" spans="1:109" x14ac:dyDescent="0.35">
      <c r="A229" s="8" t="s">
        <v>519</v>
      </c>
      <c r="B229" s="9" t="s">
        <v>118</v>
      </c>
      <c r="C229" s="9" t="s">
        <v>43</v>
      </c>
      <c r="D229" s="9" t="s">
        <v>520</v>
      </c>
      <c r="E229" s="9" t="s">
        <v>61</v>
      </c>
      <c r="F229" s="9" t="s">
        <v>62</v>
      </c>
      <c r="G229" s="10"/>
      <c r="H229" s="10"/>
      <c r="I229" s="11">
        <v>0</v>
      </c>
      <c r="J229" s="10"/>
      <c r="K229" s="10"/>
      <c r="L229" s="12">
        <v>0</v>
      </c>
      <c r="M229" s="10"/>
      <c r="N229" s="10"/>
      <c r="O229" s="11">
        <v>0</v>
      </c>
      <c r="P229" s="10"/>
      <c r="Q229" s="10"/>
      <c r="R229" s="11">
        <v>0</v>
      </c>
      <c r="S229" s="10"/>
      <c r="T229" s="10"/>
      <c r="U229" s="11">
        <v>0</v>
      </c>
      <c r="V229" s="10">
        <v>1300000</v>
      </c>
      <c r="W229" s="10">
        <v>139300</v>
      </c>
      <c r="X229" s="11">
        <v>0.10715384615384616</v>
      </c>
      <c r="Y229" s="10"/>
      <c r="Z229" s="10"/>
      <c r="AA229" s="11"/>
      <c r="AB229" s="10"/>
      <c r="AC229" s="10"/>
      <c r="AD229" s="11">
        <v>0</v>
      </c>
      <c r="AE229" s="10"/>
      <c r="AF229" s="10"/>
      <c r="AG229" s="11">
        <v>0</v>
      </c>
      <c r="AH229" s="10"/>
      <c r="AI229" s="10"/>
      <c r="AJ229" s="11">
        <v>0</v>
      </c>
      <c r="AK229" s="10"/>
      <c r="AL229" s="10"/>
      <c r="AM229" s="11">
        <v>0</v>
      </c>
      <c r="AN229" s="10"/>
      <c r="AO229" s="10"/>
      <c r="AP229" s="11">
        <v>0</v>
      </c>
      <c r="AQ229" s="10"/>
      <c r="AR229" s="10"/>
      <c r="AS229" s="11">
        <v>0</v>
      </c>
      <c r="AT229" s="10"/>
      <c r="AU229" s="10"/>
      <c r="AV229" s="11">
        <v>0</v>
      </c>
      <c r="AW229" s="10"/>
      <c r="AX229" s="10"/>
      <c r="AY229" s="11">
        <v>0</v>
      </c>
      <c r="AZ229" s="10"/>
      <c r="BA229" s="10"/>
      <c r="BB229" s="11">
        <v>0</v>
      </c>
      <c r="BC229" s="10"/>
      <c r="BD229" s="10"/>
      <c r="BE229" s="11">
        <v>0</v>
      </c>
      <c r="BF229" s="10"/>
      <c r="BG229" s="10"/>
      <c r="BH229" s="11">
        <v>0</v>
      </c>
      <c r="BI229" s="10"/>
      <c r="BJ229" s="10"/>
      <c r="BK229" s="11">
        <v>0</v>
      </c>
      <c r="BL229" s="10"/>
      <c r="BM229" s="10"/>
      <c r="BN229" s="11">
        <v>0</v>
      </c>
      <c r="BO229" s="10"/>
      <c r="BP229" s="10"/>
      <c r="BQ229" s="11">
        <v>0</v>
      </c>
      <c r="BR229" s="10"/>
      <c r="BS229" s="10"/>
      <c r="BT229" s="11">
        <v>0</v>
      </c>
      <c r="BU229" s="10"/>
      <c r="BV229" s="10"/>
      <c r="BW229" s="11">
        <v>0</v>
      </c>
      <c r="BX229" s="10"/>
      <c r="BY229" s="10"/>
      <c r="BZ229" s="11">
        <v>0</v>
      </c>
      <c r="CA229" s="10"/>
      <c r="CB229" s="10"/>
      <c r="CC229" s="11">
        <v>0</v>
      </c>
      <c r="CD229" s="10"/>
      <c r="CE229" s="10"/>
      <c r="CF229" s="11">
        <v>0</v>
      </c>
      <c r="CG229" s="10"/>
      <c r="CH229" s="10"/>
      <c r="CI229" s="11">
        <v>0</v>
      </c>
      <c r="CJ229" s="10"/>
      <c r="CK229" s="10"/>
      <c r="CL229" s="11">
        <v>0</v>
      </c>
      <c r="CM229" s="10"/>
      <c r="CN229" s="10"/>
      <c r="CO229" s="11">
        <v>0</v>
      </c>
      <c r="CP229" s="10"/>
      <c r="CQ229" s="10"/>
      <c r="CR229" s="11">
        <v>0</v>
      </c>
      <c r="CS229" s="10"/>
      <c r="CT229" s="10"/>
      <c r="CU229" s="11">
        <v>0</v>
      </c>
      <c r="CV229" s="10"/>
      <c r="CW229" s="10"/>
      <c r="CX229" s="11">
        <v>0</v>
      </c>
      <c r="CY229" s="10"/>
      <c r="CZ229" s="10"/>
      <c r="DA229" s="11">
        <v>0</v>
      </c>
      <c r="DB229" s="10">
        <v>1300000</v>
      </c>
      <c r="DC229" s="10">
        <f t="shared" ref="DC229:DC230" si="467">SUM(H229,K229,N229,Q229,T229,W229,Z229,AC229,AF229,AI229,AL229,AO229,AR229,AU229,AX229,BA229,BD229,BG229,BJ229,BM229,BP229,BS229,BV229,BY229,CB229,CE229,CH229,CK229,CN229,CQ229,CT229,CW229,CZ229)</f>
        <v>139300</v>
      </c>
      <c r="DD229" s="13">
        <f t="shared" ref="DD229:DD230" si="468">DC229/DB229</f>
        <v>0.10715384615384616</v>
      </c>
      <c r="DE229" s="14"/>
    </row>
    <row r="230" spans="1:109" x14ac:dyDescent="0.35">
      <c r="A230" s="8" t="s">
        <v>521</v>
      </c>
      <c r="B230" s="9" t="s">
        <v>140</v>
      </c>
      <c r="C230" s="9" t="s">
        <v>43</v>
      </c>
      <c r="D230" s="9" t="s">
        <v>522</v>
      </c>
      <c r="E230" s="9" t="s">
        <v>45</v>
      </c>
      <c r="F230" s="9" t="s">
        <v>46</v>
      </c>
      <c r="G230" s="10"/>
      <c r="H230" s="10"/>
      <c r="I230" s="11">
        <v>0</v>
      </c>
      <c r="J230" s="10"/>
      <c r="K230" s="10"/>
      <c r="L230" s="12">
        <v>0</v>
      </c>
      <c r="M230" s="10">
        <v>1200000</v>
      </c>
      <c r="N230" s="10">
        <v>435500</v>
      </c>
      <c r="O230" s="11">
        <f t="shared" ref="O230" si="469">N230/M230</f>
        <v>0.36291666666666667</v>
      </c>
      <c r="P230" s="10"/>
      <c r="Q230" s="10"/>
      <c r="R230" s="11">
        <v>0</v>
      </c>
      <c r="S230" s="10"/>
      <c r="T230" s="10"/>
      <c r="U230" s="11">
        <v>0</v>
      </c>
      <c r="V230" s="10"/>
      <c r="W230" s="10"/>
      <c r="X230" s="11">
        <v>0</v>
      </c>
      <c r="Y230" s="10"/>
      <c r="Z230" s="10"/>
      <c r="AA230" s="11"/>
      <c r="AB230" s="10"/>
      <c r="AC230" s="10"/>
      <c r="AD230" s="11">
        <v>0</v>
      </c>
      <c r="AE230" s="10"/>
      <c r="AF230" s="10"/>
      <c r="AG230" s="11">
        <v>0</v>
      </c>
      <c r="AH230" s="10"/>
      <c r="AI230" s="10"/>
      <c r="AJ230" s="11">
        <v>0</v>
      </c>
      <c r="AK230" s="10"/>
      <c r="AL230" s="10"/>
      <c r="AM230" s="11">
        <v>0</v>
      </c>
      <c r="AN230" s="10"/>
      <c r="AO230" s="10"/>
      <c r="AP230" s="11">
        <v>0</v>
      </c>
      <c r="AQ230" s="10"/>
      <c r="AR230" s="10"/>
      <c r="AS230" s="11">
        <v>0</v>
      </c>
      <c r="AT230" s="10"/>
      <c r="AU230" s="10"/>
      <c r="AV230" s="11">
        <v>0</v>
      </c>
      <c r="AW230" s="10"/>
      <c r="AX230" s="10"/>
      <c r="AY230" s="11">
        <v>0</v>
      </c>
      <c r="AZ230" s="10"/>
      <c r="BA230" s="10"/>
      <c r="BB230" s="11">
        <v>0</v>
      </c>
      <c r="BC230" s="10"/>
      <c r="BD230" s="10"/>
      <c r="BE230" s="11">
        <v>0</v>
      </c>
      <c r="BF230" s="10"/>
      <c r="BG230" s="10"/>
      <c r="BH230" s="11">
        <v>0</v>
      </c>
      <c r="BI230" s="10"/>
      <c r="BJ230" s="10"/>
      <c r="BK230" s="11">
        <v>0</v>
      </c>
      <c r="BL230" s="10"/>
      <c r="BM230" s="10"/>
      <c r="BN230" s="11">
        <v>0</v>
      </c>
      <c r="BO230" s="10"/>
      <c r="BP230" s="10"/>
      <c r="BQ230" s="11">
        <v>0</v>
      </c>
      <c r="BR230" s="10">
        <v>500000</v>
      </c>
      <c r="BS230" s="10">
        <v>43500</v>
      </c>
      <c r="BT230" s="11">
        <f t="shared" ref="BT230" si="470">BS230/BR230</f>
        <v>8.6999999999999994E-2</v>
      </c>
      <c r="BU230" s="10">
        <v>300000</v>
      </c>
      <c r="BV230" s="10"/>
      <c r="BW230" s="11">
        <f t="shared" ref="BW230" si="471">BV230/BU230</f>
        <v>0</v>
      </c>
      <c r="BX230" s="10"/>
      <c r="BY230" s="10"/>
      <c r="BZ230" s="11">
        <v>0</v>
      </c>
      <c r="CA230" s="10"/>
      <c r="CB230" s="10"/>
      <c r="CC230" s="11">
        <v>0</v>
      </c>
      <c r="CD230" s="10"/>
      <c r="CE230" s="10"/>
      <c r="CF230" s="11">
        <v>0</v>
      </c>
      <c r="CG230" s="10">
        <v>140000</v>
      </c>
      <c r="CH230" s="10"/>
      <c r="CI230" s="11">
        <f t="shared" ref="CI230" si="472">CH230/CG230</f>
        <v>0</v>
      </c>
      <c r="CJ230" s="10"/>
      <c r="CK230" s="10"/>
      <c r="CL230" s="11">
        <v>0</v>
      </c>
      <c r="CM230" s="10"/>
      <c r="CN230" s="10"/>
      <c r="CO230" s="11">
        <v>0</v>
      </c>
      <c r="CP230" s="10"/>
      <c r="CQ230" s="10"/>
      <c r="CR230" s="11">
        <v>0</v>
      </c>
      <c r="CS230" s="10"/>
      <c r="CT230" s="10"/>
      <c r="CU230" s="11">
        <v>0</v>
      </c>
      <c r="CV230" s="10"/>
      <c r="CW230" s="10"/>
      <c r="CX230" s="11">
        <v>0</v>
      </c>
      <c r="CY230" s="10"/>
      <c r="CZ230" s="10"/>
      <c r="DA230" s="11">
        <v>0</v>
      </c>
      <c r="DB230" s="10">
        <v>2140000</v>
      </c>
      <c r="DC230" s="10">
        <f t="shared" si="467"/>
        <v>479000</v>
      </c>
      <c r="DD230" s="13">
        <f t="shared" si="468"/>
        <v>0.22383177570093457</v>
      </c>
      <c r="DE230" s="14"/>
    </row>
    <row r="231" spans="1:109" x14ac:dyDescent="0.35">
      <c r="A231" s="8" t="s">
        <v>523</v>
      </c>
      <c r="B231" s="9" t="s">
        <v>118</v>
      </c>
      <c r="C231" s="9" t="s">
        <v>43</v>
      </c>
      <c r="D231" s="9" t="s">
        <v>524</v>
      </c>
      <c r="E231" s="9" t="s">
        <v>61</v>
      </c>
      <c r="F231" s="9" t="s">
        <v>62</v>
      </c>
      <c r="G231" s="10"/>
      <c r="H231" s="10"/>
      <c r="I231" s="11">
        <v>0</v>
      </c>
      <c r="J231" s="10"/>
      <c r="K231" s="10"/>
      <c r="L231" s="12">
        <v>0</v>
      </c>
      <c r="M231" s="10"/>
      <c r="N231" s="10"/>
      <c r="O231" s="11">
        <v>0</v>
      </c>
      <c r="P231" s="10"/>
      <c r="Q231" s="10"/>
      <c r="R231" s="11">
        <v>0</v>
      </c>
      <c r="S231" s="10"/>
      <c r="T231" s="10"/>
      <c r="U231" s="11">
        <v>0</v>
      </c>
      <c r="V231" s="10"/>
      <c r="W231" s="10"/>
      <c r="X231" s="11">
        <v>0</v>
      </c>
      <c r="Y231" s="10"/>
      <c r="Z231" s="10"/>
      <c r="AA231" s="11"/>
      <c r="AB231" s="10"/>
      <c r="AC231" s="10"/>
      <c r="AD231" s="11">
        <v>0</v>
      </c>
      <c r="AE231" s="10"/>
      <c r="AF231" s="10"/>
      <c r="AG231" s="11">
        <v>0</v>
      </c>
      <c r="AH231" s="10"/>
      <c r="AI231" s="10"/>
      <c r="AJ231" s="11">
        <v>0</v>
      </c>
      <c r="AK231" s="10"/>
      <c r="AL231" s="10"/>
      <c r="AM231" s="11">
        <v>0</v>
      </c>
      <c r="AN231" s="10"/>
      <c r="AO231" s="10"/>
      <c r="AP231" s="11">
        <v>0</v>
      </c>
      <c r="AQ231" s="10"/>
      <c r="AR231" s="10"/>
      <c r="AS231" s="11">
        <v>0</v>
      </c>
      <c r="AT231" s="10"/>
      <c r="AU231" s="10"/>
      <c r="AV231" s="11">
        <v>0</v>
      </c>
      <c r="AW231" s="10"/>
      <c r="AX231" s="10"/>
      <c r="AY231" s="11">
        <v>0</v>
      </c>
      <c r="AZ231" s="10"/>
      <c r="BA231" s="10"/>
      <c r="BB231" s="11">
        <v>0</v>
      </c>
      <c r="BC231" s="10"/>
      <c r="BD231" s="10"/>
      <c r="BE231" s="11">
        <v>0</v>
      </c>
      <c r="BF231" s="10"/>
      <c r="BG231" s="10"/>
      <c r="BH231" s="11">
        <v>0</v>
      </c>
      <c r="BI231" s="10"/>
      <c r="BJ231" s="10"/>
      <c r="BK231" s="11">
        <v>0</v>
      </c>
      <c r="BL231" s="10"/>
      <c r="BM231" s="10"/>
      <c r="BN231" s="11">
        <v>0</v>
      </c>
      <c r="BO231" s="10"/>
      <c r="BP231" s="10"/>
      <c r="BQ231" s="11">
        <v>0</v>
      </c>
      <c r="BR231" s="10"/>
      <c r="BS231" s="10"/>
      <c r="BT231" s="11">
        <v>0</v>
      </c>
      <c r="BU231" s="10"/>
      <c r="BV231" s="10"/>
      <c r="BW231" s="11">
        <v>0</v>
      </c>
      <c r="BX231" s="10"/>
      <c r="BY231" s="10"/>
      <c r="BZ231" s="11">
        <v>0</v>
      </c>
      <c r="CA231" s="10"/>
      <c r="CB231" s="10"/>
      <c r="CC231" s="11">
        <v>0</v>
      </c>
      <c r="CD231" s="10"/>
      <c r="CE231" s="10"/>
      <c r="CF231" s="11">
        <v>0</v>
      </c>
      <c r="CG231" s="10"/>
      <c r="CH231" s="10"/>
      <c r="CI231" s="11">
        <v>0</v>
      </c>
      <c r="CJ231" s="10"/>
      <c r="CK231" s="10"/>
      <c r="CL231" s="11">
        <v>0</v>
      </c>
      <c r="CM231" s="10"/>
      <c r="CN231" s="10"/>
      <c r="CO231" s="11">
        <v>0</v>
      </c>
      <c r="CP231" s="10"/>
      <c r="CQ231" s="10"/>
      <c r="CR231" s="11">
        <v>0</v>
      </c>
      <c r="CS231" s="10"/>
      <c r="CT231" s="10"/>
      <c r="CU231" s="11">
        <v>0</v>
      </c>
      <c r="CV231" s="10"/>
      <c r="CW231" s="10"/>
      <c r="CX231" s="11">
        <v>0</v>
      </c>
      <c r="CY231" s="10"/>
      <c r="CZ231" s="10"/>
      <c r="DA231" s="11">
        <v>0</v>
      </c>
      <c r="DB231" s="10"/>
      <c r="DC231" s="10"/>
      <c r="DD231" s="13">
        <v>0</v>
      </c>
      <c r="DE231" s="14"/>
    </row>
    <row r="232" spans="1:109" x14ac:dyDescent="0.35">
      <c r="A232" s="8" t="s">
        <v>525</v>
      </c>
      <c r="B232" s="9" t="s">
        <v>74</v>
      </c>
      <c r="C232" s="9" t="s">
        <v>52</v>
      </c>
      <c r="D232" s="9" t="s">
        <v>526</v>
      </c>
      <c r="E232" s="9" t="s">
        <v>54</v>
      </c>
      <c r="F232" s="9" t="s">
        <v>55</v>
      </c>
      <c r="G232" s="10"/>
      <c r="H232" s="10"/>
      <c r="I232" s="11">
        <v>0</v>
      </c>
      <c r="J232" s="10"/>
      <c r="K232" s="10"/>
      <c r="L232" s="12">
        <v>0</v>
      </c>
      <c r="M232" s="10"/>
      <c r="N232" s="10"/>
      <c r="O232" s="11">
        <v>0</v>
      </c>
      <c r="P232" s="10"/>
      <c r="Q232" s="10"/>
      <c r="R232" s="11">
        <v>0</v>
      </c>
      <c r="S232" s="10">
        <v>300000</v>
      </c>
      <c r="T232" s="10"/>
      <c r="U232" s="11">
        <f t="shared" ref="U232:U233" si="473">T232/S232</f>
        <v>0</v>
      </c>
      <c r="V232" s="10"/>
      <c r="W232" s="10"/>
      <c r="X232" s="11">
        <v>0</v>
      </c>
      <c r="Y232" s="10"/>
      <c r="Z232" s="10"/>
      <c r="AA232" s="11"/>
      <c r="AB232" s="10"/>
      <c r="AC232" s="10"/>
      <c r="AD232" s="11">
        <v>0</v>
      </c>
      <c r="AE232" s="10"/>
      <c r="AF232" s="10"/>
      <c r="AG232" s="11">
        <v>0</v>
      </c>
      <c r="AH232" s="10"/>
      <c r="AI232" s="10"/>
      <c r="AJ232" s="11">
        <v>0</v>
      </c>
      <c r="AK232" s="10"/>
      <c r="AL232" s="10"/>
      <c r="AM232" s="11">
        <v>0</v>
      </c>
      <c r="AN232" s="10"/>
      <c r="AO232" s="10"/>
      <c r="AP232" s="11">
        <v>0</v>
      </c>
      <c r="AQ232" s="10"/>
      <c r="AR232" s="10"/>
      <c r="AS232" s="11">
        <v>0</v>
      </c>
      <c r="AT232" s="10"/>
      <c r="AU232" s="10"/>
      <c r="AV232" s="11">
        <v>0</v>
      </c>
      <c r="AW232" s="10"/>
      <c r="AX232" s="10"/>
      <c r="AY232" s="11">
        <v>0</v>
      </c>
      <c r="AZ232" s="10"/>
      <c r="BA232" s="10"/>
      <c r="BB232" s="11">
        <v>0</v>
      </c>
      <c r="BC232" s="10"/>
      <c r="BD232" s="10"/>
      <c r="BE232" s="11">
        <v>0</v>
      </c>
      <c r="BF232" s="10">
        <v>1800000</v>
      </c>
      <c r="BG232" s="10"/>
      <c r="BH232" s="11">
        <f t="shared" ref="BH232" si="474">BG232/BF232</f>
        <v>0</v>
      </c>
      <c r="BI232" s="10"/>
      <c r="BJ232" s="10"/>
      <c r="BK232" s="11">
        <v>0</v>
      </c>
      <c r="BL232" s="10"/>
      <c r="BM232" s="10"/>
      <c r="BN232" s="11">
        <v>0</v>
      </c>
      <c r="BO232" s="10"/>
      <c r="BP232" s="10"/>
      <c r="BQ232" s="11">
        <v>0</v>
      </c>
      <c r="BR232" s="10"/>
      <c r="BS232" s="10"/>
      <c r="BT232" s="11">
        <v>0</v>
      </c>
      <c r="BU232" s="10"/>
      <c r="BV232" s="10"/>
      <c r="BW232" s="11">
        <v>0</v>
      </c>
      <c r="BX232" s="10"/>
      <c r="BY232" s="10"/>
      <c r="BZ232" s="11">
        <v>0</v>
      </c>
      <c r="CA232" s="10"/>
      <c r="CB232" s="10"/>
      <c r="CC232" s="11">
        <v>0</v>
      </c>
      <c r="CD232" s="10"/>
      <c r="CE232" s="10"/>
      <c r="CF232" s="11">
        <v>0</v>
      </c>
      <c r="CG232" s="10"/>
      <c r="CH232" s="10"/>
      <c r="CI232" s="11">
        <v>0</v>
      </c>
      <c r="CJ232" s="10"/>
      <c r="CK232" s="10"/>
      <c r="CL232" s="11">
        <v>0</v>
      </c>
      <c r="CM232" s="10"/>
      <c r="CN232" s="10"/>
      <c r="CO232" s="11">
        <v>0</v>
      </c>
      <c r="CP232" s="10"/>
      <c r="CQ232" s="10"/>
      <c r="CR232" s="11">
        <v>0</v>
      </c>
      <c r="CS232" s="10"/>
      <c r="CT232" s="10"/>
      <c r="CU232" s="11">
        <v>0</v>
      </c>
      <c r="CV232" s="10"/>
      <c r="CW232" s="10"/>
      <c r="CX232" s="11">
        <v>0</v>
      </c>
      <c r="CY232" s="10"/>
      <c r="CZ232" s="10"/>
      <c r="DA232" s="11">
        <v>0</v>
      </c>
      <c r="DB232" s="10">
        <v>2100000</v>
      </c>
      <c r="DC232" s="10"/>
      <c r="DD232" s="15">
        <f t="shared" ref="DD232:DD236" si="475">DC232/DB232</f>
        <v>0</v>
      </c>
      <c r="DE232" s="16"/>
    </row>
    <row r="233" spans="1:109" x14ac:dyDescent="0.35">
      <c r="A233" s="8" t="s">
        <v>527</v>
      </c>
      <c r="B233" s="9" t="s">
        <v>51</v>
      </c>
      <c r="C233" s="9" t="s">
        <v>52</v>
      </c>
      <c r="D233" s="9" t="s">
        <v>528</v>
      </c>
      <c r="E233" s="9" t="s">
        <v>54</v>
      </c>
      <c r="F233" s="9" t="s">
        <v>55</v>
      </c>
      <c r="G233" s="10"/>
      <c r="H233" s="10"/>
      <c r="I233" s="11">
        <v>0</v>
      </c>
      <c r="J233" s="10"/>
      <c r="K233" s="10"/>
      <c r="L233" s="12">
        <v>0</v>
      </c>
      <c r="M233" s="10"/>
      <c r="N233" s="10"/>
      <c r="O233" s="11">
        <v>0</v>
      </c>
      <c r="P233" s="10"/>
      <c r="Q233" s="10"/>
      <c r="R233" s="11">
        <v>0</v>
      </c>
      <c r="S233" s="10">
        <v>50000</v>
      </c>
      <c r="T233" s="10"/>
      <c r="U233" s="11">
        <f t="shared" si="473"/>
        <v>0</v>
      </c>
      <c r="V233" s="10"/>
      <c r="W233" s="10"/>
      <c r="X233" s="11">
        <v>0</v>
      </c>
      <c r="Y233" s="10"/>
      <c r="Z233" s="10"/>
      <c r="AA233" s="11"/>
      <c r="AB233" s="10"/>
      <c r="AC233" s="10"/>
      <c r="AD233" s="11">
        <v>0</v>
      </c>
      <c r="AE233" s="10">
        <v>100000</v>
      </c>
      <c r="AF233" s="10"/>
      <c r="AG233" s="11">
        <f t="shared" ref="AG233" si="476">AF233/AE233</f>
        <v>0</v>
      </c>
      <c r="AH233" s="10"/>
      <c r="AI233" s="10"/>
      <c r="AJ233" s="11">
        <v>0</v>
      </c>
      <c r="AK233" s="10"/>
      <c r="AL233" s="10"/>
      <c r="AM233" s="11">
        <v>0</v>
      </c>
      <c r="AN233" s="10"/>
      <c r="AO233" s="10"/>
      <c r="AP233" s="11">
        <v>0</v>
      </c>
      <c r="AQ233" s="10"/>
      <c r="AR233" s="10"/>
      <c r="AS233" s="11">
        <v>0</v>
      </c>
      <c r="AT233" s="10"/>
      <c r="AU233" s="10"/>
      <c r="AV233" s="11">
        <v>0</v>
      </c>
      <c r="AW233" s="10"/>
      <c r="AX233" s="10"/>
      <c r="AY233" s="11">
        <v>0</v>
      </c>
      <c r="AZ233" s="10"/>
      <c r="BA233" s="10"/>
      <c r="BB233" s="11">
        <v>0</v>
      </c>
      <c r="BC233" s="10"/>
      <c r="BD233" s="10"/>
      <c r="BE233" s="11">
        <v>0</v>
      </c>
      <c r="BF233" s="10"/>
      <c r="BG233" s="10"/>
      <c r="BH233" s="11">
        <v>0</v>
      </c>
      <c r="BI233" s="10"/>
      <c r="BJ233" s="10"/>
      <c r="BK233" s="11">
        <v>0</v>
      </c>
      <c r="BL233" s="10"/>
      <c r="BM233" s="10"/>
      <c r="BN233" s="11">
        <v>0</v>
      </c>
      <c r="BO233" s="10"/>
      <c r="BP233" s="10"/>
      <c r="BQ233" s="11">
        <v>0</v>
      </c>
      <c r="BR233" s="10"/>
      <c r="BS233" s="10"/>
      <c r="BT233" s="11">
        <v>0</v>
      </c>
      <c r="BU233" s="10"/>
      <c r="BV233" s="10"/>
      <c r="BW233" s="11">
        <v>0</v>
      </c>
      <c r="BX233" s="10"/>
      <c r="BY233" s="10"/>
      <c r="BZ233" s="11">
        <v>0</v>
      </c>
      <c r="CA233" s="10"/>
      <c r="CB233" s="10"/>
      <c r="CC233" s="11">
        <v>0</v>
      </c>
      <c r="CD233" s="10"/>
      <c r="CE233" s="10"/>
      <c r="CF233" s="11">
        <v>0</v>
      </c>
      <c r="CG233" s="10">
        <v>150000</v>
      </c>
      <c r="CH233" s="10"/>
      <c r="CI233" s="11">
        <f t="shared" ref="CI233" si="477">CH233/CG233</f>
        <v>0</v>
      </c>
      <c r="CJ233" s="10"/>
      <c r="CK233" s="10"/>
      <c r="CL233" s="11">
        <v>0</v>
      </c>
      <c r="CM233" s="10"/>
      <c r="CN233" s="10"/>
      <c r="CO233" s="11">
        <v>0</v>
      </c>
      <c r="CP233" s="10"/>
      <c r="CQ233" s="10"/>
      <c r="CR233" s="11">
        <v>0</v>
      </c>
      <c r="CS233" s="10"/>
      <c r="CT233" s="10"/>
      <c r="CU233" s="11">
        <v>0</v>
      </c>
      <c r="CV233" s="10"/>
      <c r="CW233" s="10"/>
      <c r="CX233" s="11">
        <v>0</v>
      </c>
      <c r="CY233" s="10"/>
      <c r="CZ233" s="10"/>
      <c r="DA233" s="11">
        <v>0</v>
      </c>
      <c r="DB233" s="10">
        <v>300000</v>
      </c>
      <c r="DC233" s="10"/>
      <c r="DD233" s="15">
        <f t="shared" si="475"/>
        <v>0</v>
      </c>
      <c r="DE233" s="16"/>
    </row>
    <row r="234" spans="1:109" x14ac:dyDescent="0.35">
      <c r="A234" s="8" t="s">
        <v>529</v>
      </c>
      <c r="B234" s="9" t="s">
        <v>77</v>
      </c>
      <c r="C234" s="9" t="s">
        <v>43</v>
      </c>
      <c r="D234" s="9" t="s">
        <v>530</v>
      </c>
      <c r="E234" s="9" t="s">
        <v>61</v>
      </c>
      <c r="F234" s="9" t="s">
        <v>62</v>
      </c>
      <c r="G234" s="10"/>
      <c r="H234" s="10"/>
      <c r="I234" s="11">
        <v>0</v>
      </c>
      <c r="J234" s="10"/>
      <c r="K234" s="10"/>
      <c r="L234" s="12">
        <v>0</v>
      </c>
      <c r="M234" s="10"/>
      <c r="N234" s="10"/>
      <c r="O234" s="11">
        <v>0</v>
      </c>
      <c r="P234" s="10"/>
      <c r="Q234" s="10"/>
      <c r="R234" s="11">
        <v>0</v>
      </c>
      <c r="S234" s="10"/>
      <c r="T234" s="10"/>
      <c r="U234" s="11">
        <v>0</v>
      </c>
      <c r="V234" s="10"/>
      <c r="W234" s="10"/>
      <c r="X234" s="11">
        <v>0</v>
      </c>
      <c r="Y234" s="10"/>
      <c r="Z234" s="10"/>
      <c r="AA234" s="11"/>
      <c r="AB234" s="10"/>
      <c r="AC234" s="10"/>
      <c r="AD234" s="11">
        <v>0</v>
      </c>
      <c r="AE234" s="10"/>
      <c r="AF234" s="10"/>
      <c r="AG234" s="11">
        <v>0</v>
      </c>
      <c r="AH234" s="10"/>
      <c r="AI234" s="10"/>
      <c r="AJ234" s="11">
        <v>0</v>
      </c>
      <c r="AK234" s="10"/>
      <c r="AL234" s="10"/>
      <c r="AM234" s="11">
        <v>0</v>
      </c>
      <c r="AN234" s="10"/>
      <c r="AO234" s="10"/>
      <c r="AP234" s="11">
        <v>0</v>
      </c>
      <c r="AQ234" s="10"/>
      <c r="AR234" s="10"/>
      <c r="AS234" s="11">
        <v>0</v>
      </c>
      <c r="AT234" s="10"/>
      <c r="AU234" s="10"/>
      <c r="AV234" s="11">
        <v>0</v>
      </c>
      <c r="AW234" s="10"/>
      <c r="AX234" s="10"/>
      <c r="AY234" s="11">
        <v>0</v>
      </c>
      <c r="AZ234" s="10"/>
      <c r="BA234" s="10"/>
      <c r="BB234" s="11">
        <v>0</v>
      </c>
      <c r="BC234" s="10"/>
      <c r="BD234" s="10"/>
      <c r="BE234" s="11">
        <v>0</v>
      </c>
      <c r="BF234" s="10"/>
      <c r="BG234" s="10"/>
      <c r="BH234" s="11">
        <v>0</v>
      </c>
      <c r="BI234" s="10"/>
      <c r="BJ234" s="10"/>
      <c r="BK234" s="11">
        <v>0</v>
      </c>
      <c r="BL234" s="10"/>
      <c r="BM234" s="10"/>
      <c r="BN234" s="11">
        <v>0</v>
      </c>
      <c r="BO234" s="10"/>
      <c r="BP234" s="10"/>
      <c r="BQ234" s="11">
        <v>0</v>
      </c>
      <c r="BR234" s="10"/>
      <c r="BS234" s="10"/>
      <c r="BT234" s="11">
        <v>0</v>
      </c>
      <c r="BU234" s="10"/>
      <c r="BV234" s="10"/>
      <c r="BW234" s="11">
        <v>0</v>
      </c>
      <c r="BX234" s="10"/>
      <c r="BY234" s="10"/>
      <c r="BZ234" s="11">
        <v>0</v>
      </c>
      <c r="CA234" s="10"/>
      <c r="CB234" s="10"/>
      <c r="CC234" s="11">
        <v>0</v>
      </c>
      <c r="CD234" s="10"/>
      <c r="CE234" s="10"/>
      <c r="CF234" s="11">
        <v>0</v>
      </c>
      <c r="CG234" s="10"/>
      <c r="CH234" s="10"/>
      <c r="CI234" s="11">
        <v>0</v>
      </c>
      <c r="CJ234" s="10"/>
      <c r="CK234" s="10"/>
      <c r="CL234" s="11">
        <v>0</v>
      </c>
      <c r="CM234" s="10"/>
      <c r="CN234" s="10"/>
      <c r="CO234" s="11">
        <v>0</v>
      </c>
      <c r="CP234" s="10"/>
      <c r="CQ234" s="10"/>
      <c r="CR234" s="11">
        <v>0</v>
      </c>
      <c r="CS234" s="10"/>
      <c r="CT234" s="10"/>
      <c r="CU234" s="11">
        <v>0</v>
      </c>
      <c r="CV234" s="10"/>
      <c r="CW234" s="10"/>
      <c r="CX234" s="11">
        <v>0</v>
      </c>
      <c r="CY234" s="10"/>
      <c r="CZ234" s="10"/>
      <c r="DA234" s="11">
        <v>0</v>
      </c>
      <c r="DB234" s="10"/>
      <c r="DC234" s="10"/>
      <c r="DD234" s="13">
        <v>0</v>
      </c>
      <c r="DE234" s="14"/>
    </row>
    <row r="235" spans="1:109" x14ac:dyDescent="0.35">
      <c r="A235" s="8" t="s">
        <v>531</v>
      </c>
      <c r="B235" s="9" t="s">
        <v>172</v>
      </c>
      <c r="C235" s="9" t="s">
        <v>52</v>
      </c>
      <c r="D235" s="9" t="s">
        <v>532</v>
      </c>
      <c r="E235" s="9" t="s">
        <v>54</v>
      </c>
      <c r="F235" s="9" t="s">
        <v>55</v>
      </c>
      <c r="G235" s="10"/>
      <c r="H235" s="10"/>
      <c r="I235" s="11">
        <v>0</v>
      </c>
      <c r="J235" s="10"/>
      <c r="K235" s="10"/>
      <c r="L235" s="12">
        <v>0</v>
      </c>
      <c r="M235" s="10"/>
      <c r="N235" s="10"/>
      <c r="O235" s="11">
        <v>0</v>
      </c>
      <c r="P235" s="10"/>
      <c r="Q235" s="10"/>
      <c r="R235" s="11">
        <v>0</v>
      </c>
      <c r="S235" s="10"/>
      <c r="T235" s="10"/>
      <c r="U235" s="11">
        <v>0</v>
      </c>
      <c r="V235" s="10"/>
      <c r="W235" s="10">
        <v>24300</v>
      </c>
      <c r="X235" s="11">
        <v>0</v>
      </c>
      <c r="Y235" s="10"/>
      <c r="Z235" s="10"/>
      <c r="AA235" s="11"/>
      <c r="AB235" s="10">
        <v>10000</v>
      </c>
      <c r="AC235" s="10"/>
      <c r="AD235" s="11">
        <v>0</v>
      </c>
      <c r="AE235" s="10"/>
      <c r="AF235" s="10"/>
      <c r="AG235" s="11">
        <v>0</v>
      </c>
      <c r="AH235" s="10"/>
      <c r="AI235" s="10"/>
      <c r="AJ235" s="11">
        <v>0</v>
      </c>
      <c r="AK235" s="10"/>
      <c r="AL235" s="10"/>
      <c r="AM235" s="11">
        <v>0</v>
      </c>
      <c r="AN235" s="10"/>
      <c r="AO235" s="10"/>
      <c r="AP235" s="11">
        <v>0</v>
      </c>
      <c r="AQ235" s="10"/>
      <c r="AR235" s="10"/>
      <c r="AS235" s="11">
        <v>0</v>
      </c>
      <c r="AT235" s="10"/>
      <c r="AU235" s="10"/>
      <c r="AV235" s="11">
        <v>0</v>
      </c>
      <c r="AW235" s="10"/>
      <c r="AX235" s="10"/>
      <c r="AY235" s="11">
        <v>0</v>
      </c>
      <c r="AZ235" s="10"/>
      <c r="BA235" s="10"/>
      <c r="BB235" s="11">
        <v>0</v>
      </c>
      <c r="BC235" s="10"/>
      <c r="BD235" s="10"/>
      <c r="BE235" s="11">
        <v>0</v>
      </c>
      <c r="BF235" s="10"/>
      <c r="BG235" s="10">
        <f>VLOOKUP(A:A,'[1]2026 Customer Brand Sales'!$A:$BA,53,0)</f>
        <v>707640</v>
      </c>
      <c r="BH235" s="11">
        <v>0</v>
      </c>
      <c r="BI235" s="10"/>
      <c r="BJ235" s="10"/>
      <c r="BK235" s="11">
        <v>0</v>
      </c>
      <c r="BL235" s="10"/>
      <c r="BM235" s="10">
        <v>64700</v>
      </c>
      <c r="BN235" s="11">
        <v>0</v>
      </c>
      <c r="BO235" s="10"/>
      <c r="BP235" s="10"/>
      <c r="BQ235" s="11">
        <v>0</v>
      </c>
      <c r="BR235" s="10"/>
      <c r="BS235" s="10">
        <v>9600</v>
      </c>
      <c r="BT235" s="11">
        <v>0</v>
      </c>
      <c r="BU235" s="10"/>
      <c r="BV235" s="10"/>
      <c r="BW235" s="11">
        <v>0</v>
      </c>
      <c r="BX235" s="10"/>
      <c r="BY235" s="10"/>
      <c r="BZ235" s="11">
        <v>0</v>
      </c>
      <c r="CA235" s="10"/>
      <c r="CB235" s="10"/>
      <c r="CC235" s="11">
        <v>0</v>
      </c>
      <c r="CD235" s="10"/>
      <c r="CE235" s="10"/>
      <c r="CF235" s="11">
        <v>0</v>
      </c>
      <c r="CG235" s="10"/>
      <c r="CH235" s="10"/>
      <c r="CI235" s="11">
        <v>0</v>
      </c>
      <c r="CJ235" s="10"/>
      <c r="CK235" s="10"/>
      <c r="CL235" s="11">
        <v>0</v>
      </c>
      <c r="CM235" s="10"/>
      <c r="CN235" s="10"/>
      <c r="CO235" s="11">
        <v>0</v>
      </c>
      <c r="CP235" s="10"/>
      <c r="CQ235" s="10"/>
      <c r="CR235" s="11">
        <v>0</v>
      </c>
      <c r="CS235" s="10"/>
      <c r="CT235" s="10"/>
      <c r="CU235" s="11">
        <v>0</v>
      </c>
      <c r="CV235" s="10"/>
      <c r="CW235" s="10"/>
      <c r="CX235" s="11">
        <v>0</v>
      </c>
      <c r="CY235" s="10"/>
      <c r="CZ235" s="10"/>
      <c r="DA235" s="11">
        <v>0</v>
      </c>
      <c r="DB235" s="10">
        <v>10000</v>
      </c>
      <c r="DC235" s="10">
        <f t="shared" ref="DC235" si="478">SUM(H235,K235,N235,Q235,T235,W235,Z235,AC235,AF235,AI235,AL235,AO235,AR235,AU235,AX235,BA235,BD235,BG235,BJ235,BM235,BP235,BS235,BV235,BY235,CB235,CE235,CH235,CK235,CN235,CQ235,CT235,CW235,CZ235)</f>
        <v>806240</v>
      </c>
      <c r="DD235" s="13">
        <f t="shared" si="475"/>
        <v>80.623999999999995</v>
      </c>
      <c r="DE235" s="14"/>
    </row>
    <row r="236" spans="1:109" x14ac:dyDescent="0.35">
      <c r="A236" s="8" t="s">
        <v>533</v>
      </c>
      <c r="B236" s="9" t="s">
        <v>77</v>
      </c>
      <c r="C236" s="9" t="s">
        <v>43</v>
      </c>
      <c r="D236" s="9" t="s">
        <v>534</v>
      </c>
      <c r="E236" s="9" t="s">
        <v>61</v>
      </c>
      <c r="F236" s="9" t="s">
        <v>62</v>
      </c>
      <c r="G236" s="10"/>
      <c r="H236" s="10"/>
      <c r="I236" s="11">
        <v>0</v>
      </c>
      <c r="J236" s="10"/>
      <c r="K236" s="10"/>
      <c r="L236" s="12">
        <v>0</v>
      </c>
      <c r="M236" s="10"/>
      <c r="N236" s="10"/>
      <c r="O236" s="11">
        <v>0</v>
      </c>
      <c r="P236" s="10"/>
      <c r="Q236" s="10"/>
      <c r="R236" s="11">
        <v>0</v>
      </c>
      <c r="S236" s="10"/>
      <c r="T236" s="10"/>
      <c r="U236" s="11">
        <v>0</v>
      </c>
      <c r="V236" s="10"/>
      <c r="W236" s="10"/>
      <c r="X236" s="11">
        <v>0</v>
      </c>
      <c r="Y236" s="10"/>
      <c r="Z236" s="10"/>
      <c r="AA236" s="11"/>
      <c r="AB236" s="10">
        <v>70000</v>
      </c>
      <c r="AC236" s="10"/>
      <c r="AD236" s="11">
        <v>0</v>
      </c>
      <c r="AE236" s="10"/>
      <c r="AF236" s="10"/>
      <c r="AG236" s="11">
        <v>0</v>
      </c>
      <c r="AH236" s="10"/>
      <c r="AI236" s="10"/>
      <c r="AJ236" s="11">
        <v>0</v>
      </c>
      <c r="AK236" s="10"/>
      <c r="AL236" s="10"/>
      <c r="AM236" s="11">
        <v>0</v>
      </c>
      <c r="AN236" s="10"/>
      <c r="AO236" s="10"/>
      <c r="AP236" s="11">
        <v>0</v>
      </c>
      <c r="AQ236" s="10"/>
      <c r="AR236" s="10"/>
      <c r="AS236" s="11">
        <v>0</v>
      </c>
      <c r="AT236" s="10"/>
      <c r="AU236" s="10"/>
      <c r="AV236" s="11">
        <v>0</v>
      </c>
      <c r="AW236" s="10"/>
      <c r="AX236" s="10"/>
      <c r="AY236" s="11">
        <v>0</v>
      </c>
      <c r="AZ236" s="10"/>
      <c r="BA236" s="10"/>
      <c r="BB236" s="11">
        <v>0</v>
      </c>
      <c r="BC236" s="10"/>
      <c r="BD236" s="10"/>
      <c r="BE236" s="11">
        <v>0</v>
      </c>
      <c r="BF236" s="10"/>
      <c r="BG236" s="10"/>
      <c r="BH236" s="11">
        <v>0</v>
      </c>
      <c r="BI236" s="10"/>
      <c r="BJ236" s="10"/>
      <c r="BK236" s="11">
        <v>0</v>
      </c>
      <c r="BL236" s="10"/>
      <c r="BM236" s="10"/>
      <c r="BN236" s="11">
        <v>0</v>
      </c>
      <c r="BO236" s="10"/>
      <c r="BP236" s="10"/>
      <c r="BQ236" s="11">
        <v>0</v>
      </c>
      <c r="BR236" s="10"/>
      <c r="BS236" s="10"/>
      <c r="BT236" s="11">
        <v>0</v>
      </c>
      <c r="BU236" s="10"/>
      <c r="BV236" s="10"/>
      <c r="BW236" s="11">
        <v>0</v>
      </c>
      <c r="BX236" s="10"/>
      <c r="BY236" s="10"/>
      <c r="BZ236" s="11">
        <v>0</v>
      </c>
      <c r="CA236" s="10"/>
      <c r="CB236" s="10"/>
      <c r="CC236" s="11">
        <v>0</v>
      </c>
      <c r="CD236" s="10"/>
      <c r="CE236" s="10"/>
      <c r="CF236" s="11">
        <v>0</v>
      </c>
      <c r="CG236" s="10"/>
      <c r="CH236" s="10"/>
      <c r="CI236" s="11">
        <v>0</v>
      </c>
      <c r="CJ236" s="10"/>
      <c r="CK236" s="10"/>
      <c r="CL236" s="11">
        <v>0</v>
      </c>
      <c r="CM236" s="10"/>
      <c r="CN236" s="10"/>
      <c r="CO236" s="11">
        <v>0</v>
      </c>
      <c r="CP236" s="10"/>
      <c r="CQ236" s="10"/>
      <c r="CR236" s="11">
        <v>0</v>
      </c>
      <c r="CS236" s="10"/>
      <c r="CT236" s="10"/>
      <c r="CU236" s="11">
        <v>0</v>
      </c>
      <c r="CV236" s="10"/>
      <c r="CW236" s="10"/>
      <c r="CX236" s="11">
        <v>0</v>
      </c>
      <c r="CY236" s="10"/>
      <c r="CZ236" s="10"/>
      <c r="DA236" s="11">
        <v>0</v>
      </c>
      <c r="DB236" s="10">
        <v>70000</v>
      </c>
      <c r="DC236" s="10"/>
      <c r="DD236" s="15">
        <f t="shared" si="475"/>
        <v>0</v>
      </c>
      <c r="DE236" s="16"/>
    </row>
    <row r="237" spans="1:109" x14ac:dyDescent="0.35">
      <c r="A237" s="8" t="s">
        <v>535</v>
      </c>
      <c r="B237" s="9" t="s">
        <v>59</v>
      </c>
      <c r="C237" s="9" t="s">
        <v>43</v>
      </c>
      <c r="D237" s="9" t="s">
        <v>536</v>
      </c>
      <c r="E237" s="9" t="s">
        <v>61</v>
      </c>
      <c r="F237" s="9" t="s">
        <v>62</v>
      </c>
      <c r="G237" s="10"/>
      <c r="H237" s="10"/>
      <c r="I237" s="11">
        <v>0</v>
      </c>
      <c r="J237" s="10"/>
      <c r="K237" s="10"/>
      <c r="L237" s="12">
        <v>0</v>
      </c>
      <c r="M237" s="10"/>
      <c r="N237" s="10"/>
      <c r="O237" s="11">
        <v>0</v>
      </c>
      <c r="P237" s="10"/>
      <c r="Q237" s="10"/>
      <c r="R237" s="11">
        <v>0</v>
      </c>
      <c r="S237" s="10"/>
      <c r="T237" s="10"/>
      <c r="U237" s="11">
        <v>0</v>
      </c>
      <c r="V237" s="10">
        <v>300000</v>
      </c>
      <c r="W237" s="10">
        <v>261350</v>
      </c>
      <c r="X237" s="11">
        <v>0.87116666666666664</v>
      </c>
      <c r="Y237" s="10"/>
      <c r="Z237" s="10"/>
      <c r="AA237" s="11"/>
      <c r="AB237" s="10"/>
      <c r="AC237" s="10"/>
      <c r="AD237" s="11">
        <v>0</v>
      </c>
      <c r="AE237" s="10"/>
      <c r="AF237" s="10"/>
      <c r="AG237" s="11">
        <v>0</v>
      </c>
      <c r="AH237" s="10"/>
      <c r="AI237" s="10"/>
      <c r="AJ237" s="11">
        <v>0</v>
      </c>
      <c r="AK237" s="10"/>
      <c r="AL237" s="10"/>
      <c r="AM237" s="11">
        <v>0</v>
      </c>
      <c r="AN237" s="10"/>
      <c r="AO237" s="10"/>
      <c r="AP237" s="11">
        <v>0</v>
      </c>
      <c r="AQ237" s="10"/>
      <c r="AR237" s="10"/>
      <c r="AS237" s="11">
        <v>0</v>
      </c>
      <c r="AT237" s="10"/>
      <c r="AU237" s="10"/>
      <c r="AV237" s="11">
        <v>0</v>
      </c>
      <c r="AW237" s="10"/>
      <c r="AX237" s="10"/>
      <c r="AY237" s="11">
        <v>0</v>
      </c>
      <c r="AZ237" s="10"/>
      <c r="BA237" s="10"/>
      <c r="BB237" s="11">
        <v>0</v>
      </c>
      <c r="BC237" s="10"/>
      <c r="BD237" s="10"/>
      <c r="BE237" s="11">
        <v>0</v>
      </c>
      <c r="BF237" s="10"/>
      <c r="BG237" s="10"/>
      <c r="BH237" s="11">
        <v>0</v>
      </c>
      <c r="BI237" s="10"/>
      <c r="BJ237" s="10"/>
      <c r="BK237" s="11">
        <v>0</v>
      </c>
      <c r="BL237" s="10"/>
      <c r="BM237" s="10"/>
      <c r="BN237" s="11">
        <v>0</v>
      </c>
      <c r="BO237" s="10"/>
      <c r="BP237" s="10"/>
      <c r="BQ237" s="11">
        <v>0</v>
      </c>
      <c r="BR237" s="10"/>
      <c r="BS237" s="10"/>
      <c r="BT237" s="11">
        <v>0</v>
      </c>
      <c r="BU237" s="10"/>
      <c r="BV237" s="10"/>
      <c r="BW237" s="11">
        <v>0</v>
      </c>
      <c r="BX237" s="10"/>
      <c r="BY237" s="10"/>
      <c r="BZ237" s="11">
        <v>0</v>
      </c>
      <c r="CA237" s="10"/>
      <c r="CB237" s="10"/>
      <c r="CC237" s="11">
        <v>0</v>
      </c>
      <c r="CD237" s="10"/>
      <c r="CE237" s="10"/>
      <c r="CF237" s="11">
        <v>0</v>
      </c>
      <c r="CG237" s="10"/>
      <c r="CH237" s="10"/>
      <c r="CI237" s="11">
        <v>0</v>
      </c>
      <c r="CJ237" s="10"/>
      <c r="CK237" s="10"/>
      <c r="CL237" s="11">
        <v>0</v>
      </c>
      <c r="CM237" s="10"/>
      <c r="CN237" s="10"/>
      <c r="CO237" s="11">
        <v>0</v>
      </c>
      <c r="CP237" s="10"/>
      <c r="CQ237" s="10"/>
      <c r="CR237" s="11">
        <v>0</v>
      </c>
      <c r="CS237" s="10"/>
      <c r="CT237" s="10"/>
      <c r="CU237" s="11">
        <v>0</v>
      </c>
      <c r="CV237" s="10"/>
      <c r="CW237" s="10"/>
      <c r="CX237" s="11">
        <v>0</v>
      </c>
      <c r="CY237" s="10"/>
      <c r="CZ237" s="10"/>
      <c r="DA237" s="11">
        <v>0</v>
      </c>
      <c r="DB237" s="10">
        <v>300000</v>
      </c>
      <c r="DC237" s="10">
        <f t="shared" ref="DC237" si="479">SUM(H237,K237,N237,Q237,T237,W237,Z237,AC237,AF237,AI237,AL237,AO237,AR237,AU237,AX237,BA237,BD237,BG237,BJ237,BM237,BP237,BS237,BV237,BY237,CB237,CE237,CH237,CK237,CN237,CQ237,CT237,CW237,CZ237)</f>
        <v>261350</v>
      </c>
      <c r="DD237" s="13">
        <f t="shared" ref="DD237" si="480">DC237/DB237</f>
        <v>0.87116666666666664</v>
      </c>
      <c r="DE237" s="14"/>
    </row>
    <row r="238" spans="1:109" x14ac:dyDescent="0.35">
      <c r="A238" s="8" t="s">
        <v>537</v>
      </c>
      <c r="B238" s="9" t="s">
        <v>51</v>
      </c>
      <c r="C238" s="9" t="s">
        <v>52</v>
      </c>
      <c r="D238" s="9" t="s">
        <v>538</v>
      </c>
      <c r="E238" s="9" t="s">
        <v>54</v>
      </c>
      <c r="F238" s="9" t="s">
        <v>55</v>
      </c>
      <c r="G238" s="10"/>
      <c r="H238" s="10"/>
      <c r="I238" s="11">
        <v>0</v>
      </c>
      <c r="J238" s="10"/>
      <c r="K238" s="10"/>
      <c r="L238" s="12">
        <v>0</v>
      </c>
      <c r="M238" s="10"/>
      <c r="N238" s="10"/>
      <c r="O238" s="11">
        <v>0</v>
      </c>
      <c r="P238" s="10"/>
      <c r="Q238" s="10"/>
      <c r="R238" s="11">
        <v>0</v>
      </c>
      <c r="S238" s="10"/>
      <c r="T238" s="10"/>
      <c r="U238" s="11">
        <v>0</v>
      </c>
      <c r="V238" s="10"/>
      <c r="W238" s="10"/>
      <c r="X238" s="11">
        <v>0</v>
      </c>
      <c r="Y238" s="10"/>
      <c r="Z238" s="10"/>
      <c r="AA238" s="11"/>
      <c r="AB238" s="10"/>
      <c r="AC238" s="10"/>
      <c r="AD238" s="11">
        <v>0</v>
      </c>
      <c r="AE238" s="10"/>
      <c r="AF238" s="10"/>
      <c r="AG238" s="11">
        <v>0</v>
      </c>
      <c r="AH238" s="10"/>
      <c r="AI238" s="10"/>
      <c r="AJ238" s="11">
        <v>0</v>
      </c>
      <c r="AK238" s="10"/>
      <c r="AL238" s="10"/>
      <c r="AM238" s="11">
        <v>0</v>
      </c>
      <c r="AN238" s="10"/>
      <c r="AO238" s="10"/>
      <c r="AP238" s="11">
        <v>0</v>
      </c>
      <c r="AQ238" s="10"/>
      <c r="AR238" s="10"/>
      <c r="AS238" s="11">
        <v>0</v>
      </c>
      <c r="AT238" s="10"/>
      <c r="AU238" s="10"/>
      <c r="AV238" s="11">
        <v>0</v>
      </c>
      <c r="AW238" s="10"/>
      <c r="AX238" s="10"/>
      <c r="AY238" s="11">
        <v>0</v>
      </c>
      <c r="AZ238" s="10"/>
      <c r="BA238" s="10"/>
      <c r="BB238" s="11">
        <v>0</v>
      </c>
      <c r="BC238" s="10"/>
      <c r="BD238" s="10"/>
      <c r="BE238" s="11">
        <v>0</v>
      </c>
      <c r="BF238" s="10"/>
      <c r="BG238" s="10"/>
      <c r="BH238" s="11">
        <v>0</v>
      </c>
      <c r="BI238" s="10"/>
      <c r="BJ238" s="10"/>
      <c r="BK238" s="11">
        <v>0</v>
      </c>
      <c r="BL238" s="10"/>
      <c r="BM238" s="10"/>
      <c r="BN238" s="11">
        <v>0</v>
      </c>
      <c r="BO238" s="10"/>
      <c r="BP238" s="10"/>
      <c r="BQ238" s="11">
        <v>0</v>
      </c>
      <c r="BR238" s="10"/>
      <c r="BS238" s="10"/>
      <c r="BT238" s="11">
        <v>0</v>
      </c>
      <c r="BU238" s="10"/>
      <c r="BV238" s="10"/>
      <c r="BW238" s="11">
        <v>0</v>
      </c>
      <c r="BX238" s="10"/>
      <c r="BY238" s="10"/>
      <c r="BZ238" s="11">
        <v>0</v>
      </c>
      <c r="CA238" s="10"/>
      <c r="CB238" s="10"/>
      <c r="CC238" s="11">
        <v>0</v>
      </c>
      <c r="CD238" s="10"/>
      <c r="CE238" s="10"/>
      <c r="CF238" s="11">
        <v>0</v>
      </c>
      <c r="CG238" s="10"/>
      <c r="CH238" s="10"/>
      <c r="CI238" s="11">
        <v>0</v>
      </c>
      <c r="CJ238" s="10"/>
      <c r="CK238" s="10"/>
      <c r="CL238" s="11">
        <v>0</v>
      </c>
      <c r="CM238" s="10"/>
      <c r="CN238" s="10"/>
      <c r="CO238" s="11">
        <v>0</v>
      </c>
      <c r="CP238" s="10"/>
      <c r="CQ238" s="10"/>
      <c r="CR238" s="11">
        <v>0</v>
      </c>
      <c r="CS238" s="10"/>
      <c r="CT238" s="10"/>
      <c r="CU238" s="11">
        <v>0</v>
      </c>
      <c r="CV238" s="10"/>
      <c r="CW238" s="10"/>
      <c r="CX238" s="11">
        <v>0</v>
      </c>
      <c r="CY238" s="10"/>
      <c r="CZ238" s="10"/>
      <c r="DA238" s="11">
        <v>0</v>
      </c>
      <c r="DB238" s="10"/>
      <c r="DC238" s="10"/>
      <c r="DD238" s="13">
        <v>0</v>
      </c>
      <c r="DE238" s="14"/>
    </row>
    <row r="239" spans="1:109" x14ac:dyDescent="0.35">
      <c r="A239" s="8" t="s">
        <v>539</v>
      </c>
      <c r="B239" s="9" t="s">
        <v>51</v>
      </c>
      <c r="C239" s="9" t="s">
        <v>52</v>
      </c>
      <c r="D239" s="9" t="s">
        <v>540</v>
      </c>
      <c r="E239" s="9" t="s">
        <v>54</v>
      </c>
      <c r="F239" s="9" t="s">
        <v>55</v>
      </c>
      <c r="G239" s="10"/>
      <c r="H239" s="10"/>
      <c r="I239" s="11">
        <v>0</v>
      </c>
      <c r="J239" s="10"/>
      <c r="K239" s="10"/>
      <c r="L239" s="12">
        <v>0</v>
      </c>
      <c r="M239" s="10"/>
      <c r="N239" s="10"/>
      <c r="O239" s="11">
        <v>0</v>
      </c>
      <c r="P239" s="10"/>
      <c r="Q239" s="10"/>
      <c r="R239" s="11">
        <v>0</v>
      </c>
      <c r="S239" s="10"/>
      <c r="T239" s="10"/>
      <c r="U239" s="11">
        <v>0</v>
      </c>
      <c r="V239" s="10"/>
      <c r="W239" s="10"/>
      <c r="X239" s="11">
        <v>0</v>
      </c>
      <c r="Y239" s="10"/>
      <c r="Z239" s="10"/>
      <c r="AA239" s="11"/>
      <c r="AB239" s="10"/>
      <c r="AC239" s="10"/>
      <c r="AD239" s="11">
        <v>0</v>
      </c>
      <c r="AE239" s="10"/>
      <c r="AF239" s="10"/>
      <c r="AG239" s="11">
        <v>0</v>
      </c>
      <c r="AH239" s="10"/>
      <c r="AI239" s="10"/>
      <c r="AJ239" s="11">
        <v>0</v>
      </c>
      <c r="AK239" s="10"/>
      <c r="AL239" s="10"/>
      <c r="AM239" s="11">
        <v>0</v>
      </c>
      <c r="AN239" s="10"/>
      <c r="AO239" s="10"/>
      <c r="AP239" s="11">
        <v>0</v>
      </c>
      <c r="AQ239" s="10"/>
      <c r="AR239" s="10"/>
      <c r="AS239" s="11">
        <v>0</v>
      </c>
      <c r="AT239" s="10"/>
      <c r="AU239" s="10"/>
      <c r="AV239" s="11">
        <v>0</v>
      </c>
      <c r="AW239" s="10"/>
      <c r="AX239" s="10"/>
      <c r="AY239" s="11">
        <v>0</v>
      </c>
      <c r="AZ239" s="10"/>
      <c r="BA239" s="10"/>
      <c r="BB239" s="11">
        <v>0</v>
      </c>
      <c r="BC239" s="10"/>
      <c r="BD239" s="10"/>
      <c r="BE239" s="11">
        <v>0</v>
      </c>
      <c r="BF239" s="10"/>
      <c r="BG239" s="10"/>
      <c r="BH239" s="11">
        <v>0</v>
      </c>
      <c r="BI239" s="10"/>
      <c r="BJ239" s="10"/>
      <c r="BK239" s="11">
        <v>0</v>
      </c>
      <c r="BL239" s="10"/>
      <c r="BM239" s="10"/>
      <c r="BN239" s="11">
        <v>0</v>
      </c>
      <c r="BO239" s="10"/>
      <c r="BP239" s="10"/>
      <c r="BQ239" s="11">
        <v>0</v>
      </c>
      <c r="BR239" s="10">
        <v>100000</v>
      </c>
      <c r="BS239" s="10"/>
      <c r="BT239" s="11">
        <f t="shared" ref="BT239" si="481">BS239/BR239</f>
        <v>0</v>
      </c>
      <c r="BU239" s="10">
        <v>30000</v>
      </c>
      <c r="BV239" s="10"/>
      <c r="BW239" s="11">
        <f t="shared" ref="BW239" si="482">BV239/BU239</f>
        <v>0</v>
      </c>
      <c r="BX239" s="10"/>
      <c r="BY239" s="10"/>
      <c r="BZ239" s="11">
        <v>0</v>
      </c>
      <c r="CA239" s="10"/>
      <c r="CB239" s="10"/>
      <c r="CC239" s="11">
        <v>0</v>
      </c>
      <c r="CD239" s="10"/>
      <c r="CE239" s="10"/>
      <c r="CF239" s="11">
        <v>0</v>
      </c>
      <c r="CG239" s="10"/>
      <c r="CH239" s="10"/>
      <c r="CI239" s="11">
        <v>0</v>
      </c>
      <c r="CJ239" s="10"/>
      <c r="CK239" s="10"/>
      <c r="CL239" s="11">
        <v>0</v>
      </c>
      <c r="CM239" s="10"/>
      <c r="CN239" s="10"/>
      <c r="CO239" s="11">
        <v>0</v>
      </c>
      <c r="CP239" s="10"/>
      <c r="CQ239" s="10"/>
      <c r="CR239" s="11">
        <v>0</v>
      </c>
      <c r="CS239" s="10"/>
      <c r="CT239" s="10"/>
      <c r="CU239" s="11">
        <v>0</v>
      </c>
      <c r="CV239" s="10"/>
      <c r="CW239" s="10"/>
      <c r="CX239" s="11">
        <v>0</v>
      </c>
      <c r="CY239" s="10"/>
      <c r="CZ239" s="10"/>
      <c r="DA239" s="11">
        <v>0</v>
      </c>
      <c r="DB239" s="10">
        <v>130000</v>
      </c>
      <c r="DC239" s="10"/>
      <c r="DD239" s="15">
        <f t="shared" ref="DD239:DD241" si="483">DC239/DB239</f>
        <v>0</v>
      </c>
      <c r="DE239" s="16"/>
    </row>
    <row r="240" spans="1:109" x14ac:dyDescent="0.35">
      <c r="A240" s="8" t="s">
        <v>541</v>
      </c>
      <c r="B240" s="9" t="s">
        <v>77</v>
      </c>
      <c r="C240" s="9" t="s">
        <v>43</v>
      </c>
      <c r="D240" s="9" t="s">
        <v>542</v>
      </c>
      <c r="E240" s="9" t="s">
        <v>61</v>
      </c>
      <c r="F240" s="9" t="s">
        <v>62</v>
      </c>
      <c r="G240" s="10"/>
      <c r="H240" s="10"/>
      <c r="I240" s="11">
        <v>0</v>
      </c>
      <c r="J240" s="10"/>
      <c r="K240" s="10"/>
      <c r="L240" s="12">
        <v>0</v>
      </c>
      <c r="M240" s="10"/>
      <c r="N240" s="10"/>
      <c r="O240" s="11">
        <v>0</v>
      </c>
      <c r="P240" s="10"/>
      <c r="Q240" s="10"/>
      <c r="R240" s="11">
        <v>0</v>
      </c>
      <c r="S240" s="10"/>
      <c r="T240" s="10"/>
      <c r="U240" s="11">
        <v>0</v>
      </c>
      <c r="V240" s="10">
        <v>6000000</v>
      </c>
      <c r="W240" s="10">
        <v>21700</v>
      </c>
      <c r="X240" s="11">
        <v>3.6166666666666665E-3</v>
      </c>
      <c r="Y240" s="10"/>
      <c r="Z240" s="10"/>
      <c r="AA240" s="11"/>
      <c r="AB240" s="10"/>
      <c r="AC240" s="10"/>
      <c r="AD240" s="11">
        <v>0</v>
      </c>
      <c r="AE240" s="10"/>
      <c r="AF240" s="10"/>
      <c r="AG240" s="11">
        <v>0</v>
      </c>
      <c r="AH240" s="10"/>
      <c r="AI240" s="10"/>
      <c r="AJ240" s="11">
        <v>0</v>
      </c>
      <c r="AK240" s="10"/>
      <c r="AL240" s="10"/>
      <c r="AM240" s="11">
        <v>0</v>
      </c>
      <c r="AN240" s="10"/>
      <c r="AO240" s="10"/>
      <c r="AP240" s="11">
        <v>0</v>
      </c>
      <c r="AQ240" s="10"/>
      <c r="AR240" s="10"/>
      <c r="AS240" s="11">
        <v>0</v>
      </c>
      <c r="AT240" s="10"/>
      <c r="AU240" s="10"/>
      <c r="AV240" s="11">
        <v>0</v>
      </c>
      <c r="AW240" s="10"/>
      <c r="AX240" s="10"/>
      <c r="AY240" s="11">
        <v>0</v>
      </c>
      <c r="AZ240" s="10"/>
      <c r="BA240" s="10"/>
      <c r="BB240" s="11">
        <v>0</v>
      </c>
      <c r="BC240" s="10"/>
      <c r="BD240" s="10"/>
      <c r="BE240" s="11">
        <v>0</v>
      </c>
      <c r="BF240" s="10"/>
      <c r="BG240" s="10"/>
      <c r="BH240" s="11">
        <v>0</v>
      </c>
      <c r="BI240" s="10"/>
      <c r="BJ240" s="10"/>
      <c r="BK240" s="11">
        <v>0</v>
      </c>
      <c r="BL240" s="10"/>
      <c r="BM240" s="10"/>
      <c r="BN240" s="11">
        <v>0</v>
      </c>
      <c r="BO240" s="10"/>
      <c r="BP240" s="10"/>
      <c r="BQ240" s="11">
        <v>0</v>
      </c>
      <c r="BR240" s="10"/>
      <c r="BS240" s="10"/>
      <c r="BT240" s="11">
        <v>0</v>
      </c>
      <c r="BU240" s="10"/>
      <c r="BV240" s="10"/>
      <c r="BW240" s="11">
        <v>0</v>
      </c>
      <c r="BX240" s="10"/>
      <c r="BY240" s="10"/>
      <c r="BZ240" s="11">
        <v>0</v>
      </c>
      <c r="CA240" s="10"/>
      <c r="CB240" s="10"/>
      <c r="CC240" s="11">
        <v>0</v>
      </c>
      <c r="CD240" s="10"/>
      <c r="CE240" s="10"/>
      <c r="CF240" s="11">
        <v>0</v>
      </c>
      <c r="CG240" s="10"/>
      <c r="CH240" s="10"/>
      <c r="CI240" s="11">
        <v>0</v>
      </c>
      <c r="CJ240" s="10"/>
      <c r="CK240" s="10"/>
      <c r="CL240" s="11">
        <v>0</v>
      </c>
      <c r="CM240" s="10"/>
      <c r="CN240" s="10"/>
      <c r="CO240" s="11">
        <v>0</v>
      </c>
      <c r="CP240" s="10"/>
      <c r="CQ240" s="10"/>
      <c r="CR240" s="11">
        <v>0</v>
      </c>
      <c r="CS240" s="10"/>
      <c r="CT240" s="10"/>
      <c r="CU240" s="11">
        <v>0</v>
      </c>
      <c r="CV240" s="10"/>
      <c r="CW240" s="10"/>
      <c r="CX240" s="11">
        <v>0</v>
      </c>
      <c r="CY240" s="10"/>
      <c r="CZ240" s="10"/>
      <c r="DA240" s="11">
        <v>0</v>
      </c>
      <c r="DB240" s="10">
        <v>6000000</v>
      </c>
      <c r="DC240" s="10">
        <f t="shared" ref="DC240:DC241" si="484">SUM(H240,K240,N240,Q240,T240,W240,Z240,AC240,AF240,AI240,AL240,AO240,AR240,AU240,AX240,BA240,BD240,BG240,BJ240,BM240,BP240,BS240,BV240,BY240,CB240,CE240,CH240,CK240,CN240,CQ240,CT240,CW240,CZ240)</f>
        <v>21700</v>
      </c>
      <c r="DD240" s="13">
        <f t="shared" si="483"/>
        <v>3.6166666666666665E-3</v>
      </c>
      <c r="DE240" s="14"/>
    </row>
    <row r="241" spans="1:109" x14ac:dyDescent="0.35">
      <c r="A241" s="8" t="s">
        <v>543</v>
      </c>
      <c r="B241" s="9" t="s">
        <v>48</v>
      </c>
      <c r="C241" s="9" t="s">
        <v>43</v>
      </c>
      <c r="D241" s="9" t="s">
        <v>544</v>
      </c>
      <c r="E241" s="9" t="s">
        <v>45</v>
      </c>
      <c r="F241" s="9" t="s">
        <v>46</v>
      </c>
      <c r="G241" s="10"/>
      <c r="H241" s="10"/>
      <c r="I241" s="11">
        <v>0</v>
      </c>
      <c r="J241" s="10"/>
      <c r="K241" s="10"/>
      <c r="L241" s="12">
        <v>0</v>
      </c>
      <c r="M241" s="10">
        <v>1680000</v>
      </c>
      <c r="N241" s="10">
        <v>1050000</v>
      </c>
      <c r="O241" s="11">
        <f t="shared" ref="O241" si="485">N241/M241</f>
        <v>0.625</v>
      </c>
      <c r="P241" s="10"/>
      <c r="Q241" s="10"/>
      <c r="R241" s="11">
        <v>0</v>
      </c>
      <c r="S241" s="10"/>
      <c r="T241" s="10"/>
      <c r="U241" s="11">
        <v>0</v>
      </c>
      <c r="V241" s="10"/>
      <c r="W241" s="10"/>
      <c r="X241" s="11">
        <v>0</v>
      </c>
      <c r="Y241" s="10"/>
      <c r="Z241" s="10"/>
      <c r="AA241" s="11"/>
      <c r="AB241" s="10"/>
      <c r="AC241" s="10"/>
      <c r="AD241" s="11">
        <v>0</v>
      </c>
      <c r="AE241" s="10"/>
      <c r="AF241" s="10"/>
      <c r="AG241" s="11">
        <v>0</v>
      </c>
      <c r="AH241" s="10"/>
      <c r="AI241" s="10"/>
      <c r="AJ241" s="11">
        <v>0</v>
      </c>
      <c r="AK241" s="10"/>
      <c r="AL241" s="10"/>
      <c r="AM241" s="11">
        <v>0</v>
      </c>
      <c r="AN241" s="10"/>
      <c r="AO241" s="10"/>
      <c r="AP241" s="11">
        <v>0</v>
      </c>
      <c r="AQ241" s="10"/>
      <c r="AR241" s="10"/>
      <c r="AS241" s="11">
        <v>0</v>
      </c>
      <c r="AT241" s="10"/>
      <c r="AU241" s="10"/>
      <c r="AV241" s="11">
        <v>0</v>
      </c>
      <c r="AW241" s="10"/>
      <c r="AX241" s="10"/>
      <c r="AY241" s="11">
        <v>0</v>
      </c>
      <c r="AZ241" s="10"/>
      <c r="BA241" s="10"/>
      <c r="BB241" s="11">
        <v>0</v>
      </c>
      <c r="BC241" s="10"/>
      <c r="BD241" s="10"/>
      <c r="BE241" s="11">
        <v>0</v>
      </c>
      <c r="BF241" s="10"/>
      <c r="BG241" s="10"/>
      <c r="BH241" s="11">
        <v>0</v>
      </c>
      <c r="BI241" s="10"/>
      <c r="BJ241" s="10"/>
      <c r="BK241" s="11">
        <v>0</v>
      </c>
      <c r="BL241" s="10"/>
      <c r="BM241" s="10"/>
      <c r="BN241" s="11">
        <v>0</v>
      </c>
      <c r="BO241" s="10"/>
      <c r="BP241" s="10"/>
      <c r="BQ241" s="11">
        <v>0</v>
      </c>
      <c r="BR241" s="10"/>
      <c r="BS241" s="10"/>
      <c r="BT241" s="11">
        <v>0</v>
      </c>
      <c r="BU241" s="10"/>
      <c r="BV241" s="10"/>
      <c r="BW241" s="11">
        <v>0</v>
      </c>
      <c r="BX241" s="10"/>
      <c r="BY241" s="10"/>
      <c r="BZ241" s="11">
        <v>0</v>
      </c>
      <c r="CA241" s="10"/>
      <c r="CB241" s="10"/>
      <c r="CC241" s="11">
        <v>0</v>
      </c>
      <c r="CD241" s="10"/>
      <c r="CE241" s="10"/>
      <c r="CF241" s="11">
        <v>0</v>
      </c>
      <c r="CG241" s="10"/>
      <c r="CH241" s="10"/>
      <c r="CI241" s="11">
        <v>0</v>
      </c>
      <c r="CJ241" s="10"/>
      <c r="CK241" s="10"/>
      <c r="CL241" s="11">
        <v>0</v>
      </c>
      <c r="CM241" s="10"/>
      <c r="CN241" s="10"/>
      <c r="CO241" s="11">
        <v>0</v>
      </c>
      <c r="CP241" s="10"/>
      <c r="CQ241" s="10"/>
      <c r="CR241" s="11">
        <v>0</v>
      </c>
      <c r="CS241" s="10"/>
      <c r="CT241" s="10"/>
      <c r="CU241" s="11">
        <v>0</v>
      </c>
      <c r="CV241" s="10"/>
      <c r="CW241" s="10"/>
      <c r="CX241" s="11">
        <v>0</v>
      </c>
      <c r="CY241" s="10"/>
      <c r="CZ241" s="10"/>
      <c r="DA241" s="11">
        <v>0</v>
      </c>
      <c r="DB241" s="10">
        <v>1680000</v>
      </c>
      <c r="DC241" s="10">
        <f t="shared" si="484"/>
        <v>1050000</v>
      </c>
      <c r="DD241" s="13">
        <f t="shared" si="483"/>
        <v>0.625</v>
      </c>
      <c r="DE241" s="14"/>
    </row>
    <row r="242" spans="1:109" x14ac:dyDescent="0.35">
      <c r="A242" s="8" t="s">
        <v>545</v>
      </c>
      <c r="B242" s="9" t="s">
        <v>42</v>
      </c>
      <c r="C242" s="9" t="s">
        <v>43</v>
      </c>
      <c r="D242" s="9" t="s">
        <v>546</v>
      </c>
      <c r="E242" s="9" t="s">
        <v>45</v>
      </c>
      <c r="F242" s="9" t="s">
        <v>46</v>
      </c>
      <c r="G242" s="10"/>
      <c r="H242" s="10"/>
      <c r="I242" s="11">
        <v>0</v>
      </c>
      <c r="J242" s="10"/>
      <c r="K242" s="10"/>
      <c r="L242" s="12">
        <v>0</v>
      </c>
      <c r="M242" s="10"/>
      <c r="N242" s="10"/>
      <c r="O242" s="11">
        <v>0</v>
      </c>
      <c r="P242" s="10"/>
      <c r="Q242" s="10"/>
      <c r="R242" s="11">
        <v>0</v>
      </c>
      <c r="S242" s="10"/>
      <c r="T242" s="10"/>
      <c r="U242" s="11">
        <v>0</v>
      </c>
      <c r="V242" s="10"/>
      <c r="W242" s="10"/>
      <c r="X242" s="11">
        <v>0</v>
      </c>
      <c r="Y242" s="10"/>
      <c r="Z242" s="10"/>
      <c r="AA242" s="11"/>
      <c r="AB242" s="10"/>
      <c r="AC242" s="10"/>
      <c r="AD242" s="11">
        <v>0</v>
      </c>
      <c r="AE242" s="10"/>
      <c r="AF242" s="10"/>
      <c r="AG242" s="11">
        <v>0</v>
      </c>
      <c r="AH242" s="10"/>
      <c r="AI242" s="10"/>
      <c r="AJ242" s="11">
        <v>0</v>
      </c>
      <c r="AK242" s="10"/>
      <c r="AL242" s="10"/>
      <c r="AM242" s="11">
        <v>0</v>
      </c>
      <c r="AN242" s="10"/>
      <c r="AO242" s="10"/>
      <c r="AP242" s="11">
        <v>0</v>
      </c>
      <c r="AQ242" s="10"/>
      <c r="AR242" s="10"/>
      <c r="AS242" s="11">
        <v>0</v>
      </c>
      <c r="AT242" s="10"/>
      <c r="AU242" s="10"/>
      <c r="AV242" s="11">
        <v>0</v>
      </c>
      <c r="AW242" s="10"/>
      <c r="AX242" s="10"/>
      <c r="AY242" s="11">
        <v>0</v>
      </c>
      <c r="AZ242" s="10"/>
      <c r="BA242" s="10"/>
      <c r="BB242" s="11">
        <v>0</v>
      </c>
      <c r="BC242" s="10"/>
      <c r="BD242" s="10"/>
      <c r="BE242" s="11">
        <v>0</v>
      </c>
      <c r="BF242" s="10"/>
      <c r="BG242" s="10"/>
      <c r="BH242" s="11">
        <v>0</v>
      </c>
      <c r="BI242" s="10"/>
      <c r="BJ242" s="10"/>
      <c r="BK242" s="11">
        <v>0</v>
      </c>
      <c r="BL242" s="10"/>
      <c r="BM242" s="10"/>
      <c r="BN242" s="11">
        <v>0</v>
      </c>
      <c r="BO242" s="10"/>
      <c r="BP242" s="10">
        <v>38425</v>
      </c>
      <c r="BQ242" s="11">
        <v>0</v>
      </c>
      <c r="BR242" s="10"/>
      <c r="BS242" s="10"/>
      <c r="BT242" s="11">
        <v>0</v>
      </c>
      <c r="BU242" s="10"/>
      <c r="BV242" s="10"/>
      <c r="BW242" s="11">
        <v>0</v>
      </c>
      <c r="BX242" s="10"/>
      <c r="BY242" s="10"/>
      <c r="BZ242" s="11">
        <v>0</v>
      </c>
      <c r="CA242" s="10"/>
      <c r="CB242" s="10"/>
      <c r="CC242" s="11">
        <v>0</v>
      </c>
      <c r="CD242" s="10"/>
      <c r="CE242" s="10"/>
      <c r="CF242" s="11">
        <v>0</v>
      </c>
      <c r="CG242" s="10"/>
      <c r="CH242" s="10"/>
      <c r="CI242" s="11">
        <v>0</v>
      </c>
      <c r="CJ242" s="10"/>
      <c r="CK242" s="10"/>
      <c r="CL242" s="11">
        <v>0</v>
      </c>
      <c r="CM242" s="10"/>
      <c r="CN242" s="10"/>
      <c r="CO242" s="11">
        <v>0</v>
      </c>
      <c r="CP242" s="10">
        <v>100000</v>
      </c>
      <c r="CQ242" s="10"/>
      <c r="CR242" s="11">
        <f t="shared" ref="CR242" si="486">CQ242/CP242</f>
        <v>0</v>
      </c>
      <c r="CS242" s="10"/>
      <c r="CT242" s="10"/>
      <c r="CU242" s="11">
        <v>0</v>
      </c>
      <c r="CV242" s="10"/>
      <c r="CW242" s="10"/>
      <c r="CX242" s="11">
        <v>0</v>
      </c>
      <c r="CY242" s="10"/>
      <c r="CZ242" s="10"/>
      <c r="DA242" s="11">
        <v>0</v>
      </c>
      <c r="DB242" s="10">
        <v>100000</v>
      </c>
      <c r="DC242" s="10">
        <f t="shared" ref="DC242:DC263" si="487">SUM(H242,K242,N242,Q242,T242,W242,Z242,AC242,AF242,AI242,AL242,AO242,AR242,AU242,AX242,BA242,BD242,BG242,BJ242,BM242,BP242,BS242,BV242,BY242,CB242,CE242,CH242,CK242,CN242,CQ242,CT242,CW242,CZ242)</f>
        <v>38425</v>
      </c>
      <c r="DD242" s="13">
        <f t="shared" ref="DD242:DD275" si="488">DC242/DB242</f>
        <v>0.38424999999999998</v>
      </c>
      <c r="DE242" s="14"/>
    </row>
    <row r="243" spans="1:109" x14ac:dyDescent="0.35">
      <c r="A243" s="8" t="s">
        <v>547</v>
      </c>
      <c r="B243" s="9" t="s">
        <v>59</v>
      </c>
      <c r="C243" s="9" t="s">
        <v>43</v>
      </c>
      <c r="D243" s="9" t="s">
        <v>548</v>
      </c>
      <c r="E243" s="9" t="s">
        <v>61</v>
      </c>
      <c r="F243" s="9" t="s">
        <v>62</v>
      </c>
      <c r="G243" s="10"/>
      <c r="H243" s="10"/>
      <c r="I243" s="11">
        <v>0</v>
      </c>
      <c r="J243" s="10"/>
      <c r="K243" s="10"/>
      <c r="L243" s="12">
        <v>0</v>
      </c>
      <c r="M243" s="10"/>
      <c r="N243" s="10"/>
      <c r="O243" s="11">
        <v>0</v>
      </c>
      <c r="P243" s="10"/>
      <c r="Q243" s="10"/>
      <c r="R243" s="11">
        <v>0</v>
      </c>
      <c r="S243" s="10"/>
      <c r="T243" s="10"/>
      <c r="U243" s="11">
        <v>0</v>
      </c>
      <c r="V243" s="10">
        <v>1500000</v>
      </c>
      <c r="W243" s="10"/>
      <c r="X243" s="11">
        <v>0</v>
      </c>
      <c r="Y243" s="10"/>
      <c r="Z243" s="10"/>
      <c r="AA243" s="11"/>
      <c r="AB243" s="10"/>
      <c r="AC243" s="10"/>
      <c r="AD243" s="11">
        <v>0</v>
      </c>
      <c r="AE243" s="10">
        <v>100000</v>
      </c>
      <c r="AF243" s="10"/>
      <c r="AG243" s="11">
        <f t="shared" ref="AG243" si="489">AF243/AE243</f>
        <v>0</v>
      </c>
      <c r="AH243" s="10"/>
      <c r="AI243" s="10"/>
      <c r="AJ243" s="11">
        <v>0</v>
      </c>
      <c r="AK243" s="10"/>
      <c r="AL243" s="10"/>
      <c r="AM243" s="11">
        <v>0</v>
      </c>
      <c r="AN243" s="10"/>
      <c r="AO243" s="10"/>
      <c r="AP243" s="11">
        <v>0</v>
      </c>
      <c r="AQ243" s="10"/>
      <c r="AR243" s="10"/>
      <c r="AS243" s="11">
        <v>0</v>
      </c>
      <c r="AT243" s="10"/>
      <c r="AU243" s="10"/>
      <c r="AV243" s="11">
        <v>0</v>
      </c>
      <c r="AW243" s="10"/>
      <c r="AX243" s="10"/>
      <c r="AY243" s="11">
        <v>0</v>
      </c>
      <c r="AZ243" s="10"/>
      <c r="BA243" s="10"/>
      <c r="BB243" s="11">
        <v>0</v>
      </c>
      <c r="BC243" s="10"/>
      <c r="BD243" s="10"/>
      <c r="BE243" s="11">
        <v>0</v>
      </c>
      <c r="BF243" s="10"/>
      <c r="BG243" s="10"/>
      <c r="BH243" s="11">
        <v>0</v>
      </c>
      <c r="BI243" s="10"/>
      <c r="BJ243" s="10"/>
      <c r="BK243" s="11">
        <v>0</v>
      </c>
      <c r="BL243" s="10"/>
      <c r="BM243" s="10"/>
      <c r="BN243" s="11">
        <v>0</v>
      </c>
      <c r="BO243" s="10"/>
      <c r="BP243" s="10"/>
      <c r="BQ243" s="11">
        <v>0</v>
      </c>
      <c r="BR243" s="10"/>
      <c r="BS243" s="10"/>
      <c r="BT243" s="11">
        <v>0</v>
      </c>
      <c r="BU243" s="10"/>
      <c r="BV243" s="10"/>
      <c r="BW243" s="11">
        <v>0</v>
      </c>
      <c r="BX243" s="10"/>
      <c r="BY243" s="10"/>
      <c r="BZ243" s="11">
        <v>0</v>
      </c>
      <c r="CA243" s="10"/>
      <c r="CB243" s="10"/>
      <c r="CC243" s="11">
        <v>0</v>
      </c>
      <c r="CD243" s="10"/>
      <c r="CE243" s="10"/>
      <c r="CF243" s="11">
        <v>0</v>
      </c>
      <c r="CG243" s="10"/>
      <c r="CH243" s="10"/>
      <c r="CI243" s="11">
        <v>0</v>
      </c>
      <c r="CJ243" s="10"/>
      <c r="CK243" s="10"/>
      <c r="CL243" s="11">
        <v>0</v>
      </c>
      <c r="CM243" s="10"/>
      <c r="CN243" s="10"/>
      <c r="CO243" s="11">
        <v>0</v>
      </c>
      <c r="CP243" s="10"/>
      <c r="CQ243" s="10"/>
      <c r="CR243" s="11">
        <v>0</v>
      </c>
      <c r="CS243" s="10"/>
      <c r="CT243" s="10"/>
      <c r="CU243" s="11">
        <v>0</v>
      </c>
      <c r="CV243" s="10"/>
      <c r="CW243" s="10"/>
      <c r="CX243" s="11">
        <v>0</v>
      </c>
      <c r="CY243" s="10"/>
      <c r="CZ243" s="10"/>
      <c r="DA243" s="11">
        <v>0</v>
      </c>
      <c r="DB243" s="10">
        <v>1600000</v>
      </c>
      <c r="DC243" s="10"/>
      <c r="DD243" s="15">
        <f t="shared" si="488"/>
        <v>0</v>
      </c>
      <c r="DE243" s="16"/>
    </row>
    <row r="244" spans="1:109" x14ac:dyDescent="0.35">
      <c r="A244" s="8" t="s">
        <v>549</v>
      </c>
      <c r="B244" s="9" t="s">
        <v>59</v>
      </c>
      <c r="C244" s="9" t="s">
        <v>43</v>
      </c>
      <c r="D244" s="9" t="s">
        <v>550</v>
      </c>
      <c r="E244" s="9" t="s">
        <v>61</v>
      </c>
      <c r="F244" s="9" t="s">
        <v>62</v>
      </c>
      <c r="G244" s="10"/>
      <c r="H244" s="10"/>
      <c r="I244" s="11">
        <v>0</v>
      </c>
      <c r="J244" s="10"/>
      <c r="K244" s="10"/>
      <c r="L244" s="12">
        <v>0</v>
      </c>
      <c r="M244" s="10"/>
      <c r="N244" s="10"/>
      <c r="O244" s="11">
        <v>0</v>
      </c>
      <c r="P244" s="10"/>
      <c r="Q244" s="10"/>
      <c r="R244" s="11">
        <v>0</v>
      </c>
      <c r="S244" s="10"/>
      <c r="T244" s="10"/>
      <c r="U244" s="11">
        <v>0</v>
      </c>
      <c r="V244" s="10"/>
      <c r="W244" s="10"/>
      <c r="X244" s="11">
        <v>0</v>
      </c>
      <c r="Y244" s="10"/>
      <c r="Z244" s="10"/>
      <c r="AA244" s="11"/>
      <c r="AB244" s="10"/>
      <c r="AC244" s="10"/>
      <c r="AD244" s="11">
        <v>0</v>
      </c>
      <c r="AE244" s="10"/>
      <c r="AF244" s="10"/>
      <c r="AG244" s="11">
        <v>0</v>
      </c>
      <c r="AH244" s="10"/>
      <c r="AI244" s="10"/>
      <c r="AJ244" s="11">
        <v>0</v>
      </c>
      <c r="AK244" s="10"/>
      <c r="AL244" s="10"/>
      <c r="AM244" s="11">
        <v>0</v>
      </c>
      <c r="AN244" s="10"/>
      <c r="AO244" s="10"/>
      <c r="AP244" s="11">
        <v>0</v>
      </c>
      <c r="AQ244" s="10"/>
      <c r="AR244" s="10"/>
      <c r="AS244" s="11">
        <v>0</v>
      </c>
      <c r="AT244" s="10"/>
      <c r="AU244" s="10"/>
      <c r="AV244" s="11">
        <v>0</v>
      </c>
      <c r="AW244" s="10"/>
      <c r="AX244" s="10"/>
      <c r="AY244" s="11">
        <v>0</v>
      </c>
      <c r="AZ244" s="10"/>
      <c r="BA244" s="10"/>
      <c r="BB244" s="11">
        <v>0</v>
      </c>
      <c r="BC244" s="10"/>
      <c r="BD244" s="10"/>
      <c r="BE244" s="11">
        <v>0</v>
      </c>
      <c r="BF244" s="10"/>
      <c r="BG244" s="10"/>
      <c r="BH244" s="11">
        <v>0</v>
      </c>
      <c r="BI244" s="10"/>
      <c r="BJ244" s="10"/>
      <c r="BK244" s="11">
        <v>0</v>
      </c>
      <c r="BL244" s="10"/>
      <c r="BM244" s="10"/>
      <c r="BN244" s="11">
        <v>0</v>
      </c>
      <c r="BO244" s="10"/>
      <c r="BP244" s="10"/>
      <c r="BQ244" s="11">
        <v>0</v>
      </c>
      <c r="BR244" s="10"/>
      <c r="BS244" s="10"/>
      <c r="BT244" s="11">
        <v>0</v>
      </c>
      <c r="BU244" s="10"/>
      <c r="BV244" s="10"/>
      <c r="BW244" s="11">
        <v>0</v>
      </c>
      <c r="BX244" s="10"/>
      <c r="BY244" s="10"/>
      <c r="BZ244" s="11">
        <v>0</v>
      </c>
      <c r="CA244" s="10"/>
      <c r="CB244" s="10"/>
      <c r="CC244" s="11">
        <v>0</v>
      </c>
      <c r="CD244" s="10"/>
      <c r="CE244" s="10"/>
      <c r="CF244" s="11">
        <v>0</v>
      </c>
      <c r="CG244" s="10"/>
      <c r="CH244" s="10"/>
      <c r="CI244" s="11">
        <v>0</v>
      </c>
      <c r="CJ244" s="10"/>
      <c r="CK244" s="10"/>
      <c r="CL244" s="11">
        <v>0</v>
      </c>
      <c r="CM244" s="10"/>
      <c r="CN244" s="10"/>
      <c r="CO244" s="11">
        <v>0</v>
      </c>
      <c r="CP244" s="10"/>
      <c r="CQ244" s="10"/>
      <c r="CR244" s="11">
        <v>0</v>
      </c>
      <c r="CS244" s="10"/>
      <c r="CT244" s="10"/>
      <c r="CU244" s="11">
        <v>0</v>
      </c>
      <c r="CV244" s="10"/>
      <c r="CW244" s="10"/>
      <c r="CX244" s="11">
        <v>0</v>
      </c>
      <c r="CY244" s="10"/>
      <c r="CZ244" s="10"/>
      <c r="DA244" s="11">
        <v>0</v>
      </c>
      <c r="DB244" s="10"/>
      <c r="DC244" s="10"/>
      <c r="DD244" s="13">
        <v>0</v>
      </c>
      <c r="DE244" s="14"/>
    </row>
    <row r="245" spans="1:109" x14ac:dyDescent="0.35">
      <c r="A245" s="8" t="s">
        <v>551</v>
      </c>
      <c r="B245" s="9" t="s">
        <v>48</v>
      </c>
      <c r="C245" s="9" t="s">
        <v>43</v>
      </c>
      <c r="D245" s="9" t="s">
        <v>552</v>
      </c>
      <c r="E245" s="9" t="s">
        <v>45</v>
      </c>
      <c r="F245" s="9" t="s">
        <v>46</v>
      </c>
      <c r="G245" s="10"/>
      <c r="H245" s="10"/>
      <c r="I245" s="11">
        <v>0</v>
      </c>
      <c r="J245" s="10"/>
      <c r="K245" s="10"/>
      <c r="L245" s="12">
        <v>0</v>
      </c>
      <c r="M245" s="10"/>
      <c r="N245" s="10"/>
      <c r="O245" s="11">
        <v>0</v>
      </c>
      <c r="P245" s="10"/>
      <c r="Q245" s="10"/>
      <c r="R245" s="11">
        <v>0</v>
      </c>
      <c r="S245" s="10"/>
      <c r="T245" s="10"/>
      <c r="U245" s="11">
        <v>0</v>
      </c>
      <c r="V245" s="10"/>
      <c r="W245" s="10"/>
      <c r="X245" s="11">
        <v>0</v>
      </c>
      <c r="Y245" s="10"/>
      <c r="Z245" s="10"/>
      <c r="AA245" s="11"/>
      <c r="AB245" s="10"/>
      <c r="AC245" s="10"/>
      <c r="AD245" s="11">
        <v>0</v>
      </c>
      <c r="AE245" s="10"/>
      <c r="AF245" s="10"/>
      <c r="AG245" s="11">
        <v>0</v>
      </c>
      <c r="AH245" s="10"/>
      <c r="AI245" s="10"/>
      <c r="AJ245" s="11">
        <v>0</v>
      </c>
      <c r="AK245" s="10"/>
      <c r="AL245" s="10"/>
      <c r="AM245" s="11">
        <v>0</v>
      </c>
      <c r="AN245" s="10"/>
      <c r="AO245" s="10"/>
      <c r="AP245" s="11">
        <v>0</v>
      </c>
      <c r="AQ245" s="10"/>
      <c r="AR245" s="10"/>
      <c r="AS245" s="11">
        <v>0</v>
      </c>
      <c r="AT245" s="10"/>
      <c r="AU245" s="10"/>
      <c r="AV245" s="11">
        <v>0</v>
      </c>
      <c r="AW245" s="10"/>
      <c r="AX245" s="10"/>
      <c r="AY245" s="11">
        <v>0</v>
      </c>
      <c r="AZ245" s="10"/>
      <c r="BA245" s="10"/>
      <c r="BB245" s="11">
        <v>0</v>
      </c>
      <c r="BC245" s="10"/>
      <c r="BD245" s="10"/>
      <c r="BE245" s="11">
        <v>0</v>
      </c>
      <c r="BF245" s="10"/>
      <c r="BG245" s="10"/>
      <c r="BH245" s="11">
        <v>0</v>
      </c>
      <c r="BI245" s="10"/>
      <c r="BJ245" s="10"/>
      <c r="BK245" s="11">
        <v>0</v>
      </c>
      <c r="BL245" s="10"/>
      <c r="BM245" s="10"/>
      <c r="BN245" s="11">
        <v>0</v>
      </c>
      <c r="BO245" s="10"/>
      <c r="BP245" s="10"/>
      <c r="BQ245" s="11">
        <v>0</v>
      </c>
      <c r="BR245" s="10"/>
      <c r="BS245" s="10"/>
      <c r="BT245" s="11">
        <v>0</v>
      </c>
      <c r="BU245" s="10"/>
      <c r="BV245" s="10"/>
      <c r="BW245" s="11">
        <v>0</v>
      </c>
      <c r="BX245" s="10"/>
      <c r="BY245" s="10"/>
      <c r="BZ245" s="11">
        <v>0</v>
      </c>
      <c r="CA245" s="10"/>
      <c r="CB245" s="10"/>
      <c r="CC245" s="11">
        <v>0</v>
      </c>
      <c r="CD245" s="10"/>
      <c r="CE245" s="10"/>
      <c r="CF245" s="11">
        <v>0</v>
      </c>
      <c r="CG245" s="10">
        <v>515000</v>
      </c>
      <c r="CH245" s="10"/>
      <c r="CI245" s="11">
        <f t="shared" ref="CI245:CI275" si="490">CH245/CG245</f>
        <v>0</v>
      </c>
      <c r="CJ245" s="10"/>
      <c r="CK245" s="10"/>
      <c r="CL245" s="11">
        <v>0</v>
      </c>
      <c r="CM245" s="10"/>
      <c r="CN245" s="10"/>
      <c r="CO245" s="11">
        <v>0</v>
      </c>
      <c r="CP245" s="10"/>
      <c r="CQ245" s="10"/>
      <c r="CR245" s="11">
        <v>0</v>
      </c>
      <c r="CS245" s="10"/>
      <c r="CT245" s="10"/>
      <c r="CU245" s="11">
        <v>0</v>
      </c>
      <c r="CV245" s="10"/>
      <c r="CW245" s="10"/>
      <c r="CX245" s="11">
        <v>0</v>
      </c>
      <c r="CY245" s="10"/>
      <c r="CZ245" s="10"/>
      <c r="DA245" s="11">
        <v>0</v>
      </c>
      <c r="DB245" s="10">
        <v>515000</v>
      </c>
      <c r="DC245" s="10"/>
      <c r="DD245" s="15">
        <f t="shared" si="488"/>
        <v>0</v>
      </c>
      <c r="DE245" s="16"/>
    </row>
    <row r="246" spans="1:109" x14ac:dyDescent="0.35">
      <c r="A246" s="8" t="s">
        <v>553</v>
      </c>
      <c r="B246" s="9" t="s">
        <v>51</v>
      </c>
      <c r="C246" s="9" t="s">
        <v>52</v>
      </c>
      <c r="D246" s="9" t="s">
        <v>554</v>
      </c>
      <c r="E246" s="9" t="s">
        <v>54</v>
      </c>
      <c r="F246" s="9" t="s">
        <v>55</v>
      </c>
      <c r="G246" s="10"/>
      <c r="H246" s="10"/>
      <c r="I246" s="11">
        <v>0</v>
      </c>
      <c r="J246" s="10"/>
      <c r="K246" s="10"/>
      <c r="L246" s="12">
        <v>0</v>
      </c>
      <c r="M246" s="10"/>
      <c r="N246" s="10"/>
      <c r="O246" s="11">
        <v>0</v>
      </c>
      <c r="P246" s="10"/>
      <c r="Q246" s="10"/>
      <c r="R246" s="11">
        <v>0</v>
      </c>
      <c r="S246" s="10"/>
      <c r="T246" s="10"/>
      <c r="U246" s="11">
        <v>0</v>
      </c>
      <c r="V246" s="10"/>
      <c r="W246" s="10"/>
      <c r="X246" s="11">
        <v>0</v>
      </c>
      <c r="Y246" s="10"/>
      <c r="Z246" s="10"/>
      <c r="AA246" s="11"/>
      <c r="AB246" s="10"/>
      <c r="AC246" s="10"/>
      <c r="AD246" s="11">
        <v>0</v>
      </c>
      <c r="AE246" s="10"/>
      <c r="AF246" s="10"/>
      <c r="AG246" s="11">
        <v>0</v>
      </c>
      <c r="AH246" s="10"/>
      <c r="AI246" s="10"/>
      <c r="AJ246" s="11">
        <v>0</v>
      </c>
      <c r="AK246" s="10"/>
      <c r="AL246" s="10"/>
      <c r="AM246" s="11">
        <v>0</v>
      </c>
      <c r="AN246" s="10"/>
      <c r="AO246" s="10"/>
      <c r="AP246" s="11">
        <v>0</v>
      </c>
      <c r="AQ246" s="10"/>
      <c r="AR246" s="10"/>
      <c r="AS246" s="11">
        <v>0</v>
      </c>
      <c r="AT246" s="10"/>
      <c r="AU246" s="10"/>
      <c r="AV246" s="11">
        <v>0</v>
      </c>
      <c r="AW246" s="10"/>
      <c r="AX246" s="10"/>
      <c r="AY246" s="11">
        <v>0</v>
      </c>
      <c r="AZ246" s="10"/>
      <c r="BA246" s="10"/>
      <c r="BB246" s="11">
        <v>0</v>
      </c>
      <c r="BC246" s="10"/>
      <c r="BD246" s="10"/>
      <c r="BE246" s="11">
        <v>0</v>
      </c>
      <c r="BF246" s="10"/>
      <c r="BG246" s="10"/>
      <c r="BH246" s="11">
        <v>0</v>
      </c>
      <c r="BI246" s="10"/>
      <c r="BJ246" s="10"/>
      <c r="BK246" s="11">
        <v>0</v>
      </c>
      <c r="BL246" s="10"/>
      <c r="BM246" s="10"/>
      <c r="BN246" s="11">
        <v>0</v>
      </c>
      <c r="BO246" s="10"/>
      <c r="BP246" s="10"/>
      <c r="BQ246" s="11">
        <v>0</v>
      </c>
      <c r="BR246" s="10"/>
      <c r="BS246" s="10"/>
      <c r="BT246" s="11">
        <v>0</v>
      </c>
      <c r="BU246" s="10"/>
      <c r="BV246" s="10"/>
      <c r="BW246" s="11">
        <v>0</v>
      </c>
      <c r="BX246" s="10"/>
      <c r="BY246" s="10"/>
      <c r="BZ246" s="11">
        <v>0</v>
      </c>
      <c r="CA246" s="10"/>
      <c r="CB246" s="10"/>
      <c r="CC246" s="11">
        <v>0</v>
      </c>
      <c r="CD246" s="10"/>
      <c r="CE246" s="10"/>
      <c r="CF246" s="11">
        <v>0</v>
      </c>
      <c r="CG246" s="10"/>
      <c r="CH246" s="10"/>
      <c r="CI246" s="11">
        <v>0</v>
      </c>
      <c r="CJ246" s="10"/>
      <c r="CK246" s="10"/>
      <c r="CL246" s="11">
        <v>0</v>
      </c>
      <c r="CM246" s="10"/>
      <c r="CN246" s="10"/>
      <c r="CO246" s="11">
        <v>0</v>
      </c>
      <c r="CP246" s="10"/>
      <c r="CQ246" s="10"/>
      <c r="CR246" s="11">
        <v>0</v>
      </c>
      <c r="CS246" s="10"/>
      <c r="CT246" s="10"/>
      <c r="CU246" s="11">
        <v>0</v>
      </c>
      <c r="CV246" s="10"/>
      <c r="CW246" s="10"/>
      <c r="CX246" s="11">
        <v>0</v>
      </c>
      <c r="CY246" s="10"/>
      <c r="CZ246" s="10"/>
      <c r="DA246" s="11">
        <v>0</v>
      </c>
      <c r="DB246" s="10"/>
      <c r="DC246" s="10"/>
      <c r="DD246" s="13">
        <v>0</v>
      </c>
      <c r="DE246" s="14"/>
    </row>
    <row r="247" spans="1:109" x14ac:dyDescent="0.35">
      <c r="A247" s="8" t="s">
        <v>555</v>
      </c>
      <c r="B247" s="9" t="s">
        <v>51</v>
      </c>
      <c r="C247" s="9" t="s">
        <v>52</v>
      </c>
      <c r="D247" s="9" t="s">
        <v>556</v>
      </c>
      <c r="E247" s="9" t="s">
        <v>54</v>
      </c>
      <c r="F247" s="9" t="s">
        <v>55</v>
      </c>
      <c r="G247" s="10"/>
      <c r="H247" s="10"/>
      <c r="I247" s="11">
        <v>0</v>
      </c>
      <c r="J247" s="10"/>
      <c r="K247" s="10"/>
      <c r="L247" s="12">
        <v>0</v>
      </c>
      <c r="M247" s="10"/>
      <c r="N247" s="10"/>
      <c r="O247" s="11">
        <v>0</v>
      </c>
      <c r="P247" s="10"/>
      <c r="Q247" s="10"/>
      <c r="R247" s="11">
        <v>0</v>
      </c>
      <c r="S247" s="10"/>
      <c r="T247" s="10"/>
      <c r="U247" s="11">
        <v>0</v>
      </c>
      <c r="V247" s="10"/>
      <c r="W247" s="10"/>
      <c r="X247" s="11">
        <v>0</v>
      </c>
      <c r="Y247" s="10"/>
      <c r="Z247" s="10"/>
      <c r="AA247" s="11"/>
      <c r="AB247" s="10"/>
      <c r="AC247" s="10"/>
      <c r="AD247" s="11">
        <v>0</v>
      </c>
      <c r="AE247" s="10"/>
      <c r="AF247" s="10"/>
      <c r="AG247" s="11">
        <v>0</v>
      </c>
      <c r="AH247" s="10"/>
      <c r="AI247" s="10"/>
      <c r="AJ247" s="11">
        <v>0</v>
      </c>
      <c r="AK247" s="10"/>
      <c r="AL247" s="10"/>
      <c r="AM247" s="11">
        <v>0</v>
      </c>
      <c r="AN247" s="10"/>
      <c r="AO247" s="10"/>
      <c r="AP247" s="11">
        <v>0</v>
      </c>
      <c r="AQ247" s="10"/>
      <c r="AR247" s="10"/>
      <c r="AS247" s="11">
        <v>0</v>
      </c>
      <c r="AT247" s="10"/>
      <c r="AU247" s="10"/>
      <c r="AV247" s="11">
        <v>0</v>
      </c>
      <c r="AW247" s="10"/>
      <c r="AX247" s="10"/>
      <c r="AY247" s="11">
        <v>0</v>
      </c>
      <c r="AZ247" s="10"/>
      <c r="BA247" s="10"/>
      <c r="BB247" s="11">
        <v>0</v>
      </c>
      <c r="BC247" s="10"/>
      <c r="BD247" s="10"/>
      <c r="BE247" s="11">
        <v>0</v>
      </c>
      <c r="BF247" s="10"/>
      <c r="BG247" s="10"/>
      <c r="BH247" s="11">
        <v>0</v>
      </c>
      <c r="BI247" s="10"/>
      <c r="BJ247" s="10"/>
      <c r="BK247" s="11">
        <v>0</v>
      </c>
      <c r="BL247" s="10"/>
      <c r="BM247" s="10"/>
      <c r="BN247" s="11">
        <v>0</v>
      </c>
      <c r="BO247" s="10"/>
      <c r="BP247" s="10"/>
      <c r="BQ247" s="11">
        <v>0</v>
      </c>
      <c r="BR247" s="10"/>
      <c r="BS247" s="10"/>
      <c r="BT247" s="11">
        <v>0</v>
      </c>
      <c r="BU247" s="10"/>
      <c r="BV247" s="10"/>
      <c r="BW247" s="11">
        <v>0</v>
      </c>
      <c r="BX247" s="10"/>
      <c r="BY247" s="10"/>
      <c r="BZ247" s="11">
        <v>0</v>
      </c>
      <c r="CA247" s="10"/>
      <c r="CB247" s="10"/>
      <c r="CC247" s="11">
        <v>0</v>
      </c>
      <c r="CD247" s="10"/>
      <c r="CE247" s="10"/>
      <c r="CF247" s="11">
        <v>0</v>
      </c>
      <c r="CG247" s="10"/>
      <c r="CH247" s="10"/>
      <c r="CI247" s="11">
        <v>0</v>
      </c>
      <c r="CJ247" s="10"/>
      <c r="CK247" s="10"/>
      <c r="CL247" s="11">
        <v>0</v>
      </c>
      <c r="CM247" s="10"/>
      <c r="CN247" s="10"/>
      <c r="CO247" s="11">
        <v>0</v>
      </c>
      <c r="CP247" s="10"/>
      <c r="CQ247" s="10"/>
      <c r="CR247" s="11">
        <v>0</v>
      </c>
      <c r="CS247" s="10"/>
      <c r="CT247" s="10"/>
      <c r="CU247" s="11">
        <v>0</v>
      </c>
      <c r="CV247" s="10"/>
      <c r="CW247" s="10"/>
      <c r="CX247" s="11">
        <v>0</v>
      </c>
      <c r="CY247" s="10"/>
      <c r="CZ247" s="10"/>
      <c r="DA247" s="11">
        <v>0</v>
      </c>
      <c r="DB247" s="10"/>
      <c r="DC247" s="10"/>
      <c r="DD247" s="13">
        <v>0</v>
      </c>
      <c r="DE247" s="14"/>
    </row>
    <row r="248" spans="1:109" x14ac:dyDescent="0.35">
      <c r="A248" s="8" t="s">
        <v>557</v>
      </c>
      <c r="B248" s="9" t="s">
        <v>51</v>
      </c>
      <c r="C248" s="9" t="s">
        <v>52</v>
      </c>
      <c r="D248" s="9" t="s">
        <v>558</v>
      </c>
      <c r="E248" s="9" t="s">
        <v>54</v>
      </c>
      <c r="F248" s="9" t="s">
        <v>55</v>
      </c>
      <c r="G248" s="10"/>
      <c r="H248" s="10"/>
      <c r="I248" s="11">
        <v>0</v>
      </c>
      <c r="J248" s="10"/>
      <c r="K248" s="10"/>
      <c r="L248" s="12">
        <v>0</v>
      </c>
      <c r="M248" s="10"/>
      <c r="N248" s="10"/>
      <c r="O248" s="11">
        <v>0</v>
      </c>
      <c r="P248" s="10"/>
      <c r="Q248" s="10"/>
      <c r="R248" s="11">
        <v>0</v>
      </c>
      <c r="S248" s="10"/>
      <c r="T248" s="10"/>
      <c r="U248" s="11">
        <v>0</v>
      </c>
      <c r="V248" s="10">
        <v>50000</v>
      </c>
      <c r="W248" s="10">
        <v>243750</v>
      </c>
      <c r="X248" s="11">
        <v>4.875</v>
      </c>
      <c r="Y248" s="10"/>
      <c r="Z248" s="10"/>
      <c r="AA248" s="11"/>
      <c r="AB248" s="10"/>
      <c r="AC248" s="10"/>
      <c r="AD248" s="11">
        <v>0</v>
      </c>
      <c r="AE248" s="10"/>
      <c r="AF248" s="10"/>
      <c r="AG248" s="11">
        <v>0</v>
      </c>
      <c r="AH248" s="10"/>
      <c r="AI248" s="10"/>
      <c r="AJ248" s="11">
        <v>0</v>
      </c>
      <c r="AK248" s="10"/>
      <c r="AL248" s="10"/>
      <c r="AM248" s="11">
        <v>0</v>
      </c>
      <c r="AN248" s="10"/>
      <c r="AO248" s="10"/>
      <c r="AP248" s="11">
        <v>0</v>
      </c>
      <c r="AQ248" s="10"/>
      <c r="AR248" s="10"/>
      <c r="AS248" s="11">
        <v>0</v>
      </c>
      <c r="AT248" s="10"/>
      <c r="AU248" s="10"/>
      <c r="AV248" s="11">
        <v>0</v>
      </c>
      <c r="AW248" s="10"/>
      <c r="AX248" s="10"/>
      <c r="AY248" s="11">
        <v>0</v>
      </c>
      <c r="AZ248" s="10"/>
      <c r="BA248" s="10"/>
      <c r="BB248" s="11">
        <v>0</v>
      </c>
      <c r="BC248" s="10"/>
      <c r="BD248" s="10"/>
      <c r="BE248" s="11">
        <v>0</v>
      </c>
      <c r="BF248" s="10"/>
      <c r="BG248" s="10"/>
      <c r="BH248" s="11">
        <v>0</v>
      </c>
      <c r="BI248" s="10"/>
      <c r="BJ248" s="10"/>
      <c r="BK248" s="11">
        <v>0</v>
      </c>
      <c r="BL248" s="10"/>
      <c r="BM248" s="10"/>
      <c r="BN248" s="11">
        <v>0</v>
      </c>
      <c r="BO248" s="10"/>
      <c r="BP248" s="10"/>
      <c r="BQ248" s="11">
        <v>0</v>
      </c>
      <c r="BR248" s="10"/>
      <c r="BS248" s="10"/>
      <c r="BT248" s="11">
        <v>0</v>
      </c>
      <c r="BU248" s="10"/>
      <c r="BV248" s="10"/>
      <c r="BW248" s="11">
        <v>0</v>
      </c>
      <c r="BX248" s="10"/>
      <c r="BY248" s="10"/>
      <c r="BZ248" s="11">
        <v>0</v>
      </c>
      <c r="CA248" s="10"/>
      <c r="CB248" s="10"/>
      <c r="CC248" s="11">
        <v>0</v>
      </c>
      <c r="CD248" s="10"/>
      <c r="CE248" s="10"/>
      <c r="CF248" s="11">
        <v>0</v>
      </c>
      <c r="CG248" s="10"/>
      <c r="CH248" s="10"/>
      <c r="CI248" s="11">
        <v>0</v>
      </c>
      <c r="CJ248" s="10"/>
      <c r="CK248" s="10"/>
      <c r="CL248" s="11">
        <v>0</v>
      </c>
      <c r="CM248" s="10"/>
      <c r="CN248" s="10"/>
      <c r="CO248" s="11">
        <v>0</v>
      </c>
      <c r="CP248" s="10"/>
      <c r="CQ248" s="10"/>
      <c r="CR248" s="11">
        <v>0</v>
      </c>
      <c r="CS248" s="10"/>
      <c r="CT248" s="10"/>
      <c r="CU248" s="11">
        <v>0</v>
      </c>
      <c r="CV248" s="10"/>
      <c r="CW248" s="10"/>
      <c r="CX248" s="11">
        <v>0</v>
      </c>
      <c r="CY248" s="10"/>
      <c r="CZ248" s="10"/>
      <c r="DA248" s="11">
        <v>0</v>
      </c>
      <c r="DB248" s="10">
        <v>50000</v>
      </c>
      <c r="DC248" s="10">
        <f t="shared" si="487"/>
        <v>243750</v>
      </c>
      <c r="DD248" s="13">
        <f t="shared" si="488"/>
        <v>4.875</v>
      </c>
      <c r="DE248" s="14"/>
    </row>
    <row r="249" spans="1:109" x14ac:dyDescent="0.35">
      <c r="A249" s="8" t="s">
        <v>559</v>
      </c>
      <c r="B249" s="9" t="s">
        <v>111</v>
      </c>
      <c r="C249" s="9" t="s">
        <v>52</v>
      </c>
      <c r="D249" s="9" t="s">
        <v>560</v>
      </c>
      <c r="E249" s="9" t="s">
        <v>126</v>
      </c>
      <c r="F249" s="9" t="s">
        <v>55</v>
      </c>
      <c r="G249" s="10"/>
      <c r="H249" s="10"/>
      <c r="I249" s="11">
        <v>0</v>
      </c>
      <c r="J249" s="10"/>
      <c r="K249" s="10"/>
      <c r="L249" s="12">
        <v>0</v>
      </c>
      <c r="M249" s="10"/>
      <c r="N249" s="10"/>
      <c r="O249" s="11">
        <v>0</v>
      </c>
      <c r="P249" s="10"/>
      <c r="Q249" s="10"/>
      <c r="R249" s="11">
        <v>0</v>
      </c>
      <c r="S249" s="10"/>
      <c r="T249" s="10"/>
      <c r="U249" s="11">
        <v>0</v>
      </c>
      <c r="V249" s="10"/>
      <c r="W249" s="10"/>
      <c r="X249" s="11">
        <v>0</v>
      </c>
      <c r="Y249" s="10"/>
      <c r="Z249" s="10"/>
      <c r="AA249" s="11"/>
      <c r="AB249" s="10"/>
      <c r="AC249" s="10"/>
      <c r="AD249" s="11">
        <v>0</v>
      </c>
      <c r="AE249" s="10"/>
      <c r="AF249" s="10"/>
      <c r="AG249" s="11">
        <v>0</v>
      </c>
      <c r="AH249" s="10"/>
      <c r="AI249" s="10"/>
      <c r="AJ249" s="11">
        <v>0</v>
      </c>
      <c r="AK249" s="10"/>
      <c r="AL249" s="10"/>
      <c r="AM249" s="11">
        <v>0</v>
      </c>
      <c r="AN249" s="10"/>
      <c r="AO249" s="10"/>
      <c r="AP249" s="11">
        <v>0</v>
      </c>
      <c r="AQ249" s="10"/>
      <c r="AR249" s="10"/>
      <c r="AS249" s="11">
        <v>0</v>
      </c>
      <c r="AT249" s="10"/>
      <c r="AU249" s="10"/>
      <c r="AV249" s="11">
        <v>0</v>
      </c>
      <c r="AW249" s="10"/>
      <c r="AX249" s="10"/>
      <c r="AY249" s="11">
        <v>0</v>
      </c>
      <c r="AZ249" s="10"/>
      <c r="BA249" s="10"/>
      <c r="BB249" s="11">
        <v>0</v>
      </c>
      <c r="BC249" s="10"/>
      <c r="BD249" s="10"/>
      <c r="BE249" s="11">
        <v>0</v>
      </c>
      <c r="BF249" s="10"/>
      <c r="BG249" s="10"/>
      <c r="BH249" s="11">
        <v>0</v>
      </c>
      <c r="BI249" s="10"/>
      <c r="BJ249" s="10"/>
      <c r="BK249" s="11">
        <v>0</v>
      </c>
      <c r="BL249" s="10"/>
      <c r="BM249" s="10"/>
      <c r="BN249" s="11">
        <v>0</v>
      </c>
      <c r="BO249" s="10"/>
      <c r="BP249" s="10"/>
      <c r="BQ249" s="11">
        <v>0</v>
      </c>
      <c r="BR249" s="10"/>
      <c r="BS249" s="10"/>
      <c r="BT249" s="11">
        <v>0</v>
      </c>
      <c r="BU249" s="10"/>
      <c r="BV249" s="10"/>
      <c r="BW249" s="11">
        <v>0</v>
      </c>
      <c r="BX249" s="10"/>
      <c r="BY249" s="10"/>
      <c r="BZ249" s="11">
        <v>0</v>
      </c>
      <c r="CA249" s="10"/>
      <c r="CB249" s="10"/>
      <c r="CC249" s="11">
        <v>0</v>
      </c>
      <c r="CD249" s="10"/>
      <c r="CE249" s="10"/>
      <c r="CF249" s="11">
        <v>0</v>
      </c>
      <c r="CG249" s="10"/>
      <c r="CH249" s="10"/>
      <c r="CI249" s="11">
        <v>0</v>
      </c>
      <c r="CJ249" s="10"/>
      <c r="CK249" s="10"/>
      <c r="CL249" s="11">
        <v>0</v>
      </c>
      <c r="CM249" s="10"/>
      <c r="CN249" s="10"/>
      <c r="CO249" s="11">
        <v>0</v>
      </c>
      <c r="CP249" s="10"/>
      <c r="CQ249" s="10"/>
      <c r="CR249" s="11">
        <v>0</v>
      </c>
      <c r="CS249" s="10"/>
      <c r="CT249" s="10"/>
      <c r="CU249" s="11">
        <v>0</v>
      </c>
      <c r="CV249" s="10"/>
      <c r="CW249" s="10"/>
      <c r="CX249" s="11">
        <v>0</v>
      </c>
      <c r="CY249" s="10">
        <v>150000</v>
      </c>
      <c r="CZ249" s="10"/>
      <c r="DA249" s="11">
        <f t="shared" ref="DA249:DA255" si="491">CZ249/CY249</f>
        <v>0</v>
      </c>
      <c r="DB249" s="10">
        <v>150000</v>
      </c>
      <c r="DC249" s="10"/>
      <c r="DD249" s="15">
        <f t="shared" si="488"/>
        <v>0</v>
      </c>
      <c r="DE249" s="16"/>
    </row>
    <row r="250" spans="1:109" x14ac:dyDescent="0.35">
      <c r="A250" s="8" t="s">
        <v>561</v>
      </c>
      <c r="B250" s="9" t="s">
        <v>108</v>
      </c>
      <c r="C250" s="9" t="s">
        <v>52</v>
      </c>
      <c r="D250" s="9" t="s">
        <v>562</v>
      </c>
      <c r="E250" s="9" t="s">
        <v>54</v>
      </c>
      <c r="F250" s="9" t="s">
        <v>55</v>
      </c>
      <c r="G250" s="10"/>
      <c r="H250" s="10"/>
      <c r="I250" s="11">
        <v>0</v>
      </c>
      <c r="J250" s="10"/>
      <c r="K250" s="10"/>
      <c r="L250" s="12">
        <v>0</v>
      </c>
      <c r="M250" s="10"/>
      <c r="N250" s="10"/>
      <c r="O250" s="11">
        <v>0</v>
      </c>
      <c r="P250" s="10"/>
      <c r="Q250" s="10"/>
      <c r="R250" s="11">
        <v>0</v>
      </c>
      <c r="S250" s="10"/>
      <c r="T250" s="10"/>
      <c r="U250" s="11">
        <v>0</v>
      </c>
      <c r="V250" s="10"/>
      <c r="W250" s="10"/>
      <c r="X250" s="11">
        <v>0</v>
      </c>
      <c r="Y250" s="10"/>
      <c r="Z250" s="10"/>
      <c r="AA250" s="11"/>
      <c r="AB250" s="10"/>
      <c r="AC250" s="10"/>
      <c r="AD250" s="11">
        <v>0</v>
      </c>
      <c r="AE250" s="10"/>
      <c r="AF250" s="10"/>
      <c r="AG250" s="11">
        <v>0</v>
      </c>
      <c r="AH250" s="10"/>
      <c r="AI250" s="10"/>
      <c r="AJ250" s="11">
        <v>0</v>
      </c>
      <c r="AK250" s="10"/>
      <c r="AL250" s="10"/>
      <c r="AM250" s="11">
        <v>0</v>
      </c>
      <c r="AN250" s="10"/>
      <c r="AO250" s="10"/>
      <c r="AP250" s="11">
        <v>0</v>
      </c>
      <c r="AQ250" s="10"/>
      <c r="AR250" s="10"/>
      <c r="AS250" s="11">
        <v>0</v>
      </c>
      <c r="AT250" s="10"/>
      <c r="AU250" s="10"/>
      <c r="AV250" s="11">
        <v>0</v>
      </c>
      <c r="AW250" s="10"/>
      <c r="AX250" s="10"/>
      <c r="AY250" s="11">
        <v>0</v>
      </c>
      <c r="AZ250" s="10"/>
      <c r="BA250" s="10"/>
      <c r="BB250" s="11">
        <v>0</v>
      </c>
      <c r="BC250" s="10"/>
      <c r="BD250" s="10"/>
      <c r="BE250" s="11">
        <v>0</v>
      </c>
      <c r="BF250" s="10"/>
      <c r="BG250" s="10"/>
      <c r="BH250" s="11">
        <v>0</v>
      </c>
      <c r="BI250" s="10"/>
      <c r="BJ250" s="10"/>
      <c r="BK250" s="11">
        <v>0</v>
      </c>
      <c r="BL250" s="10"/>
      <c r="BM250" s="10"/>
      <c r="BN250" s="11">
        <v>0</v>
      </c>
      <c r="BO250" s="10"/>
      <c r="BP250" s="10"/>
      <c r="BQ250" s="11">
        <v>0</v>
      </c>
      <c r="BR250" s="10"/>
      <c r="BS250" s="10"/>
      <c r="BT250" s="11">
        <v>0</v>
      </c>
      <c r="BU250" s="10"/>
      <c r="BV250" s="10"/>
      <c r="BW250" s="11">
        <v>0</v>
      </c>
      <c r="BX250" s="10"/>
      <c r="BY250" s="10"/>
      <c r="BZ250" s="11">
        <v>0</v>
      </c>
      <c r="CA250" s="10"/>
      <c r="CB250" s="10"/>
      <c r="CC250" s="11">
        <v>0</v>
      </c>
      <c r="CD250" s="10"/>
      <c r="CE250" s="10"/>
      <c r="CF250" s="11">
        <v>0</v>
      </c>
      <c r="CG250" s="10"/>
      <c r="CH250" s="10"/>
      <c r="CI250" s="11">
        <v>0</v>
      </c>
      <c r="CJ250" s="10"/>
      <c r="CK250" s="10"/>
      <c r="CL250" s="11">
        <v>0</v>
      </c>
      <c r="CM250" s="10"/>
      <c r="CN250" s="10"/>
      <c r="CO250" s="11">
        <v>0</v>
      </c>
      <c r="CP250" s="10"/>
      <c r="CQ250" s="10"/>
      <c r="CR250" s="11">
        <v>0</v>
      </c>
      <c r="CS250" s="10"/>
      <c r="CT250" s="10"/>
      <c r="CU250" s="11">
        <v>0</v>
      </c>
      <c r="CV250" s="10"/>
      <c r="CW250" s="10"/>
      <c r="CX250" s="11">
        <v>0</v>
      </c>
      <c r="CY250" s="10"/>
      <c r="CZ250" s="10"/>
      <c r="DA250" s="11">
        <v>0</v>
      </c>
      <c r="DB250" s="10"/>
      <c r="DC250" s="10"/>
      <c r="DD250" s="13">
        <v>0</v>
      </c>
      <c r="DE250" s="14"/>
    </row>
    <row r="251" spans="1:109" x14ac:dyDescent="0.35">
      <c r="A251" s="8" t="s">
        <v>563</v>
      </c>
      <c r="B251" s="9" t="s">
        <v>111</v>
      </c>
      <c r="C251" s="9" t="s">
        <v>52</v>
      </c>
      <c r="D251" s="9" t="s">
        <v>564</v>
      </c>
      <c r="E251" s="9" t="s">
        <v>126</v>
      </c>
      <c r="F251" s="9" t="s">
        <v>55</v>
      </c>
      <c r="G251" s="10"/>
      <c r="H251" s="10"/>
      <c r="I251" s="11">
        <v>0</v>
      </c>
      <c r="J251" s="10"/>
      <c r="K251" s="10"/>
      <c r="L251" s="12">
        <v>0</v>
      </c>
      <c r="M251" s="10"/>
      <c r="N251" s="10"/>
      <c r="O251" s="11">
        <v>0</v>
      </c>
      <c r="P251" s="10"/>
      <c r="Q251" s="10"/>
      <c r="R251" s="11">
        <v>0</v>
      </c>
      <c r="S251" s="10"/>
      <c r="T251" s="10"/>
      <c r="U251" s="11">
        <v>0</v>
      </c>
      <c r="V251" s="10"/>
      <c r="W251" s="10"/>
      <c r="X251" s="11">
        <v>0</v>
      </c>
      <c r="Y251" s="10"/>
      <c r="Z251" s="10"/>
      <c r="AA251" s="11"/>
      <c r="AB251" s="10">
        <v>30000</v>
      </c>
      <c r="AC251" s="10"/>
      <c r="AD251" s="11">
        <v>0</v>
      </c>
      <c r="AE251" s="10"/>
      <c r="AF251" s="10"/>
      <c r="AG251" s="11">
        <v>0</v>
      </c>
      <c r="AH251" s="10"/>
      <c r="AI251" s="10"/>
      <c r="AJ251" s="11">
        <v>0</v>
      </c>
      <c r="AK251" s="10"/>
      <c r="AL251" s="10"/>
      <c r="AM251" s="11">
        <v>0</v>
      </c>
      <c r="AN251" s="10"/>
      <c r="AO251" s="10"/>
      <c r="AP251" s="11">
        <v>0</v>
      </c>
      <c r="AQ251" s="10"/>
      <c r="AR251" s="10"/>
      <c r="AS251" s="11">
        <v>0</v>
      </c>
      <c r="AT251" s="10"/>
      <c r="AU251" s="10"/>
      <c r="AV251" s="11">
        <v>0</v>
      </c>
      <c r="AW251" s="10"/>
      <c r="AX251" s="10"/>
      <c r="AY251" s="11">
        <v>0</v>
      </c>
      <c r="AZ251" s="10"/>
      <c r="BA251" s="10"/>
      <c r="BB251" s="11">
        <v>0</v>
      </c>
      <c r="BC251" s="10"/>
      <c r="BD251" s="10"/>
      <c r="BE251" s="11">
        <v>0</v>
      </c>
      <c r="BF251" s="10"/>
      <c r="BG251" s="10"/>
      <c r="BH251" s="11">
        <v>0</v>
      </c>
      <c r="BI251" s="10"/>
      <c r="BJ251" s="10"/>
      <c r="BK251" s="11">
        <v>0</v>
      </c>
      <c r="BL251" s="10"/>
      <c r="BM251" s="10"/>
      <c r="BN251" s="11">
        <v>0</v>
      </c>
      <c r="BO251" s="10"/>
      <c r="BP251" s="10"/>
      <c r="BQ251" s="11">
        <v>0</v>
      </c>
      <c r="BR251" s="10"/>
      <c r="BS251" s="10"/>
      <c r="BT251" s="11">
        <v>0</v>
      </c>
      <c r="BU251" s="10"/>
      <c r="BV251" s="10"/>
      <c r="BW251" s="11">
        <v>0</v>
      </c>
      <c r="BX251" s="10"/>
      <c r="BY251" s="10"/>
      <c r="BZ251" s="11">
        <v>0</v>
      </c>
      <c r="CA251" s="10"/>
      <c r="CB251" s="10"/>
      <c r="CC251" s="11">
        <v>0</v>
      </c>
      <c r="CD251" s="10"/>
      <c r="CE251" s="10"/>
      <c r="CF251" s="11">
        <v>0</v>
      </c>
      <c r="CG251" s="10"/>
      <c r="CH251" s="10"/>
      <c r="CI251" s="11">
        <v>0</v>
      </c>
      <c r="CJ251" s="10"/>
      <c r="CK251" s="10"/>
      <c r="CL251" s="11">
        <v>0</v>
      </c>
      <c r="CM251" s="10"/>
      <c r="CN251" s="10"/>
      <c r="CO251" s="11">
        <v>0</v>
      </c>
      <c r="CP251" s="10"/>
      <c r="CQ251" s="10"/>
      <c r="CR251" s="11">
        <v>0</v>
      </c>
      <c r="CS251" s="10"/>
      <c r="CT251" s="10"/>
      <c r="CU251" s="11">
        <v>0</v>
      </c>
      <c r="CV251" s="10"/>
      <c r="CW251" s="10"/>
      <c r="CX251" s="11">
        <v>0</v>
      </c>
      <c r="CY251" s="10"/>
      <c r="CZ251" s="10"/>
      <c r="DA251" s="11">
        <v>0</v>
      </c>
      <c r="DB251" s="10">
        <v>30000</v>
      </c>
      <c r="DC251" s="10"/>
      <c r="DD251" s="15">
        <f t="shared" si="488"/>
        <v>0</v>
      </c>
      <c r="DE251" s="16"/>
    </row>
    <row r="252" spans="1:109" x14ac:dyDescent="0.35">
      <c r="A252" s="8" t="s">
        <v>565</v>
      </c>
      <c r="B252" s="9" t="s">
        <v>111</v>
      </c>
      <c r="C252" s="9" t="s">
        <v>52</v>
      </c>
      <c r="D252" s="9" t="s">
        <v>566</v>
      </c>
      <c r="E252" s="9" t="s">
        <v>54</v>
      </c>
      <c r="F252" s="9" t="s">
        <v>55</v>
      </c>
      <c r="G252" s="10"/>
      <c r="H252" s="10"/>
      <c r="I252" s="11">
        <v>0</v>
      </c>
      <c r="J252" s="10"/>
      <c r="K252" s="10"/>
      <c r="L252" s="12">
        <v>0</v>
      </c>
      <c r="M252" s="10"/>
      <c r="N252" s="10"/>
      <c r="O252" s="11">
        <v>0</v>
      </c>
      <c r="P252" s="10"/>
      <c r="Q252" s="10"/>
      <c r="R252" s="11">
        <v>0</v>
      </c>
      <c r="S252" s="10"/>
      <c r="T252" s="10"/>
      <c r="U252" s="11">
        <v>0</v>
      </c>
      <c r="V252" s="10"/>
      <c r="W252" s="10"/>
      <c r="X252" s="11">
        <v>0</v>
      </c>
      <c r="Y252" s="10"/>
      <c r="Z252" s="10"/>
      <c r="AA252" s="11"/>
      <c r="AB252" s="10"/>
      <c r="AC252" s="10"/>
      <c r="AD252" s="11">
        <v>0</v>
      </c>
      <c r="AE252" s="10"/>
      <c r="AF252" s="10"/>
      <c r="AG252" s="11">
        <v>0</v>
      </c>
      <c r="AH252" s="10"/>
      <c r="AI252" s="10"/>
      <c r="AJ252" s="11">
        <v>0</v>
      </c>
      <c r="AK252" s="10"/>
      <c r="AL252" s="10"/>
      <c r="AM252" s="11">
        <v>0</v>
      </c>
      <c r="AN252" s="10"/>
      <c r="AO252" s="10"/>
      <c r="AP252" s="11">
        <v>0</v>
      </c>
      <c r="AQ252" s="10"/>
      <c r="AR252" s="10"/>
      <c r="AS252" s="11">
        <v>0</v>
      </c>
      <c r="AT252" s="10"/>
      <c r="AU252" s="10"/>
      <c r="AV252" s="11">
        <v>0</v>
      </c>
      <c r="AW252" s="10"/>
      <c r="AX252" s="10"/>
      <c r="AY252" s="11">
        <v>0</v>
      </c>
      <c r="AZ252" s="10"/>
      <c r="BA252" s="10"/>
      <c r="BB252" s="11">
        <v>0</v>
      </c>
      <c r="BC252" s="10"/>
      <c r="BD252" s="10"/>
      <c r="BE252" s="11">
        <v>0</v>
      </c>
      <c r="BF252" s="10"/>
      <c r="BG252" s="10"/>
      <c r="BH252" s="11">
        <v>0</v>
      </c>
      <c r="BI252" s="10"/>
      <c r="BJ252" s="10"/>
      <c r="BK252" s="11">
        <v>0</v>
      </c>
      <c r="BL252" s="10"/>
      <c r="BM252" s="10"/>
      <c r="BN252" s="11">
        <v>0</v>
      </c>
      <c r="BO252" s="10"/>
      <c r="BP252" s="10"/>
      <c r="BQ252" s="11">
        <v>0</v>
      </c>
      <c r="BR252" s="10"/>
      <c r="BS252" s="10"/>
      <c r="BT252" s="11">
        <v>0</v>
      </c>
      <c r="BU252" s="10"/>
      <c r="BV252" s="10"/>
      <c r="BW252" s="11">
        <v>0</v>
      </c>
      <c r="BX252" s="10"/>
      <c r="BY252" s="10"/>
      <c r="BZ252" s="11">
        <v>0</v>
      </c>
      <c r="CA252" s="10"/>
      <c r="CB252" s="10"/>
      <c r="CC252" s="11">
        <v>0</v>
      </c>
      <c r="CD252" s="10"/>
      <c r="CE252" s="10"/>
      <c r="CF252" s="11">
        <v>0</v>
      </c>
      <c r="CG252" s="10"/>
      <c r="CH252" s="10"/>
      <c r="CI252" s="11">
        <v>0</v>
      </c>
      <c r="CJ252" s="10"/>
      <c r="CK252" s="10"/>
      <c r="CL252" s="11">
        <v>0</v>
      </c>
      <c r="CM252" s="10"/>
      <c r="CN252" s="10"/>
      <c r="CO252" s="11">
        <v>0</v>
      </c>
      <c r="CP252" s="10"/>
      <c r="CQ252" s="10"/>
      <c r="CR252" s="11">
        <v>0</v>
      </c>
      <c r="CS252" s="10"/>
      <c r="CT252" s="10"/>
      <c r="CU252" s="11">
        <v>0</v>
      </c>
      <c r="CV252" s="10"/>
      <c r="CW252" s="10"/>
      <c r="CX252" s="11">
        <v>0</v>
      </c>
      <c r="CY252" s="10"/>
      <c r="CZ252" s="10"/>
      <c r="DA252" s="11">
        <v>0</v>
      </c>
      <c r="DB252" s="10"/>
      <c r="DC252" s="10"/>
      <c r="DD252" s="13">
        <v>0</v>
      </c>
      <c r="DE252" s="14"/>
    </row>
    <row r="253" spans="1:109" x14ac:dyDescent="0.35">
      <c r="A253" s="8" t="s">
        <v>567</v>
      </c>
      <c r="B253" s="9" t="s">
        <v>74</v>
      </c>
      <c r="C253" s="9" t="s">
        <v>52</v>
      </c>
      <c r="D253" s="9" t="s">
        <v>568</v>
      </c>
      <c r="E253" s="9" t="s">
        <v>54</v>
      </c>
      <c r="F253" s="9" t="s">
        <v>55</v>
      </c>
      <c r="G253" s="10"/>
      <c r="H253" s="10"/>
      <c r="I253" s="11">
        <v>0</v>
      </c>
      <c r="J253" s="10"/>
      <c r="K253" s="10"/>
      <c r="L253" s="12">
        <v>0</v>
      </c>
      <c r="M253" s="10"/>
      <c r="N253" s="10"/>
      <c r="O253" s="11">
        <v>0</v>
      </c>
      <c r="P253" s="10"/>
      <c r="Q253" s="10"/>
      <c r="R253" s="11">
        <v>0</v>
      </c>
      <c r="S253" s="10"/>
      <c r="T253" s="10"/>
      <c r="U253" s="11">
        <v>0</v>
      </c>
      <c r="V253" s="10"/>
      <c r="W253" s="10"/>
      <c r="X253" s="11">
        <v>0</v>
      </c>
      <c r="Y253" s="10"/>
      <c r="Z253" s="10"/>
      <c r="AA253" s="11"/>
      <c r="AB253" s="10"/>
      <c r="AC253" s="10"/>
      <c r="AD253" s="11">
        <v>0</v>
      </c>
      <c r="AE253" s="10"/>
      <c r="AF253" s="10"/>
      <c r="AG253" s="11">
        <v>0</v>
      </c>
      <c r="AH253" s="10"/>
      <c r="AI253" s="10"/>
      <c r="AJ253" s="11">
        <v>0</v>
      </c>
      <c r="AK253" s="10"/>
      <c r="AL253" s="10"/>
      <c r="AM253" s="11">
        <v>0</v>
      </c>
      <c r="AN253" s="10"/>
      <c r="AO253" s="10"/>
      <c r="AP253" s="11">
        <v>0</v>
      </c>
      <c r="AQ253" s="10"/>
      <c r="AR253" s="10"/>
      <c r="AS253" s="11">
        <v>0</v>
      </c>
      <c r="AT253" s="10"/>
      <c r="AU253" s="10"/>
      <c r="AV253" s="11">
        <v>0</v>
      </c>
      <c r="AW253" s="10"/>
      <c r="AX253" s="10"/>
      <c r="AY253" s="11">
        <v>0</v>
      </c>
      <c r="AZ253" s="10"/>
      <c r="BA253" s="10"/>
      <c r="BB253" s="11">
        <v>0</v>
      </c>
      <c r="BC253" s="10"/>
      <c r="BD253" s="10"/>
      <c r="BE253" s="11">
        <v>0</v>
      </c>
      <c r="BF253" s="10"/>
      <c r="BG253" s="10"/>
      <c r="BH253" s="11">
        <v>0</v>
      </c>
      <c r="BI253" s="10"/>
      <c r="BJ253" s="10"/>
      <c r="BK253" s="11">
        <v>0</v>
      </c>
      <c r="BL253" s="10"/>
      <c r="BM253" s="10"/>
      <c r="BN253" s="11">
        <v>0</v>
      </c>
      <c r="BO253" s="10"/>
      <c r="BP253" s="10"/>
      <c r="BQ253" s="11">
        <v>0</v>
      </c>
      <c r="BR253" s="10"/>
      <c r="BS253" s="10"/>
      <c r="BT253" s="11">
        <v>0</v>
      </c>
      <c r="BU253" s="10"/>
      <c r="BV253" s="10"/>
      <c r="BW253" s="11">
        <v>0</v>
      </c>
      <c r="BX253" s="10"/>
      <c r="BY253" s="10"/>
      <c r="BZ253" s="11">
        <v>0</v>
      </c>
      <c r="CA253" s="10"/>
      <c r="CB253" s="10"/>
      <c r="CC253" s="11">
        <v>0</v>
      </c>
      <c r="CD253" s="10"/>
      <c r="CE253" s="10"/>
      <c r="CF253" s="11">
        <v>0</v>
      </c>
      <c r="CG253" s="10"/>
      <c r="CH253" s="10"/>
      <c r="CI253" s="11">
        <v>0</v>
      </c>
      <c r="CJ253" s="10"/>
      <c r="CK253" s="10"/>
      <c r="CL253" s="11">
        <v>0</v>
      </c>
      <c r="CM253" s="10"/>
      <c r="CN253" s="10"/>
      <c r="CO253" s="11">
        <v>0</v>
      </c>
      <c r="CP253" s="10"/>
      <c r="CQ253" s="10"/>
      <c r="CR253" s="11">
        <v>0</v>
      </c>
      <c r="CS253" s="10"/>
      <c r="CT253" s="10"/>
      <c r="CU253" s="11">
        <v>0</v>
      </c>
      <c r="CV253" s="10"/>
      <c r="CW253" s="10"/>
      <c r="CX253" s="11">
        <v>0</v>
      </c>
      <c r="CY253" s="10"/>
      <c r="CZ253" s="10"/>
      <c r="DA253" s="11">
        <v>0</v>
      </c>
      <c r="DB253" s="10"/>
      <c r="DC253" s="10"/>
      <c r="DD253" s="13">
        <v>0</v>
      </c>
      <c r="DE253" s="14"/>
    </row>
    <row r="254" spans="1:109" x14ac:dyDescent="0.35">
      <c r="A254" s="8" t="s">
        <v>569</v>
      </c>
      <c r="B254" s="9" t="s">
        <v>108</v>
      </c>
      <c r="C254" s="9" t="s">
        <v>52</v>
      </c>
      <c r="D254" s="9" t="s">
        <v>570</v>
      </c>
      <c r="E254" s="9" t="s">
        <v>126</v>
      </c>
      <c r="F254" s="9" t="s">
        <v>55</v>
      </c>
      <c r="G254" s="10"/>
      <c r="H254" s="10"/>
      <c r="I254" s="11">
        <v>0</v>
      </c>
      <c r="J254" s="10"/>
      <c r="K254" s="10"/>
      <c r="L254" s="12">
        <v>0</v>
      </c>
      <c r="M254" s="10"/>
      <c r="N254" s="10"/>
      <c r="O254" s="11">
        <v>0</v>
      </c>
      <c r="P254" s="10"/>
      <c r="Q254" s="10"/>
      <c r="R254" s="11">
        <v>0</v>
      </c>
      <c r="S254" s="10"/>
      <c r="T254" s="10"/>
      <c r="U254" s="11">
        <v>0</v>
      </c>
      <c r="V254" s="10"/>
      <c r="W254" s="10"/>
      <c r="X254" s="11">
        <v>0</v>
      </c>
      <c r="Y254" s="10"/>
      <c r="Z254" s="10"/>
      <c r="AA254" s="11"/>
      <c r="AB254" s="10"/>
      <c r="AC254" s="10"/>
      <c r="AD254" s="11">
        <v>0</v>
      </c>
      <c r="AE254" s="10"/>
      <c r="AF254" s="10"/>
      <c r="AG254" s="11">
        <v>0</v>
      </c>
      <c r="AH254" s="10"/>
      <c r="AI254" s="10"/>
      <c r="AJ254" s="11">
        <v>0</v>
      </c>
      <c r="AK254" s="10"/>
      <c r="AL254" s="10"/>
      <c r="AM254" s="11">
        <v>0</v>
      </c>
      <c r="AN254" s="10"/>
      <c r="AO254" s="10"/>
      <c r="AP254" s="11">
        <v>0</v>
      </c>
      <c r="AQ254" s="10"/>
      <c r="AR254" s="10"/>
      <c r="AS254" s="11">
        <v>0</v>
      </c>
      <c r="AT254" s="10"/>
      <c r="AU254" s="10"/>
      <c r="AV254" s="11">
        <v>0</v>
      </c>
      <c r="AW254" s="10"/>
      <c r="AX254" s="10"/>
      <c r="AY254" s="11">
        <v>0</v>
      </c>
      <c r="AZ254" s="10"/>
      <c r="BA254" s="10"/>
      <c r="BB254" s="11">
        <v>0</v>
      </c>
      <c r="BC254" s="10"/>
      <c r="BD254" s="10"/>
      <c r="BE254" s="11">
        <v>0</v>
      </c>
      <c r="BF254" s="10"/>
      <c r="BG254" s="10"/>
      <c r="BH254" s="11">
        <v>0</v>
      </c>
      <c r="BI254" s="10"/>
      <c r="BJ254" s="10"/>
      <c r="BK254" s="11">
        <v>0</v>
      </c>
      <c r="BL254" s="10"/>
      <c r="BM254" s="10"/>
      <c r="BN254" s="11">
        <v>0</v>
      </c>
      <c r="BO254" s="10"/>
      <c r="BP254" s="10"/>
      <c r="BQ254" s="11">
        <v>0</v>
      </c>
      <c r="BR254" s="10"/>
      <c r="BS254" s="10"/>
      <c r="BT254" s="11">
        <v>0</v>
      </c>
      <c r="BU254" s="10"/>
      <c r="BV254" s="10"/>
      <c r="BW254" s="11">
        <v>0</v>
      </c>
      <c r="BX254" s="10"/>
      <c r="BY254" s="10"/>
      <c r="BZ254" s="11">
        <v>0</v>
      </c>
      <c r="CA254" s="10"/>
      <c r="CB254" s="10"/>
      <c r="CC254" s="11">
        <v>0</v>
      </c>
      <c r="CD254" s="10"/>
      <c r="CE254" s="10"/>
      <c r="CF254" s="11">
        <v>0</v>
      </c>
      <c r="CG254" s="10"/>
      <c r="CH254" s="10"/>
      <c r="CI254" s="11">
        <v>0</v>
      </c>
      <c r="CJ254" s="10"/>
      <c r="CK254" s="10"/>
      <c r="CL254" s="11">
        <v>0</v>
      </c>
      <c r="CM254" s="10"/>
      <c r="CN254" s="10"/>
      <c r="CO254" s="11">
        <v>0</v>
      </c>
      <c r="CP254" s="10"/>
      <c r="CQ254" s="10"/>
      <c r="CR254" s="11">
        <v>0</v>
      </c>
      <c r="CS254" s="10"/>
      <c r="CT254" s="10"/>
      <c r="CU254" s="11">
        <v>0</v>
      </c>
      <c r="CV254" s="10"/>
      <c r="CW254" s="10"/>
      <c r="CX254" s="11">
        <v>0</v>
      </c>
      <c r="CY254" s="10"/>
      <c r="CZ254" s="10"/>
      <c r="DA254" s="11">
        <v>0</v>
      </c>
      <c r="DB254" s="10"/>
      <c r="DC254" s="10"/>
      <c r="DD254" s="13">
        <v>0</v>
      </c>
      <c r="DE254" s="14"/>
    </row>
    <row r="255" spans="1:109" x14ac:dyDescent="0.35">
      <c r="A255" s="8" t="s">
        <v>571</v>
      </c>
      <c r="B255" s="9" t="s">
        <v>51</v>
      </c>
      <c r="C255" s="9" t="s">
        <v>52</v>
      </c>
      <c r="D255" s="9" t="s">
        <v>572</v>
      </c>
      <c r="E255" s="9" t="s">
        <v>54</v>
      </c>
      <c r="F255" s="9" t="s">
        <v>55</v>
      </c>
      <c r="G255" s="10"/>
      <c r="H255" s="10"/>
      <c r="I255" s="11">
        <v>0</v>
      </c>
      <c r="J255" s="10"/>
      <c r="K255" s="10"/>
      <c r="L255" s="12">
        <v>0</v>
      </c>
      <c r="M255" s="10"/>
      <c r="N255" s="10"/>
      <c r="O255" s="11">
        <v>0</v>
      </c>
      <c r="P255" s="10">
        <v>100000</v>
      </c>
      <c r="Q255" s="10"/>
      <c r="R255" s="11">
        <f t="shared" ref="R255" si="492">Q255/P255</f>
        <v>0</v>
      </c>
      <c r="S255" s="10"/>
      <c r="T255" s="10"/>
      <c r="U255" s="11">
        <v>0</v>
      </c>
      <c r="V255" s="10"/>
      <c r="W255" s="10"/>
      <c r="X255" s="11">
        <v>0</v>
      </c>
      <c r="Y255" s="10"/>
      <c r="Z255" s="10"/>
      <c r="AA255" s="11"/>
      <c r="AB255" s="10"/>
      <c r="AC255" s="10"/>
      <c r="AD255" s="11">
        <v>0</v>
      </c>
      <c r="AE255" s="10"/>
      <c r="AF255" s="10"/>
      <c r="AG255" s="11">
        <v>0</v>
      </c>
      <c r="AH255" s="10"/>
      <c r="AI255" s="10"/>
      <c r="AJ255" s="11">
        <v>0</v>
      </c>
      <c r="AK255" s="10">
        <v>200000</v>
      </c>
      <c r="AL255" s="10"/>
      <c r="AM255" s="11">
        <f t="shared" ref="AM255" si="493">AL255/AK255</f>
        <v>0</v>
      </c>
      <c r="AN255" s="10"/>
      <c r="AO255" s="10"/>
      <c r="AP255" s="11">
        <v>0</v>
      </c>
      <c r="AQ255" s="10"/>
      <c r="AR255" s="10"/>
      <c r="AS255" s="11">
        <v>0</v>
      </c>
      <c r="AT255" s="10"/>
      <c r="AU255" s="10"/>
      <c r="AV255" s="11">
        <v>0</v>
      </c>
      <c r="AW255" s="10"/>
      <c r="AX255" s="10"/>
      <c r="AY255" s="11">
        <v>0</v>
      </c>
      <c r="AZ255" s="10"/>
      <c r="BA255" s="10"/>
      <c r="BB255" s="11">
        <v>0</v>
      </c>
      <c r="BC255" s="10"/>
      <c r="BD255" s="10"/>
      <c r="BE255" s="11">
        <v>0</v>
      </c>
      <c r="BF255" s="10"/>
      <c r="BG255" s="10"/>
      <c r="BH255" s="11">
        <v>0</v>
      </c>
      <c r="BI255" s="10"/>
      <c r="BJ255" s="10"/>
      <c r="BK255" s="11">
        <v>0</v>
      </c>
      <c r="BL255" s="10"/>
      <c r="BM255" s="10"/>
      <c r="BN255" s="11">
        <v>0</v>
      </c>
      <c r="BO255" s="10"/>
      <c r="BP255" s="10"/>
      <c r="BQ255" s="11">
        <v>0</v>
      </c>
      <c r="BR255" s="10"/>
      <c r="BS255" s="10"/>
      <c r="BT255" s="11">
        <v>0</v>
      </c>
      <c r="BU255" s="10"/>
      <c r="BV255" s="10"/>
      <c r="BW255" s="11">
        <v>0</v>
      </c>
      <c r="BX255" s="10"/>
      <c r="BY255" s="10"/>
      <c r="BZ255" s="11">
        <v>0</v>
      </c>
      <c r="CA255" s="10"/>
      <c r="CB255" s="10"/>
      <c r="CC255" s="11">
        <v>0</v>
      </c>
      <c r="CD255" s="10"/>
      <c r="CE255" s="10"/>
      <c r="CF255" s="11">
        <v>0</v>
      </c>
      <c r="CG255" s="10"/>
      <c r="CH255" s="10"/>
      <c r="CI255" s="11">
        <v>0</v>
      </c>
      <c r="CJ255" s="10"/>
      <c r="CK255" s="10"/>
      <c r="CL255" s="11">
        <v>0</v>
      </c>
      <c r="CM255" s="10"/>
      <c r="CN255" s="10"/>
      <c r="CO255" s="11">
        <v>0</v>
      </c>
      <c r="CP255" s="10"/>
      <c r="CQ255" s="10"/>
      <c r="CR255" s="11">
        <v>0</v>
      </c>
      <c r="CS255" s="10"/>
      <c r="CT255" s="10"/>
      <c r="CU255" s="11">
        <v>0</v>
      </c>
      <c r="CV255" s="10"/>
      <c r="CW255" s="10"/>
      <c r="CX255" s="11">
        <v>0</v>
      </c>
      <c r="CY255" s="10">
        <v>200000</v>
      </c>
      <c r="CZ255" s="10"/>
      <c r="DA255" s="11">
        <f t="shared" si="491"/>
        <v>0</v>
      </c>
      <c r="DB255" s="10">
        <v>500000</v>
      </c>
      <c r="DC255" s="10"/>
      <c r="DD255" s="15">
        <f t="shared" si="488"/>
        <v>0</v>
      </c>
      <c r="DE255" s="16"/>
    </row>
    <row r="256" spans="1:109" x14ac:dyDescent="0.35">
      <c r="A256" s="8" t="s">
        <v>573</v>
      </c>
      <c r="B256" s="9" t="s">
        <v>51</v>
      </c>
      <c r="C256" s="9" t="s">
        <v>52</v>
      </c>
      <c r="D256" s="9" t="s">
        <v>574</v>
      </c>
      <c r="E256" s="9" t="s">
        <v>54</v>
      </c>
      <c r="F256" s="9" t="s">
        <v>55</v>
      </c>
      <c r="G256" s="10"/>
      <c r="H256" s="10"/>
      <c r="I256" s="11">
        <v>0</v>
      </c>
      <c r="J256" s="10"/>
      <c r="K256" s="10"/>
      <c r="L256" s="12">
        <v>0</v>
      </c>
      <c r="M256" s="10"/>
      <c r="N256" s="10"/>
      <c r="O256" s="11">
        <v>0</v>
      </c>
      <c r="P256" s="10"/>
      <c r="Q256" s="10"/>
      <c r="R256" s="11">
        <v>0</v>
      </c>
      <c r="S256" s="10"/>
      <c r="T256" s="10"/>
      <c r="U256" s="11">
        <v>0</v>
      </c>
      <c r="V256" s="10"/>
      <c r="W256" s="10"/>
      <c r="X256" s="11">
        <v>0</v>
      </c>
      <c r="Y256" s="10"/>
      <c r="Z256" s="10"/>
      <c r="AA256" s="11"/>
      <c r="AB256" s="10"/>
      <c r="AC256" s="10"/>
      <c r="AD256" s="11">
        <v>0</v>
      </c>
      <c r="AE256" s="10"/>
      <c r="AF256" s="10"/>
      <c r="AG256" s="11">
        <v>0</v>
      </c>
      <c r="AH256" s="10"/>
      <c r="AI256" s="10"/>
      <c r="AJ256" s="11">
        <v>0</v>
      </c>
      <c r="AK256" s="10"/>
      <c r="AL256" s="10"/>
      <c r="AM256" s="11">
        <v>0</v>
      </c>
      <c r="AN256" s="10"/>
      <c r="AO256" s="10"/>
      <c r="AP256" s="11">
        <v>0</v>
      </c>
      <c r="AQ256" s="10"/>
      <c r="AR256" s="10">
        <v>141000</v>
      </c>
      <c r="AS256" s="11">
        <v>0</v>
      </c>
      <c r="AT256" s="10"/>
      <c r="AU256" s="10"/>
      <c r="AV256" s="11">
        <v>0</v>
      </c>
      <c r="AW256" s="10"/>
      <c r="AX256" s="10"/>
      <c r="AY256" s="11">
        <v>0</v>
      </c>
      <c r="AZ256" s="10"/>
      <c r="BA256" s="10"/>
      <c r="BB256" s="11">
        <v>0</v>
      </c>
      <c r="BC256" s="10"/>
      <c r="BD256" s="10"/>
      <c r="BE256" s="11">
        <v>0</v>
      </c>
      <c r="BF256" s="10"/>
      <c r="BG256" s="10"/>
      <c r="BH256" s="11">
        <v>0</v>
      </c>
      <c r="BI256" s="10"/>
      <c r="BJ256" s="10"/>
      <c r="BK256" s="11">
        <v>0</v>
      </c>
      <c r="BL256" s="10"/>
      <c r="BM256" s="10"/>
      <c r="BN256" s="11">
        <v>0</v>
      </c>
      <c r="BO256" s="10"/>
      <c r="BP256" s="10"/>
      <c r="BQ256" s="11">
        <v>0</v>
      </c>
      <c r="BR256" s="10"/>
      <c r="BS256" s="10"/>
      <c r="BT256" s="11">
        <v>0</v>
      </c>
      <c r="BU256" s="10"/>
      <c r="BV256" s="10"/>
      <c r="BW256" s="11">
        <v>0</v>
      </c>
      <c r="BX256" s="10"/>
      <c r="BY256" s="10"/>
      <c r="BZ256" s="11">
        <v>0</v>
      </c>
      <c r="CA256" s="10"/>
      <c r="CB256" s="10"/>
      <c r="CC256" s="11">
        <v>0</v>
      </c>
      <c r="CD256" s="10"/>
      <c r="CE256" s="10"/>
      <c r="CF256" s="11">
        <v>0</v>
      </c>
      <c r="CG256" s="10"/>
      <c r="CH256" s="10"/>
      <c r="CI256" s="11">
        <v>0</v>
      </c>
      <c r="CJ256" s="10"/>
      <c r="CK256" s="10"/>
      <c r="CL256" s="11">
        <v>0</v>
      </c>
      <c r="CM256" s="10"/>
      <c r="CN256" s="10"/>
      <c r="CO256" s="11">
        <v>0</v>
      </c>
      <c r="CP256" s="10"/>
      <c r="CQ256" s="10"/>
      <c r="CR256" s="11">
        <v>0</v>
      </c>
      <c r="CS256" s="10"/>
      <c r="CT256" s="10"/>
      <c r="CU256" s="11">
        <v>0</v>
      </c>
      <c r="CV256" s="10"/>
      <c r="CW256" s="10"/>
      <c r="CX256" s="11">
        <v>0</v>
      </c>
      <c r="CY256" s="10"/>
      <c r="CZ256" s="10"/>
      <c r="DA256" s="11">
        <v>0</v>
      </c>
      <c r="DB256" s="10"/>
      <c r="DC256" s="10">
        <f t="shared" si="487"/>
        <v>141000</v>
      </c>
      <c r="DD256" s="13">
        <v>0</v>
      </c>
      <c r="DE256" s="14"/>
    </row>
    <row r="257" spans="1:109" x14ac:dyDescent="0.35">
      <c r="A257" s="8" t="s">
        <v>575</v>
      </c>
      <c r="B257" s="9" t="s">
        <v>51</v>
      </c>
      <c r="C257" s="9" t="s">
        <v>52</v>
      </c>
      <c r="D257" s="9" t="s">
        <v>576</v>
      </c>
      <c r="E257" s="9" t="s">
        <v>54</v>
      </c>
      <c r="F257" s="9" t="s">
        <v>55</v>
      </c>
      <c r="G257" s="10"/>
      <c r="H257" s="10"/>
      <c r="I257" s="11">
        <v>0</v>
      </c>
      <c r="J257" s="10"/>
      <c r="K257" s="10"/>
      <c r="L257" s="12">
        <v>0</v>
      </c>
      <c r="M257" s="10"/>
      <c r="N257" s="10"/>
      <c r="O257" s="11">
        <v>0</v>
      </c>
      <c r="P257" s="10"/>
      <c r="Q257" s="10"/>
      <c r="R257" s="11">
        <v>0</v>
      </c>
      <c r="S257" s="10"/>
      <c r="T257" s="10"/>
      <c r="U257" s="11">
        <v>0</v>
      </c>
      <c r="V257" s="10"/>
      <c r="W257" s="10"/>
      <c r="X257" s="11">
        <v>0</v>
      </c>
      <c r="Y257" s="10"/>
      <c r="Z257" s="10"/>
      <c r="AA257" s="11"/>
      <c r="AB257" s="10"/>
      <c r="AC257" s="10"/>
      <c r="AD257" s="11">
        <v>0</v>
      </c>
      <c r="AE257" s="10"/>
      <c r="AF257" s="10"/>
      <c r="AG257" s="11">
        <v>0</v>
      </c>
      <c r="AH257" s="10"/>
      <c r="AI257" s="10"/>
      <c r="AJ257" s="11">
        <v>0</v>
      </c>
      <c r="AK257" s="10"/>
      <c r="AL257" s="10"/>
      <c r="AM257" s="11">
        <v>0</v>
      </c>
      <c r="AN257" s="10"/>
      <c r="AO257" s="10"/>
      <c r="AP257" s="11">
        <v>0</v>
      </c>
      <c r="AQ257" s="10"/>
      <c r="AR257" s="10"/>
      <c r="AS257" s="11">
        <v>0</v>
      </c>
      <c r="AT257" s="10"/>
      <c r="AU257" s="10"/>
      <c r="AV257" s="11">
        <v>0</v>
      </c>
      <c r="AW257" s="10"/>
      <c r="AX257" s="10"/>
      <c r="AY257" s="11">
        <v>0</v>
      </c>
      <c r="AZ257" s="10"/>
      <c r="BA257" s="10"/>
      <c r="BB257" s="11">
        <v>0</v>
      </c>
      <c r="BC257" s="10"/>
      <c r="BD257" s="10"/>
      <c r="BE257" s="11">
        <v>0</v>
      </c>
      <c r="BF257" s="10"/>
      <c r="BG257" s="10"/>
      <c r="BH257" s="11">
        <v>0</v>
      </c>
      <c r="BI257" s="10"/>
      <c r="BJ257" s="10"/>
      <c r="BK257" s="11">
        <v>0</v>
      </c>
      <c r="BL257" s="10"/>
      <c r="BM257" s="10"/>
      <c r="BN257" s="11">
        <v>0</v>
      </c>
      <c r="BO257" s="10"/>
      <c r="BP257" s="10"/>
      <c r="BQ257" s="11">
        <v>0</v>
      </c>
      <c r="BR257" s="10"/>
      <c r="BS257" s="10"/>
      <c r="BT257" s="11">
        <v>0</v>
      </c>
      <c r="BU257" s="10"/>
      <c r="BV257" s="10"/>
      <c r="BW257" s="11">
        <v>0</v>
      </c>
      <c r="BX257" s="10"/>
      <c r="BY257" s="10"/>
      <c r="BZ257" s="11">
        <v>0</v>
      </c>
      <c r="CA257" s="10"/>
      <c r="CB257" s="10"/>
      <c r="CC257" s="11">
        <v>0</v>
      </c>
      <c r="CD257" s="10"/>
      <c r="CE257" s="10"/>
      <c r="CF257" s="11">
        <v>0</v>
      </c>
      <c r="CG257" s="10"/>
      <c r="CH257" s="10"/>
      <c r="CI257" s="11">
        <v>0</v>
      </c>
      <c r="CJ257" s="10"/>
      <c r="CK257" s="10"/>
      <c r="CL257" s="11">
        <v>0</v>
      </c>
      <c r="CM257" s="10"/>
      <c r="CN257" s="10"/>
      <c r="CO257" s="11">
        <v>0</v>
      </c>
      <c r="CP257" s="10"/>
      <c r="CQ257" s="10"/>
      <c r="CR257" s="11">
        <v>0</v>
      </c>
      <c r="CS257" s="10"/>
      <c r="CT257" s="10"/>
      <c r="CU257" s="11">
        <v>0</v>
      </c>
      <c r="CV257" s="10"/>
      <c r="CW257" s="10"/>
      <c r="CX257" s="11">
        <v>0</v>
      </c>
      <c r="CY257" s="10"/>
      <c r="CZ257" s="10"/>
      <c r="DA257" s="11">
        <v>0</v>
      </c>
      <c r="DB257" s="10"/>
      <c r="DC257" s="10"/>
      <c r="DD257" s="13">
        <v>0</v>
      </c>
      <c r="DE257" s="14"/>
    </row>
    <row r="258" spans="1:109" x14ac:dyDescent="0.35">
      <c r="A258" s="8" t="s">
        <v>577</v>
      </c>
      <c r="B258" s="9" t="s">
        <v>172</v>
      </c>
      <c r="C258" s="9" t="s">
        <v>52</v>
      </c>
      <c r="D258" s="9" t="s">
        <v>578</v>
      </c>
      <c r="E258" s="9" t="s">
        <v>54</v>
      </c>
      <c r="F258" s="9" t="s">
        <v>55</v>
      </c>
      <c r="G258" s="10"/>
      <c r="H258" s="10"/>
      <c r="I258" s="11">
        <v>0</v>
      </c>
      <c r="J258" s="10"/>
      <c r="K258" s="10"/>
      <c r="L258" s="12">
        <v>0</v>
      </c>
      <c r="M258" s="10"/>
      <c r="N258" s="10"/>
      <c r="O258" s="11">
        <v>0</v>
      </c>
      <c r="P258" s="10"/>
      <c r="Q258" s="10"/>
      <c r="R258" s="11">
        <v>0</v>
      </c>
      <c r="S258" s="10"/>
      <c r="T258" s="10"/>
      <c r="U258" s="11">
        <v>0</v>
      </c>
      <c r="V258" s="10"/>
      <c r="W258" s="10"/>
      <c r="X258" s="11">
        <v>0</v>
      </c>
      <c r="Y258" s="10"/>
      <c r="Z258" s="10"/>
      <c r="AA258" s="11"/>
      <c r="AB258" s="10"/>
      <c r="AC258" s="10"/>
      <c r="AD258" s="11">
        <v>0</v>
      </c>
      <c r="AE258" s="10"/>
      <c r="AF258" s="10"/>
      <c r="AG258" s="11">
        <v>0</v>
      </c>
      <c r="AH258" s="10"/>
      <c r="AI258" s="10"/>
      <c r="AJ258" s="11">
        <v>0</v>
      </c>
      <c r="AK258" s="10"/>
      <c r="AL258" s="10"/>
      <c r="AM258" s="11">
        <v>0</v>
      </c>
      <c r="AN258" s="10"/>
      <c r="AO258" s="10"/>
      <c r="AP258" s="11">
        <v>0</v>
      </c>
      <c r="AQ258" s="10"/>
      <c r="AR258" s="10"/>
      <c r="AS258" s="11">
        <v>0</v>
      </c>
      <c r="AT258" s="10"/>
      <c r="AU258" s="10"/>
      <c r="AV258" s="11">
        <v>0</v>
      </c>
      <c r="AW258" s="10"/>
      <c r="AX258" s="10"/>
      <c r="AY258" s="11">
        <v>0</v>
      </c>
      <c r="AZ258" s="10"/>
      <c r="BA258" s="10"/>
      <c r="BB258" s="11">
        <v>0</v>
      </c>
      <c r="BC258" s="10"/>
      <c r="BD258" s="10"/>
      <c r="BE258" s="11">
        <v>0</v>
      </c>
      <c r="BF258" s="10"/>
      <c r="BG258" s="10"/>
      <c r="BH258" s="11">
        <v>0</v>
      </c>
      <c r="BI258" s="10"/>
      <c r="BJ258" s="10"/>
      <c r="BK258" s="11">
        <v>0</v>
      </c>
      <c r="BL258" s="10"/>
      <c r="BM258" s="10"/>
      <c r="BN258" s="11">
        <v>0</v>
      </c>
      <c r="BO258" s="10"/>
      <c r="BP258" s="10"/>
      <c r="BQ258" s="11">
        <v>0</v>
      </c>
      <c r="BR258" s="10"/>
      <c r="BS258" s="10"/>
      <c r="BT258" s="11">
        <v>0</v>
      </c>
      <c r="BU258" s="10"/>
      <c r="BV258" s="10"/>
      <c r="BW258" s="11">
        <v>0</v>
      </c>
      <c r="BX258" s="10"/>
      <c r="BY258" s="10"/>
      <c r="BZ258" s="11">
        <v>0</v>
      </c>
      <c r="CA258" s="10"/>
      <c r="CB258" s="10"/>
      <c r="CC258" s="11">
        <v>0</v>
      </c>
      <c r="CD258" s="10"/>
      <c r="CE258" s="10"/>
      <c r="CF258" s="11">
        <v>0</v>
      </c>
      <c r="CG258" s="10"/>
      <c r="CH258" s="10"/>
      <c r="CI258" s="11">
        <v>0</v>
      </c>
      <c r="CJ258" s="10"/>
      <c r="CK258" s="10"/>
      <c r="CL258" s="11">
        <v>0</v>
      </c>
      <c r="CM258" s="10"/>
      <c r="CN258" s="10"/>
      <c r="CO258" s="11">
        <v>0</v>
      </c>
      <c r="CP258" s="10"/>
      <c r="CQ258" s="10"/>
      <c r="CR258" s="11">
        <v>0</v>
      </c>
      <c r="CS258" s="10"/>
      <c r="CT258" s="10"/>
      <c r="CU258" s="11">
        <v>0</v>
      </c>
      <c r="CV258" s="10"/>
      <c r="CW258" s="10"/>
      <c r="CX258" s="11">
        <v>0</v>
      </c>
      <c r="CY258" s="10"/>
      <c r="CZ258" s="10"/>
      <c r="DA258" s="11">
        <v>0</v>
      </c>
      <c r="DB258" s="10"/>
      <c r="DC258" s="10"/>
      <c r="DD258" s="13">
        <v>0</v>
      </c>
      <c r="DE258" s="14"/>
    </row>
    <row r="259" spans="1:109" x14ac:dyDescent="0.35">
      <c r="A259" s="8" t="s">
        <v>579</v>
      </c>
      <c r="B259" s="9" t="s">
        <v>111</v>
      </c>
      <c r="C259" s="9" t="s">
        <v>52</v>
      </c>
      <c r="D259" s="9" t="s">
        <v>580</v>
      </c>
      <c r="E259" s="9" t="s">
        <v>54</v>
      </c>
      <c r="F259" s="9" t="s">
        <v>55</v>
      </c>
      <c r="G259" s="10"/>
      <c r="H259" s="10"/>
      <c r="I259" s="11">
        <v>0</v>
      </c>
      <c r="J259" s="10"/>
      <c r="K259" s="10"/>
      <c r="L259" s="12">
        <v>0</v>
      </c>
      <c r="M259" s="10"/>
      <c r="N259" s="10"/>
      <c r="O259" s="11">
        <v>0</v>
      </c>
      <c r="P259" s="10"/>
      <c r="Q259" s="10"/>
      <c r="R259" s="11">
        <v>0</v>
      </c>
      <c r="S259" s="10"/>
      <c r="T259" s="10"/>
      <c r="U259" s="11">
        <v>0</v>
      </c>
      <c r="V259" s="10"/>
      <c r="W259" s="10"/>
      <c r="X259" s="11">
        <v>0</v>
      </c>
      <c r="Y259" s="10"/>
      <c r="Z259" s="10"/>
      <c r="AA259" s="11"/>
      <c r="AB259" s="10">
        <v>20000</v>
      </c>
      <c r="AC259" s="10"/>
      <c r="AD259" s="11">
        <v>0</v>
      </c>
      <c r="AE259" s="10"/>
      <c r="AF259" s="10"/>
      <c r="AG259" s="11">
        <v>0</v>
      </c>
      <c r="AH259" s="10"/>
      <c r="AI259" s="10"/>
      <c r="AJ259" s="11">
        <v>0</v>
      </c>
      <c r="AK259" s="10"/>
      <c r="AL259" s="10"/>
      <c r="AM259" s="11">
        <v>0</v>
      </c>
      <c r="AN259" s="10"/>
      <c r="AO259" s="10"/>
      <c r="AP259" s="11">
        <v>0</v>
      </c>
      <c r="AQ259" s="10"/>
      <c r="AR259" s="10"/>
      <c r="AS259" s="11">
        <v>0</v>
      </c>
      <c r="AT259" s="10"/>
      <c r="AU259" s="10"/>
      <c r="AV259" s="11">
        <v>0</v>
      </c>
      <c r="AW259" s="10"/>
      <c r="AX259" s="10"/>
      <c r="AY259" s="11">
        <v>0</v>
      </c>
      <c r="AZ259" s="10"/>
      <c r="BA259" s="10"/>
      <c r="BB259" s="11">
        <v>0</v>
      </c>
      <c r="BC259" s="10"/>
      <c r="BD259" s="10"/>
      <c r="BE259" s="11">
        <v>0</v>
      </c>
      <c r="BF259" s="10"/>
      <c r="BG259" s="10"/>
      <c r="BH259" s="11">
        <v>0</v>
      </c>
      <c r="BI259" s="10"/>
      <c r="BJ259" s="10"/>
      <c r="BK259" s="11">
        <v>0</v>
      </c>
      <c r="BL259" s="10"/>
      <c r="BM259" s="10"/>
      <c r="BN259" s="11">
        <v>0</v>
      </c>
      <c r="BO259" s="10"/>
      <c r="BP259" s="10"/>
      <c r="BQ259" s="11">
        <v>0</v>
      </c>
      <c r="BR259" s="10"/>
      <c r="BS259" s="10"/>
      <c r="BT259" s="11">
        <v>0</v>
      </c>
      <c r="BU259" s="10"/>
      <c r="BV259" s="10"/>
      <c r="BW259" s="11">
        <v>0</v>
      </c>
      <c r="BX259" s="10"/>
      <c r="BY259" s="10"/>
      <c r="BZ259" s="11">
        <v>0</v>
      </c>
      <c r="CA259" s="10"/>
      <c r="CB259" s="10"/>
      <c r="CC259" s="11">
        <v>0</v>
      </c>
      <c r="CD259" s="10"/>
      <c r="CE259" s="10"/>
      <c r="CF259" s="11">
        <v>0</v>
      </c>
      <c r="CG259" s="10"/>
      <c r="CH259" s="10"/>
      <c r="CI259" s="11">
        <v>0</v>
      </c>
      <c r="CJ259" s="10"/>
      <c r="CK259" s="10"/>
      <c r="CL259" s="11">
        <v>0</v>
      </c>
      <c r="CM259" s="10"/>
      <c r="CN259" s="10"/>
      <c r="CO259" s="11">
        <v>0</v>
      </c>
      <c r="CP259" s="10"/>
      <c r="CQ259" s="10"/>
      <c r="CR259" s="11">
        <v>0</v>
      </c>
      <c r="CS259" s="10"/>
      <c r="CT259" s="10"/>
      <c r="CU259" s="11">
        <v>0</v>
      </c>
      <c r="CV259" s="10"/>
      <c r="CW259" s="10"/>
      <c r="CX259" s="11">
        <v>0</v>
      </c>
      <c r="CY259" s="10"/>
      <c r="CZ259" s="10"/>
      <c r="DA259" s="11">
        <v>0</v>
      </c>
      <c r="DB259" s="10">
        <v>20000</v>
      </c>
      <c r="DC259" s="10"/>
      <c r="DD259" s="15">
        <f t="shared" si="488"/>
        <v>0</v>
      </c>
      <c r="DE259" s="16"/>
    </row>
    <row r="260" spans="1:109" x14ac:dyDescent="0.35">
      <c r="A260" s="8" t="s">
        <v>581</v>
      </c>
      <c r="B260" s="9" t="s">
        <v>74</v>
      </c>
      <c r="C260" s="9" t="s">
        <v>52</v>
      </c>
      <c r="D260" s="9" t="s">
        <v>582</v>
      </c>
      <c r="E260" s="9" t="s">
        <v>54</v>
      </c>
      <c r="F260" s="9" t="s">
        <v>55</v>
      </c>
      <c r="G260" s="10"/>
      <c r="H260" s="10"/>
      <c r="I260" s="11">
        <v>0</v>
      </c>
      <c r="J260" s="10"/>
      <c r="K260" s="10"/>
      <c r="L260" s="12">
        <v>0</v>
      </c>
      <c r="M260" s="10"/>
      <c r="N260" s="10"/>
      <c r="O260" s="11">
        <v>0</v>
      </c>
      <c r="P260" s="10"/>
      <c r="Q260" s="10"/>
      <c r="R260" s="11">
        <v>0</v>
      </c>
      <c r="S260" s="10"/>
      <c r="T260" s="10"/>
      <c r="U260" s="11">
        <v>0</v>
      </c>
      <c r="V260" s="10"/>
      <c r="W260" s="10"/>
      <c r="X260" s="11">
        <v>0</v>
      </c>
      <c r="Y260" s="10"/>
      <c r="Z260" s="10"/>
      <c r="AA260" s="11"/>
      <c r="AB260" s="10"/>
      <c r="AC260" s="10"/>
      <c r="AD260" s="11">
        <v>0</v>
      </c>
      <c r="AE260" s="10"/>
      <c r="AF260" s="10"/>
      <c r="AG260" s="11">
        <v>0</v>
      </c>
      <c r="AH260" s="10"/>
      <c r="AI260" s="10"/>
      <c r="AJ260" s="11">
        <v>0</v>
      </c>
      <c r="AK260" s="10"/>
      <c r="AL260" s="10"/>
      <c r="AM260" s="11">
        <v>0</v>
      </c>
      <c r="AN260" s="10"/>
      <c r="AO260" s="10"/>
      <c r="AP260" s="11">
        <v>0</v>
      </c>
      <c r="AQ260" s="10"/>
      <c r="AR260" s="10"/>
      <c r="AS260" s="11">
        <v>0</v>
      </c>
      <c r="AT260" s="10"/>
      <c r="AU260" s="10"/>
      <c r="AV260" s="11">
        <v>0</v>
      </c>
      <c r="AW260" s="10"/>
      <c r="AX260" s="10"/>
      <c r="AY260" s="11">
        <v>0</v>
      </c>
      <c r="AZ260" s="10"/>
      <c r="BA260" s="10"/>
      <c r="BB260" s="11">
        <v>0</v>
      </c>
      <c r="BC260" s="10"/>
      <c r="BD260" s="10"/>
      <c r="BE260" s="11">
        <v>0</v>
      </c>
      <c r="BF260" s="10"/>
      <c r="BG260" s="10"/>
      <c r="BH260" s="11">
        <v>0</v>
      </c>
      <c r="BI260" s="10"/>
      <c r="BJ260" s="10"/>
      <c r="BK260" s="11">
        <v>0</v>
      </c>
      <c r="BL260" s="10"/>
      <c r="BM260" s="10"/>
      <c r="BN260" s="11">
        <v>0</v>
      </c>
      <c r="BO260" s="10"/>
      <c r="BP260" s="10"/>
      <c r="BQ260" s="11">
        <v>0</v>
      </c>
      <c r="BR260" s="10"/>
      <c r="BS260" s="10"/>
      <c r="BT260" s="11">
        <v>0</v>
      </c>
      <c r="BU260" s="10"/>
      <c r="BV260" s="10"/>
      <c r="BW260" s="11">
        <v>0</v>
      </c>
      <c r="BX260" s="10"/>
      <c r="BY260" s="10"/>
      <c r="BZ260" s="11">
        <v>0</v>
      </c>
      <c r="CA260" s="10"/>
      <c r="CB260" s="10"/>
      <c r="CC260" s="11">
        <v>0</v>
      </c>
      <c r="CD260" s="10"/>
      <c r="CE260" s="10"/>
      <c r="CF260" s="11">
        <v>0</v>
      </c>
      <c r="CG260" s="10"/>
      <c r="CH260" s="10"/>
      <c r="CI260" s="11">
        <v>0</v>
      </c>
      <c r="CJ260" s="10"/>
      <c r="CK260" s="10"/>
      <c r="CL260" s="11">
        <v>0</v>
      </c>
      <c r="CM260" s="10"/>
      <c r="CN260" s="10"/>
      <c r="CO260" s="11">
        <v>0</v>
      </c>
      <c r="CP260" s="10"/>
      <c r="CQ260" s="10"/>
      <c r="CR260" s="11">
        <v>0</v>
      </c>
      <c r="CS260" s="10"/>
      <c r="CT260" s="10"/>
      <c r="CU260" s="11">
        <v>0</v>
      </c>
      <c r="CV260" s="10"/>
      <c r="CW260" s="10"/>
      <c r="CX260" s="11">
        <v>0</v>
      </c>
      <c r="CY260" s="10"/>
      <c r="CZ260" s="10"/>
      <c r="DA260" s="11">
        <v>0</v>
      </c>
      <c r="DB260" s="10"/>
      <c r="DC260" s="10"/>
      <c r="DD260" s="13">
        <v>0</v>
      </c>
      <c r="DE260" s="14"/>
    </row>
    <row r="261" spans="1:109" x14ac:dyDescent="0.35">
      <c r="A261" s="8" t="s">
        <v>583</v>
      </c>
      <c r="B261" s="9" t="s">
        <v>74</v>
      </c>
      <c r="C261" s="9" t="s">
        <v>52</v>
      </c>
      <c r="D261" s="9" t="s">
        <v>584</v>
      </c>
      <c r="E261" s="9" t="s">
        <v>54</v>
      </c>
      <c r="F261" s="9" t="s">
        <v>55</v>
      </c>
      <c r="G261" s="10"/>
      <c r="H261" s="10"/>
      <c r="I261" s="11">
        <v>0</v>
      </c>
      <c r="J261" s="10"/>
      <c r="K261" s="10"/>
      <c r="L261" s="12">
        <v>0</v>
      </c>
      <c r="M261" s="10"/>
      <c r="N261" s="10"/>
      <c r="O261" s="11">
        <v>0</v>
      </c>
      <c r="P261" s="10"/>
      <c r="Q261" s="10"/>
      <c r="R261" s="11">
        <v>0</v>
      </c>
      <c r="S261" s="10"/>
      <c r="T261" s="10"/>
      <c r="U261" s="11">
        <v>0</v>
      </c>
      <c r="V261" s="10"/>
      <c r="W261" s="10"/>
      <c r="X261" s="11">
        <v>0</v>
      </c>
      <c r="Y261" s="10"/>
      <c r="Z261" s="10"/>
      <c r="AA261" s="11"/>
      <c r="AB261" s="10"/>
      <c r="AC261" s="10"/>
      <c r="AD261" s="11">
        <v>0</v>
      </c>
      <c r="AE261" s="10"/>
      <c r="AF261" s="10"/>
      <c r="AG261" s="11">
        <v>0</v>
      </c>
      <c r="AH261" s="10"/>
      <c r="AI261" s="10"/>
      <c r="AJ261" s="11">
        <v>0</v>
      </c>
      <c r="AK261" s="10"/>
      <c r="AL261" s="10"/>
      <c r="AM261" s="11">
        <v>0</v>
      </c>
      <c r="AN261" s="10"/>
      <c r="AO261" s="10"/>
      <c r="AP261" s="11">
        <v>0</v>
      </c>
      <c r="AQ261" s="10"/>
      <c r="AR261" s="10"/>
      <c r="AS261" s="11">
        <v>0</v>
      </c>
      <c r="AT261" s="10"/>
      <c r="AU261" s="10"/>
      <c r="AV261" s="11">
        <v>0</v>
      </c>
      <c r="AW261" s="10"/>
      <c r="AX261" s="10"/>
      <c r="AY261" s="11">
        <v>0</v>
      </c>
      <c r="AZ261" s="10"/>
      <c r="BA261" s="10"/>
      <c r="BB261" s="11">
        <v>0</v>
      </c>
      <c r="BC261" s="10"/>
      <c r="BD261" s="10"/>
      <c r="BE261" s="11">
        <v>0</v>
      </c>
      <c r="BF261" s="10"/>
      <c r="BG261" s="10"/>
      <c r="BH261" s="11">
        <v>0</v>
      </c>
      <c r="BI261" s="10"/>
      <c r="BJ261" s="10"/>
      <c r="BK261" s="11">
        <v>0</v>
      </c>
      <c r="BL261" s="10"/>
      <c r="BM261" s="10"/>
      <c r="BN261" s="11">
        <v>0</v>
      </c>
      <c r="BO261" s="10"/>
      <c r="BP261" s="10"/>
      <c r="BQ261" s="11">
        <v>0</v>
      </c>
      <c r="BR261" s="10"/>
      <c r="BS261" s="10"/>
      <c r="BT261" s="11">
        <v>0</v>
      </c>
      <c r="BU261" s="10"/>
      <c r="BV261" s="10"/>
      <c r="BW261" s="11">
        <v>0</v>
      </c>
      <c r="BX261" s="10"/>
      <c r="BY261" s="10"/>
      <c r="BZ261" s="11">
        <v>0</v>
      </c>
      <c r="CA261" s="10"/>
      <c r="CB261" s="10"/>
      <c r="CC261" s="11">
        <v>0</v>
      </c>
      <c r="CD261" s="10"/>
      <c r="CE261" s="10"/>
      <c r="CF261" s="11">
        <v>0</v>
      </c>
      <c r="CG261" s="10"/>
      <c r="CH261" s="10"/>
      <c r="CI261" s="11">
        <v>0</v>
      </c>
      <c r="CJ261" s="10"/>
      <c r="CK261" s="10"/>
      <c r="CL261" s="11">
        <v>0</v>
      </c>
      <c r="CM261" s="10"/>
      <c r="CN261" s="10"/>
      <c r="CO261" s="11">
        <v>0</v>
      </c>
      <c r="CP261" s="10"/>
      <c r="CQ261" s="10"/>
      <c r="CR261" s="11">
        <v>0</v>
      </c>
      <c r="CS261" s="10"/>
      <c r="CT261" s="10"/>
      <c r="CU261" s="11">
        <v>0</v>
      </c>
      <c r="CV261" s="10"/>
      <c r="CW261" s="10"/>
      <c r="CX261" s="11">
        <v>0</v>
      </c>
      <c r="CY261" s="10"/>
      <c r="CZ261" s="10"/>
      <c r="DA261" s="11">
        <v>0</v>
      </c>
      <c r="DB261" s="10"/>
      <c r="DC261" s="10"/>
      <c r="DD261" s="13">
        <v>0</v>
      </c>
      <c r="DE261" s="14"/>
    </row>
    <row r="262" spans="1:109" x14ac:dyDescent="0.35">
      <c r="A262" s="8" t="s">
        <v>585</v>
      </c>
      <c r="B262" s="9" t="s">
        <v>172</v>
      </c>
      <c r="C262" s="9" t="s">
        <v>52</v>
      </c>
      <c r="D262" s="9" t="s">
        <v>586</v>
      </c>
      <c r="E262" s="9" t="s">
        <v>54</v>
      </c>
      <c r="F262" s="9" t="s">
        <v>55</v>
      </c>
      <c r="G262" s="10"/>
      <c r="H262" s="10"/>
      <c r="I262" s="11">
        <v>0</v>
      </c>
      <c r="J262" s="10"/>
      <c r="K262" s="10"/>
      <c r="L262" s="12">
        <v>0</v>
      </c>
      <c r="M262" s="10"/>
      <c r="N262" s="10"/>
      <c r="O262" s="11">
        <v>0</v>
      </c>
      <c r="P262" s="10"/>
      <c r="Q262" s="10"/>
      <c r="R262" s="11">
        <v>0</v>
      </c>
      <c r="S262" s="10"/>
      <c r="T262" s="10"/>
      <c r="U262" s="11">
        <v>0</v>
      </c>
      <c r="V262" s="10"/>
      <c r="W262" s="10"/>
      <c r="X262" s="11">
        <v>0</v>
      </c>
      <c r="Y262" s="10"/>
      <c r="Z262" s="10"/>
      <c r="AA262" s="11"/>
      <c r="AB262" s="10"/>
      <c r="AC262" s="10"/>
      <c r="AD262" s="11">
        <v>0</v>
      </c>
      <c r="AE262" s="10"/>
      <c r="AF262" s="10"/>
      <c r="AG262" s="11">
        <v>0</v>
      </c>
      <c r="AH262" s="10"/>
      <c r="AI262" s="10"/>
      <c r="AJ262" s="11">
        <v>0</v>
      </c>
      <c r="AK262" s="10"/>
      <c r="AL262" s="10"/>
      <c r="AM262" s="11">
        <v>0</v>
      </c>
      <c r="AN262" s="10"/>
      <c r="AO262" s="10"/>
      <c r="AP262" s="11">
        <v>0</v>
      </c>
      <c r="AQ262" s="10"/>
      <c r="AR262" s="10"/>
      <c r="AS262" s="11">
        <v>0</v>
      </c>
      <c r="AT262" s="10"/>
      <c r="AU262" s="10"/>
      <c r="AV262" s="11">
        <v>0</v>
      </c>
      <c r="AW262" s="10"/>
      <c r="AX262" s="10"/>
      <c r="AY262" s="11">
        <v>0</v>
      </c>
      <c r="AZ262" s="10"/>
      <c r="BA262" s="10"/>
      <c r="BB262" s="11">
        <v>0</v>
      </c>
      <c r="BC262" s="10"/>
      <c r="BD262" s="10"/>
      <c r="BE262" s="11">
        <v>0</v>
      </c>
      <c r="BF262" s="10"/>
      <c r="BG262" s="10"/>
      <c r="BH262" s="11">
        <v>0</v>
      </c>
      <c r="BI262" s="10"/>
      <c r="BJ262" s="10"/>
      <c r="BK262" s="11">
        <v>0</v>
      </c>
      <c r="BL262" s="10"/>
      <c r="BM262" s="10"/>
      <c r="BN262" s="11">
        <v>0</v>
      </c>
      <c r="BO262" s="10"/>
      <c r="BP262" s="10"/>
      <c r="BQ262" s="11">
        <v>0</v>
      </c>
      <c r="BR262" s="10"/>
      <c r="BS262" s="10"/>
      <c r="BT262" s="11">
        <v>0</v>
      </c>
      <c r="BU262" s="10"/>
      <c r="BV262" s="10"/>
      <c r="BW262" s="11">
        <v>0</v>
      </c>
      <c r="BX262" s="10"/>
      <c r="BY262" s="10"/>
      <c r="BZ262" s="11">
        <v>0</v>
      </c>
      <c r="CA262" s="10"/>
      <c r="CB262" s="10"/>
      <c r="CC262" s="11">
        <v>0</v>
      </c>
      <c r="CD262" s="10"/>
      <c r="CE262" s="10"/>
      <c r="CF262" s="11">
        <v>0</v>
      </c>
      <c r="CG262" s="10"/>
      <c r="CH262" s="10"/>
      <c r="CI262" s="11">
        <v>0</v>
      </c>
      <c r="CJ262" s="10"/>
      <c r="CK262" s="10"/>
      <c r="CL262" s="11">
        <v>0</v>
      </c>
      <c r="CM262" s="10"/>
      <c r="CN262" s="10"/>
      <c r="CO262" s="11">
        <v>0</v>
      </c>
      <c r="CP262" s="10"/>
      <c r="CQ262" s="10"/>
      <c r="CR262" s="11">
        <v>0</v>
      </c>
      <c r="CS262" s="10"/>
      <c r="CT262" s="10"/>
      <c r="CU262" s="11">
        <v>0</v>
      </c>
      <c r="CV262" s="10"/>
      <c r="CW262" s="10"/>
      <c r="CX262" s="11">
        <v>0</v>
      </c>
      <c r="CY262" s="10"/>
      <c r="CZ262" s="10"/>
      <c r="DA262" s="11">
        <v>0</v>
      </c>
      <c r="DB262" s="10"/>
      <c r="DC262" s="10"/>
      <c r="DD262" s="13">
        <v>0</v>
      </c>
      <c r="DE262" s="14"/>
    </row>
    <row r="263" spans="1:109" x14ac:dyDescent="0.35">
      <c r="A263" s="8" t="s">
        <v>587</v>
      </c>
      <c r="B263" s="9" t="s">
        <v>51</v>
      </c>
      <c r="C263" s="9" t="s">
        <v>52</v>
      </c>
      <c r="D263" s="9" t="s">
        <v>588</v>
      </c>
      <c r="E263" s="9" t="s">
        <v>54</v>
      </c>
      <c r="F263" s="9" t="s">
        <v>55</v>
      </c>
      <c r="G263" s="10"/>
      <c r="H263" s="10"/>
      <c r="I263" s="11">
        <v>0</v>
      </c>
      <c r="J263" s="10"/>
      <c r="K263" s="10"/>
      <c r="L263" s="12">
        <v>0</v>
      </c>
      <c r="M263" s="10"/>
      <c r="N263" s="10"/>
      <c r="O263" s="11">
        <v>0</v>
      </c>
      <c r="P263" s="10"/>
      <c r="Q263" s="10"/>
      <c r="R263" s="11">
        <v>0</v>
      </c>
      <c r="S263" s="10"/>
      <c r="T263" s="10"/>
      <c r="U263" s="11">
        <v>0</v>
      </c>
      <c r="V263" s="10"/>
      <c r="W263" s="10"/>
      <c r="X263" s="11">
        <v>0</v>
      </c>
      <c r="Y263" s="10"/>
      <c r="Z263" s="10">
        <v>39950</v>
      </c>
      <c r="AA263" s="11"/>
      <c r="AB263" s="10"/>
      <c r="AC263" s="10">
        <v>14000</v>
      </c>
      <c r="AD263" s="11">
        <v>0</v>
      </c>
      <c r="AE263" s="10"/>
      <c r="AF263" s="10">
        <v>477550</v>
      </c>
      <c r="AG263" s="11">
        <v>0</v>
      </c>
      <c r="AH263" s="10"/>
      <c r="AI263" s="10"/>
      <c r="AJ263" s="11">
        <v>0</v>
      </c>
      <c r="AK263" s="10"/>
      <c r="AL263" s="10"/>
      <c r="AM263" s="11">
        <v>0</v>
      </c>
      <c r="AN263" s="10"/>
      <c r="AO263" s="10"/>
      <c r="AP263" s="11">
        <v>0</v>
      </c>
      <c r="AQ263" s="10"/>
      <c r="AR263" s="10"/>
      <c r="AS263" s="11">
        <v>0</v>
      </c>
      <c r="AT263" s="10"/>
      <c r="AU263" s="10"/>
      <c r="AV263" s="11">
        <v>0</v>
      </c>
      <c r="AW263" s="10"/>
      <c r="AX263" s="10"/>
      <c r="AY263" s="11">
        <v>0</v>
      </c>
      <c r="AZ263" s="10"/>
      <c r="BA263" s="10"/>
      <c r="BB263" s="11">
        <v>0</v>
      </c>
      <c r="BC263" s="10"/>
      <c r="BD263" s="10"/>
      <c r="BE263" s="11">
        <v>0</v>
      </c>
      <c r="BF263" s="10"/>
      <c r="BG263" s="10">
        <f>VLOOKUP(A:A,'[1]2026 Customer Brand Sales'!$A:$BA,53,0)</f>
        <v>51670</v>
      </c>
      <c r="BH263" s="11">
        <v>0</v>
      </c>
      <c r="BI263" s="10"/>
      <c r="BJ263" s="10"/>
      <c r="BK263" s="11">
        <v>0</v>
      </c>
      <c r="BL263" s="10"/>
      <c r="BM263" s="10"/>
      <c r="BN263" s="11">
        <v>0</v>
      </c>
      <c r="BO263" s="10"/>
      <c r="BP263" s="10">
        <v>7960</v>
      </c>
      <c r="BQ263" s="11">
        <v>0</v>
      </c>
      <c r="BR263" s="10">
        <v>30000</v>
      </c>
      <c r="BS263" s="10"/>
      <c r="BT263" s="11">
        <f t="shared" ref="BT263" si="494">BS263/BR263</f>
        <v>0</v>
      </c>
      <c r="BU263" s="10">
        <v>10000</v>
      </c>
      <c r="BV263" s="10"/>
      <c r="BW263" s="11">
        <f t="shared" ref="BW263" si="495">BV263/BU263</f>
        <v>0</v>
      </c>
      <c r="BX263" s="10"/>
      <c r="BY263" s="10"/>
      <c r="BZ263" s="11">
        <v>0</v>
      </c>
      <c r="CA263" s="10"/>
      <c r="CB263" s="10"/>
      <c r="CC263" s="11">
        <v>0</v>
      </c>
      <c r="CD263" s="10"/>
      <c r="CE263" s="10"/>
      <c r="CF263" s="11">
        <v>0</v>
      </c>
      <c r="CG263" s="10"/>
      <c r="CH263" s="10"/>
      <c r="CI263" s="11">
        <v>0</v>
      </c>
      <c r="CJ263" s="10"/>
      <c r="CK263" s="10"/>
      <c r="CL263" s="11">
        <v>0</v>
      </c>
      <c r="CM263" s="10"/>
      <c r="CN263" s="10"/>
      <c r="CO263" s="11">
        <v>0</v>
      </c>
      <c r="CP263" s="10"/>
      <c r="CQ263" s="10"/>
      <c r="CR263" s="11">
        <v>0</v>
      </c>
      <c r="CS263" s="10"/>
      <c r="CT263" s="10"/>
      <c r="CU263" s="11">
        <v>0</v>
      </c>
      <c r="CV263" s="10"/>
      <c r="CW263" s="10"/>
      <c r="CX263" s="11">
        <v>0</v>
      </c>
      <c r="CY263" s="10"/>
      <c r="CZ263" s="10"/>
      <c r="DA263" s="11">
        <v>0</v>
      </c>
      <c r="DB263" s="10">
        <v>40000</v>
      </c>
      <c r="DC263" s="10">
        <f t="shared" si="487"/>
        <v>591130</v>
      </c>
      <c r="DD263" s="13">
        <f t="shared" si="488"/>
        <v>14.77825</v>
      </c>
      <c r="DE263" s="14"/>
    </row>
    <row r="264" spans="1:109" x14ac:dyDescent="0.35">
      <c r="A264" s="8" t="s">
        <v>589</v>
      </c>
      <c r="B264" s="9" t="s">
        <v>51</v>
      </c>
      <c r="C264" s="9" t="s">
        <v>52</v>
      </c>
      <c r="D264" s="9" t="s">
        <v>590</v>
      </c>
      <c r="E264" s="9" t="s">
        <v>54</v>
      </c>
      <c r="F264" s="9" t="s">
        <v>55</v>
      </c>
      <c r="G264" s="10"/>
      <c r="H264" s="10"/>
      <c r="I264" s="11">
        <v>0</v>
      </c>
      <c r="J264" s="10"/>
      <c r="K264" s="10"/>
      <c r="L264" s="12">
        <v>0</v>
      </c>
      <c r="M264" s="10"/>
      <c r="N264" s="10"/>
      <c r="O264" s="11">
        <v>0</v>
      </c>
      <c r="P264" s="10"/>
      <c r="Q264" s="10"/>
      <c r="R264" s="11">
        <v>0</v>
      </c>
      <c r="S264" s="10"/>
      <c r="T264" s="10"/>
      <c r="U264" s="11">
        <v>0</v>
      </c>
      <c r="V264" s="10"/>
      <c r="W264" s="10"/>
      <c r="X264" s="11">
        <v>0</v>
      </c>
      <c r="Y264" s="10"/>
      <c r="Z264" s="10"/>
      <c r="AA264" s="11"/>
      <c r="AB264" s="10"/>
      <c r="AC264" s="10"/>
      <c r="AD264" s="11">
        <v>0</v>
      </c>
      <c r="AE264" s="10"/>
      <c r="AF264" s="10"/>
      <c r="AG264" s="11">
        <v>0</v>
      </c>
      <c r="AH264" s="10"/>
      <c r="AI264" s="10"/>
      <c r="AJ264" s="11">
        <v>0</v>
      </c>
      <c r="AK264" s="10"/>
      <c r="AL264" s="10"/>
      <c r="AM264" s="11">
        <v>0</v>
      </c>
      <c r="AN264" s="10"/>
      <c r="AO264" s="10"/>
      <c r="AP264" s="11">
        <v>0</v>
      </c>
      <c r="AQ264" s="10"/>
      <c r="AR264" s="10"/>
      <c r="AS264" s="11">
        <v>0</v>
      </c>
      <c r="AT264" s="10"/>
      <c r="AU264" s="10"/>
      <c r="AV264" s="11">
        <v>0</v>
      </c>
      <c r="AW264" s="10"/>
      <c r="AX264" s="10"/>
      <c r="AY264" s="11">
        <v>0</v>
      </c>
      <c r="AZ264" s="10"/>
      <c r="BA264" s="10"/>
      <c r="BB264" s="11">
        <v>0</v>
      </c>
      <c r="BC264" s="10"/>
      <c r="BD264" s="10"/>
      <c r="BE264" s="11">
        <v>0</v>
      </c>
      <c r="BF264" s="10"/>
      <c r="BG264" s="10"/>
      <c r="BH264" s="11">
        <v>0</v>
      </c>
      <c r="BI264" s="10"/>
      <c r="BJ264" s="10"/>
      <c r="BK264" s="11">
        <v>0</v>
      </c>
      <c r="BL264" s="10"/>
      <c r="BM264" s="10"/>
      <c r="BN264" s="11">
        <v>0</v>
      </c>
      <c r="BO264" s="10"/>
      <c r="BP264" s="10"/>
      <c r="BQ264" s="11">
        <v>0</v>
      </c>
      <c r="BR264" s="10"/>
      <c r="BS264" s="10"/>
      <c r="BT264" s="11">
        <v>0</v>
      </c>
      <c r="BU264" s="10"/>
      <c r="BV264" s="10"/>
      <c r="BW264" s="11">
        <v>0</v>
      </c>
      <c r="BX264" s="10"/>
      <c r="BY264" s="10"/>
      <c r="BZ264" s="11">
        <v>0</v>
      </c>
      <c r="CA264" s="10"/>
      <c r="CB264" s="10"/>
      <c r="CC264" s="11">
        <v>0</v>
      </c>
      <c r="CD264" s="10"/>
      <c r="CE264" s="10"/>
      <c r="CF264" s="11">
        <v>0</v>
      </c>
      <c r="CG264" s="10"/>
      <c r="CH264" s="10"/>
      <c r="CI264" s="11">
        <v>0</v>
      </c>
      <c r="CJ264" s="10"/>
      <c r="CK264" s="10"/>
      <c r="CL264" s="11">
        <v>0</v>
      </c>
      <c r="CM264" s="10"/>
      <c r="CN264" s="10"/>
      <c r="CO264" s="11">
        <v>0</v>
      </c>
      <c r="CP264" s="10"/>
      <c r="CQ264" s="10"/>
      <c r="CR264" s="11">
        <v>0</v>
      </c>
      <c r="CS264" s="10"/>
      <c r="CT264" s="10"/>
      <c r="CU264" s="11">
        <v>0</v>
      </c>
      <c r="CV264" s="10"/>
      <c r="CW264" s="10"/>
      <c r="CX264" s="11">
        <v>0</v>
      </c>
      <c r="CY264" s="10"/>
      <c r="CZ264" s="10"/>
      <c r="DA264" s="11">
        <v>0</v>
      </c>
      <c r="DB264" s="10"/>
      <c r="DC264" s="10"/>
      <c r="DD264" s="13">
        <v>0</v>
      </c>
      <c r="DE264" s="14"/>
    </row>
    <row r="265" spans="1:109" x14ac:dyDescent="0.35">
      <c r="A265" s="8" t="s">
        <v>591</v>
      </c>
      <c r="B265" s="9" t="s">
        <v>74</v>
      </c>
      <c r="C265" s="9" t="s">
        <v>52</v>
      </c>
      <c r="D265" s="9" t="s">
        <v>592</v>
      </c>
      <c r="E265" s="9" t="s">
        <v>54</v>
      </c>
      <c r="F265" s="9" t="s">
        <v>55</v>
      </c>
      <c r="G265" s="10"/>
      <c r="H265" s="10"/>
      <c r="I265" s="11">
        <v>0</v>
      </c>
      <c r="J265" s="10"/>
      <c r="K265" s="10"/>
      <c r="L265" s="12">
        <v>0</v>
      </c>
      <c r="M265" s="10"/>
      <c r="N265" s="10"/>
      <c r="O265" s="11">
        <v>0</v>
      </c>
      <c r="P265" s="10"/>
      <c r="Q265" s="10"/>
      <c r="R265" s="11">
        <v>0</v>
      </c>
      <c r="S265" s="10"/>
      <c r="T265" s="10"/>
      <c r="U265" s="11">
        <v>0</v>
      </c>
      <c r="V265" s="10"/>
      <c r="W265" s="10"/>
      <c r="X265" s="11">
        <v>0</v>
      </c>
      <c r="Y265" s="10"/>
      <c r="Z265" s="10"/>
      <c r="AA265" s="11"/>
      <c r="AB265" s="10"/>
      <c r="AC265" s="10"/>
      <c r="AD265" s="11">
        <v>0</v>
      </c>
      <c r="AE265" s="10"/>
      <c r="AF265" s="10"/>
      <c r="AG265" s="11">
        <v>0</v>
      </c>
      <c r="AH265" s="10"/>
      <c r="AI265" s="10"/>
      <c r="AJ265" s="11">
        <v>0</v>
      </c>
      <c r="AK265" s="10"/>
      <c r="AL265" s="10"/>
      <c r="AM265" s="11">
        <v>0</v>
      </c>
      <c r="AN265" s="10"/>
      <c r="AO265" s="10"/>
      <c r="AP265" s="11">
        <v>0</v>
      </c>
      <c r="AQ265" s="10"/>
      <c r="AR265" s="10"/>
      <c r="AS265" s="11">
        <v>0</v>
      </c>
      <c r="AT265" s="10"/>
      <c r="AU265" s="10"/>
      <c r="AV265" s="11">
        <v>0</v>
      </c>
      <c r="AW265" s="10"/>
      <c r="AX265" s="10"/>
      <c r="AY265" s="11">
        <v>0</v>
      </c>
      <c r="AZ265" s="10"/>
      <c r="BA265" s="10"/>
      <c r="BB265" s="11">
        <v>0</v>
      </c>
      <c r="BC265" s="10"/>
      <c r="BD265" s="10"/>
      <c r="BE265" s="11">
        <v>0</v>
      </c>
      <c r="BF265" s="10"/>
      <c r="BG265" s="10"/>
      <c r="BH265" s="11">
        <v>0</v>
      </c>
      <c r="BI265" s="10"/>
      <c r="BJ265" s="10"/>
      <c r="BK265" s="11">
        <v>0</v>
      </c>
      <c r="BL265" s="10"/>
      <c r="BM265" s="10"/>
      <c r="BN265" s="11">
        <v>0</v>
      </c>
      <c r="BO265" s="10"/>
      <c r="BP265" s="10"/>
      <c r="BQ265" s="11">
        <v>0</v>
      </c>
      <c r="BR265" s="10"/>
      <c r="BS265" s="10"/>
      <c r="BT265" s="11">
        <v>0</v>
      </c>
      <c r="BU265" s="10"/>
      <c r="BV265" s="10"/>
      <c r="BW265" s="11">
        <v>0</v>
      </c>
      <c r="BX265" s="10"/>
      <c r="BY265" s="10"/>
      <c r="BZ265" s="11">
        <v>0</v>
      </c>
      <c r="CA265" s="10"/>
      <c r="CB265" s="10"/>
      <c r="CC265" s="11">
        <v>0</v>
      </c>
      <c r="CD265" s="10"/>
      <c r="CE265" s="10"/>
      <c r="CF265" s="11">
        <v>0</v>
      </c>
      <c r="CG265" s="10"/>
      <c r="CH265" s="10"/>
      <c r="CI265" s="11">
        <v>0</v>
      </c>
      <c r="CJ265" s="10"/>
      <c r="CK265" s="10"/>
      <c r="CL265" s="11">
        <v>0</v>
      </c>
      <c r="CM265" s="10"/>
      <c r="CN265" s="10"/>
      <c r="CO265" s="11">
        <v>0</v>
      </c>
      <c r="CP265" s="10"/>
      <c r="CQ265" s="10"/>
      <c r="CR265" s="11">
        <v>0</v>
      </c>
      <c r="CS265" s="10"/>
      <c r="CT265" s="10"/>
      <c r="CU265" s="11">
        <v>0</v>
      </c>
      <c r="CV265" s="10"/>
      <c r="CW265" s="10"/>
      <c r="CX265" s="11">
        <v>0</v>
      </c>
      <c r="CY265" s="10"/>
      <c r="CZ265" s="10"/>
      <c r="DA265" s="11">
        <v>0</v>
      </c>
      <c r="DB265" s="10"/>
      <c r="DC265" s="10"/>
      <c r="DD265" s="13">
        <v>0</v>
      </c>
      <c r="DE265" s="14"/>
    </row>
    <row r="266" spans="1:109" x14ac:dyDescent="0.35">
      <c r="A266" s="8" t="s">
        <v>593</v>
      </c>
      <c r="B266" s="9" t="s">
        <v>108</v>
      </c>
      <c r="C266" s="9" t="s">
        <v>52</v>
      </c>
      <c r="D266" s="9" t="s">
        <v>594</v>
      </c>
      <c r="E266" s="9" t="s">
        <v>54</v>
      </c>
      <c r="F266" s="9" t="s">
        <v>55</v>
      </c>
      <c r="G266" s="10"/>
      <c r="H266" s="10"/>
      <c r="I266" s="11">
        <v>0</v>
      </c>
      <c r="J266" s="10"/>
      <c r="K266" s="10"/>
      <c r="L266" s="12">
        <v>0</v>
      </c>
      <c r="M266" s="10"/>
      <c r="N266" s="10"/>
      <c r="O266" s="11">
        <v>0</v>
      </c>
      <c r="P266" s="10"/>
      <c r="Q266" s="10"/>
      <c r="R266" s="11">
        <v>0</v>
      </c>
      <c r="S266" s="10"/>
      <c r="T266" s="10"/>
      <c r="U266" s="11">
        <v>0</v>
      </c>
      <c r="V266" s="10"/>
      <c r="W266" s="10"/>
      <c r="X266" s="11">
        <v>0</v>
      </c>
      <c r="Y266" s="10"/>
      <c r="Z266" s="10"/>
      <c r="AA266" s="11"/>
      <c r="AB266" s="10"/>
      <c r="AC266" s="10"/>
      <c r="AD266" s="11">
        <v>0</v>
      </c>
      <c r="AE266" s="10"/>
      <c r="AF266" s="10"/>
      <c r="AG266" s="11">
        <v>0</v>
      </c>
      <c r="AH266" s="10"/>
      <c r="AI266" s="10"/>
      <c r="AJ266" s="11">
        <v>0</v>
      </c>
      <c r="AK266" s="10"/>
      <c r="AL266" s="10"/>
      <c r="AM266" s="11">
        <v>0</v>
      </c>
      <c r="AN266" s="10"/>
      <c r="AO266" s="10"/>
      <c r="AP266" s="11">
        <v>0</v>
      </c>
      <c r="AQ266" s="10"/>
      <c r="AR266" s="10"/>
      <c r="AS266" s="11">
        <v>0</v>
      </c>
      <c r="AT266" s="10"/>
      <c r="AU266" s="10"/>
      <c r="AV266" s="11">
        <v>0</v>
      </c>
      <c r="AW266" s="10"/>
      <c r="AX266" s="10"/>
      <c r="AY266" s="11">
        <v>0</v>
      </c>
      <c r="AZ266" s="10"/>
      <c r="BA266" s="10"/>
      <c r="BB266" s="11">
        <v>0</v>
      </c>
      <c r="BC266" s="10"/>
      <c r="BD266" s="10"/>
      <c r="BE266" s="11">
        <v>0</v>
      </c>
      <c r="BF266" s="10"/>
      <c r="BG266" s="10"/>
      <c r="BH266" s="11">
        <v>0</v>
      </c>
      <c r="BI266" s="10"/>
      <c r="BJ266" s="10"/>
      <c r="BK266" s="11">
        <v>0</v>
      </c>
      <c r="BL266" s="10"/>
      <c r="BM266" s="10"/>
      <c r="BN266" s="11">
        <v>0</v>
      </c>
      <c r="BO266" s="10"/>
      <c r="BP266" s="10"/>
      <c r="BQ266" s="11">
        <v>0</v>
      </c>
      <c r="BR266" s="10"/>
      <c r="BS266" s="10"/>
      <c r="BT266" s="11">
        <v>0</v>
      </c>
      <c r="BU266" s="10"/>
      <c r="BV266" s="10"/>
      <c r="BW266" s="11">
        <v>0</v>
      </c>
      <c r="BX266" s="10"/>
      <c r="BY266" s="10"/>
      <c r="BZ266" s="11">
        <v>0</v>
      </c>
      <c r="CA266" s="10"/>
      <c r="CB266" s="10"/>
      <c r="CC266" s="11">
        <v>0</v>
      </c>
      <c r="CD266" s="10"/>
      <c r="CE266" s="10"/>
      <c r="CF266" s="11">
        <v>0</v>
      </c>
      <c r="CG266" s="10"/>
      <c r="CH266" s="10"/>
      <c r="CI266" s="11">
        <v>0</v>
      </c>
      <c r="CJ266" s="10"/>
      <c r="CK266" s="10"/>
      <c r="CL266" s="11">
        <v>0</v>
      </c>
      <c r="CM266" s="10"/>
      <c r="CN266" s="10"/>
      <c r="CO266" s="11">
        <v>0</v>
      </c>
      <c r="CP266" s="10"/>
      <c r="CQ266" s="10"/>
      <c r="CR266" s="11">
        <v>0</v>
      </c>
      <c r="CS266" s="10"/>
      <c r="CT266" s="10"/>
      <c r="CU266" s="11">
        <v>0</v>
      </c>
      <c r="CV266" s="10"/>
      <c r="CW266" s="10"/>
      <c r="CX266" s="11">
        <v>0</v>
      </c>
      <c r="CY266" s="10"/>
      <c r="CZ266" s="10"/>
      <c r="DA266" s="11">
        <v>0</v>
      </c>
      <c r="DB266" s="10"/>
      <c r="DC266" s="10"/>
      <c r="DD266" s="13">
        <v>0</v>
      </c>
      <c r="DE266" s="14"/>
    </row>
    <row r="267" spans="1:109" x14ac:dyDescent="0.35">
      <c r="A267" s="8" t="s">
        <v>595</v>
      </c>
      <c r="B267" s="9" t="s">
        <v>51</v>
      </c>
      <c r="C267" s="9" t="s">
        <v>52</v>
      </c>
      <c r="D267" s="9" t="s">
        <v>596</v>
      </c>
      <c r="E267" s="9" t="s">
        <v>54</v>
      </c>
      <c r="F267" s="9" t="s">
        <v>55</v>
      </c>
      <c r="G267" s="10"/>
      <c r="H267" s="10"/>
      <c r="I267" s="11">
        <v>0</v>
      </c>
      <c r="J267" s="10"/>
      <c r="K267" s="10"/>
      <c r="L267" s="12">
        <v>0</v>
      </c>
      <c r="M267" s="10"/>
      <c r="N267" s="10"/>
      <c r="O267" s="11">
        <v>0</v>
      </c>
      <c r="P267" s="10"/>
      <c r="Q267" s="10"/>
      <c r="R267" s="11">
        <v>0</v>
      </c>
      <c r="S267" s="10"/>
      <c r="T267" s="10"/>
      <c r="U267" s="11">
        <v>0</v>
      </c>
      <c r="V267" s="10">
        <v>25000</v>
      </c>
      <c r="W267" s="10"/>
      <c r="X267" s="11">
        <v>0</v>
      </c>
      <c r="Y267" s="10"/>
      <c r="Z267" s="10"/>
      <c r="AA267" s="11"/>
      <c r="AB267" s="10"/>
      <c r="AC267" s="10"/>
      <c r="AD267" s="11">
        <v>0</v>
      </c>
      <c r="AE267" s="10"/>
      <c r="AF267" s="10"/>
      <c r="AG267" s="11">
        <v>0</v>
      </c>
      <c r="AH267" s="10"/>
      <c r="AI267" s="10"/>
      <c r="AJ267" s="11">
        <v>0</v>
      </c>
      <c r="AK267" s="10"/>
      <c r="AL267" s="10"/>
      <c r="AM267" s="11">
        <v>0</v>
      </c>
      <c r="AN267" s="10"/>
      <c r="AO267" s="10"/>
      <c r="AP267" s="11">
        <v>0</v>
      </c>
      <c r="AQ267" s="10"/>
      <c r="AR267" s="10"/>
      <c r="AS267" s="11">
        <v>0</v>
      </c>
      <c r="AT267" s="10"/>
      <c r="AU267" s="10"/>
      <c r="AV267" s="11">
        <v>0</v>
      </c>
      <c r="AW267" s="10"/>
      <c r="AX267" s="10"/>
      <c r="AY267" s="11">
        <v>0</v>
      </c>
      <c r="AZ267" s="10"/>
      <c r="BA267" s="10"/>
      <c r="BB267" s="11">
        <v>0</v>
      </c>
      <c r="BC267" s="10"/>
      <c r="BD267" s="10"/>
      <c r="BE267" s="11">
        <v>0</v>
      </c>
      <c r="BF267" s="10"/>
      <c r="BG267" s="10"/>
      <c r="BH267" s="11">
        <v>0</v>
      </c>
      <c r="BI267" s="10"/>
      <c r="BJ267" s="10"/>
      <c r="BK267" s="11">
        <v>0</v>
      </c>
      <c r="BL267" s="10"/>
      <c r="BM267" s="10"/>
      <c r="BN267" s="11">
        <v>0</v>
      </c>
      <c r="BO267" s="10"/>
      <c r="BP267" s="10"/>
      <c r="BQ267" s="11">
        <v>0</v>
      </c>
      <c r="BR267" s="10"/>
      <c r="BS267" s="10"/>
      <c r="BT267" s="11">
        <v>0</v>
      </c>
      <c r="BU267" s="10"/>
      <c r="BV267" s="10"/>
      <c r="BW267" s="11">
        <v>0</v>
      </c>
      <c r="BX267" s="10"/>
      <c r="BY267" s="10"/>
      <c r="BZ267" s="11">
        <v>0</v>
      </c>
      <c r="CA267" s="10"/>
      <c r="CB267" s="10"/>
      <c r="CC267" s="11">
        <v>0</v>
      </c>
      <c r="CD267" s="10"/>
      <c r="CE267" s="10"/>
      <c r="CF267" s="11">
        <v>0</v>
      </c>
      <c r="CG267" s="10"/>
      <c r="CH267" s="10"/>
      <c r="CI267" s="11">
        <v>0</v>
      </c>
      <c r="CJ267" s="10"/>
      <c r="CK267" s="10"/>
      <c r="CL267" s="11">
        <v>0</v>
      </c>
      <c r="CM267" s="10"/>
      <c r="CN267" s="10"/>
      <c r="CO267" s="11">
        <v>0</v>
      </c>
      <c r="CP267" s="10"/>
      <c r="CQ267" s="10"/>
      <c r="CR267" s="11">
        <v>0</v>
      </c>
      <c r="CS267" s="10"/>
      <c r="CT267" s="10"/>
      <c r="CU267" s="11">
        <v>0</v>
      </c>
      <c r="CV267" s="10"/>
      <c r="CW267" s="10"/>
      <c r="CX267" s="11">
        <v>0</v>
      </c>
      <c r="CY267" s="10"/>
      <c r="CZ267" s="10"/>
      <c r="DA267" s="11">
        <v>0</v>
      </c>
      <c r="DB267" s="10">
        <v>25000</v>
      </c>
      <c r="DC267" s="10"/>
      <c r="DD267" s="15">
        <f t="shared" si="488"/>
        <v>0</v>
      </c>
      <c r="DE267" s="16"/>
    </row>
    <row r="268" spans="1:109" x14ac:dyDescent="0.35">
      <c r="A268" s="8" t="s">
        <v>597</v>
      </c>
      <c r="B268" s="9" t="s">
        <v>108</v>
      </c>
      <c r="C268" s="9" t="s">
        <v>52</v>
      </c>
      <c r="D268" s="9" t="s">
        <v>598</v>
      </c>
      <c r="E268" s="9" t="s">
        <v>54</v>
      </c>
      <c r="F268" s="9" t="s">
        <v>55</v>
      </c>
      <c r="G268" s="10"/>
      <c r="H268" s="10"/>
      <c r="I268" s="11">
        <v>0</v>
      </c>
      <c r="J268" s="10"/>
      <c r="K268" s="10"/>
      <c r="L268" s="12">
        <v>0</v>
      </c>
      <c r="M268" s="10"/>
      <c r="N268" s="10"/>
      <c r="O268" s="11">
        <v>0</v>
      </c>
      <c r="P268" s="10"/>
      <c r="Q268" s="10"/>
      <c r="R268" s="11">
        <v>0</v>
      </c>
      <c r="S268" s="10"/>
      <c r="T268" s="10"/>
      <c r="U268" s="11">
        <v>0</v>
      </c>
      <c r="V268" s="10"/>
      <c r="W268" s="10"/>
      <c r="X268" s="11">
        <v>0</v>
      </c>
      <c r="Y268" s="10"/>
      <c r="Z268" s="10"/>
      <c r="AA268" s="11"/>
      <c r="AB268" s="10"/>
      <c r="AC268" s="10"/>
      <c r="AD268" s="11">
        <v>0</v>
      </c>
      <c r="AE268" s="10"/>
      <c r="AF268" s="10"/>
      <c r="AG268" s="11">
        <v>0</v>
      </c>
      <c r="AH268" s="10"/>
      <c r="AI268" s="10"/>
      <c r="AJ268" s="11">
        <v>0</v>
      </c>
      <c r="AK268" s="10"/>
      <c r="AL268" s="10"/>
      <c r="AM268" s="11">
        <v>0</v>
      </c>
      <c r="AN268" s="10"/>
      <c r="AO268" s="10"/>
      <c r="AP268" s="11">
        <v>0</v>
      </c>
      <c r="AQ268" s="10"/>
      <c r="AR268" s="10"/>
      <c r="AS268" s="11">
        <v>0</v>
      </c>
      <c r="AT268" s="10"/>
      <c r="AU268" s="10"/>
      <c r="AV268" s="11">
        <v>0</v>
      </c>
      <c r="AW268" s="10"/>
      <c r="AX268" s="10"/>
      <c r="AY268" s="11">
        <v>0</v>
      </c>
      <c r="AZ268" s="10"/>
      <c r="BA268" s="10"/>
      <c r="BB268" s="11">
        <v>0</v>
      </c>
      <c r="BC268" s="10"/>
      <c r="BD268" s="10"/>
      <c r="BE268" s="11">
        <v>0</v>
      </c>
      <c r="BF268" s="10"/>
      <c r="BG268" s="10"/>
      <c r="BH268" s="11">
        <v>0</v>
      </c>
      <c r="BI268" s="10"/>
      <c r="BJ268" s="10"/>
      <c r="BK268" s="11">
        <v>0</v>
      </c>
      <c r="BL268" s="10"/>
      <c r="BM268" s="10"/>
      <c r="BN268" s="11">
        <v>0</v>
      </c>
      <c r="BO268" s="10"/>
      <c r="BP268" s="10"/>
      <c r="BQ268" s="11">
        <v>0</v>
      </c>
      <c r="BR268" s="10"/>
      <c r="BS268" s="10"/>
      <c r="BT268" s="11">
        <v>0</v>
      </c>
      <c r="BU268" s="10"/>
      <c r="BV268" s="10"/>
      <c r="BW268" s="11">
        <v>0</v>
      </c>
      <c r="BX268" s="10"/>
      <c r="BY268" s="10"/>
      <c r="BZ268" s="11">
        <v>0</v>
      </c>
      <c r="CA268" s="10"/>
      <c r="CB268" s="10"/>
      <c r="CC268" s="11">
        <v>0</v>
      </c>
      <c r="CD268" s="10"/>
      <c r="CE268" s="10"/>
      <c r="CF268" s="11">
        <v>0</v>
      </c>
      <c r="CG268" s="10"/>
      <c r="CH268" s="10"/>
      <c r="CI268" s="11">
        <v>0</v>
      </c>
      <c r="CJ268" s="10"/>
      <c r="CK268" s="10"/>
      <c r="CL268" s="11">
        <v>0</v>
      </c>
      <c r="CM268" s="10"/>
      <c r="CN268" s="10"/>
      <c r="CO268" s="11">
        <v>0</v>
      </c>
      <c r="CP268" s="10"/>
      <c r="CQ268" s="10"/>
      <c r="CR268" s="11">
        <v>0</v>
      </c>
      <c r="CS268" s="10"/>
      <c r="CT268" s="10"/>
      <c r="CU268" s="11">
        <v>0</v>
      </c>
      <c r="CV268" s="10"/>
      <c r="CW268" s="10"/>
      <c r="CX268" s="11">
        <v>0</v>
      </c>
      <c r="CY268" s="10"/>
      <c r="CZ268" s="10"/>
      <c r="DA268" s="11">
        <v>0</v>
      </c>
      <c r="DB268" s="10"/>
      <c r="DC268" s="10"/>
      <c r="DD268" s="13">
        <v>0</v>
      </c>
      <c r="DE268" s="14"/>
    </row>
    <row r="269" spans="1:109" x14ac:dyDescent="0.35">
      <c r="A269" s="8" t="s">
        <v>599</v>
      </c>
      <c r="B269" s="9" t="s">
        <v>51</v>
      </c>
      <c r="C269" s="9" t="s">
        <v>52</v>
      </c>
      <c r="D269" s="9" t="s">
        <v>600</v>
      </c>
      <c r="E269" s="9" t="s">
        <v>54</v>
      </c>
      <c r="F269" s="9" t="s">
        <v>55</v>
      </c>
      <c r="G269" s="10"/>
      <c r="H269" s="10"/>
      <c r="I269" s="11">
        <v>0</v>
      </c>
      <c r="J269" s="10"/>
      <c r="K269" s="10"/>
      <c r="L269" s="12">
        <v>0</v>
      </c>
      <c r="M269" s="10"/>
      <c r="N269" s="10"/>
      <c r="O269" s="11">
        <v>0</v>
      </c>
      <c r="P269" s="10"/>
      <c r="Q269" s="10"/>
      <c r="R269" s="11">
        <v>0</v>
      </c>
      <c r="S269" s="10"/>
      <c r="T269" s="10"/>
      <c r="U269" s="11">
        <v>0</v>
      </c>
      <c r="V269" s="10"/>
      <c r="W269" s="10"/>
      <c r="X269" s="11">
        <v>0</v>
      </c>
      <c r="Y269" s="10"/>
      <c r="Z269" s="10"/>
      <c r="AA269" s="11"/>
      <c r="AB269" s="10"/>
      <c r="AC269" s="10"/>
      <c r="AD269" s="11">
        <v>0</v>
      </c>
      <c r="AE269" s="10"/>
      <c r="AF269" s="10"/>
      <c r="AG269" s="11">
        <v>0</v>
      </c>
      <c r="AH269" s="10"/>
      <c r="AI269" s="10"/>
      <c r="AJ269" s="11">
        <v>0</v>
      </c>
      <c r="AK269" s="10"/>
      <c r="AL269" s="10"/>
      <c r="AM269" s="11">
        <v>0</v>
      </c>
      <c r="AN269" s="10"/>
      <c r="AO269" s="10"/>
      <c r="AP269" s="11">
        <v>0</v>
      </c>
      <c r="AQ269" s="10"/>
      <c r="AR269" s="10"/>
      <c r="AS269" s="11">
        <v>0</v>
      </c>
      <c r="AT269" s="10"/>
      <c r="AU269" s="10"/>
      <c r="AV269" s="11">
        <v>0</v>
      </c>
      <c r="AW269" s="10"/>
      <c r="AX269" s="10"/>
      <c r="AY269" s="11">
        <v>0</v>
      </c>
      <c r="AZ269" s="10"/>
      <c r="BA269" s="10"/>
      <c r="BB269" s="11">
        <v>0</v>
      </c>
      <c r="BC269" s="10"/>
      <c r="BD269" s="10"/>
      <c r="BE269" s="11">
        <v>0</v>
      </c>
      <c r="BF269" s="10"/>
      <c r="BG269" s="10"/>
      <c r="BH269" s="11">
        <v>0</v>
      </c>
      <c r="BI269" s="10"/>
      <c r="BJ269" s="10"/>
      <c r="BK269" s="11">
        <v>0</v>
      </c>
      <c r="BL269" s="10"/>
      <c r="BM269" s="10"/>
      <c r="BN269" s="11">
        <v>0</v>
      </c>
      <c r="BO269" s="10"/>
      <c r="BP269" s="10"/>
      <c r="BQ269" s="11">
        <v>0</v>
      </c>
      <c r="BR269" s="10"/>
      <c r="BS269" s="10"/>
      <c r="BT269" s="11">
        <v>0</v>
      </c>
      <c r="BU269" s="10"/>
      <c r="BV269" s="10"/>
      <c r="BW269" s="11">
        <v>0</v>
      </c>
      <c r="BX269" s="10"/>
      <c r="BY269" s="10"/>
      <c r="BZ269" s="11">
        <v>0</v>
      </c>
      <c r="CA269" s="10"/>
      <c r="CB269" s="10"/>
      <c r="CC269" s="11">
        <v>0</v>
      </c>
      <c r="CD269" s="10"/>
      <c r="CE269" s="10"/>
      <c r="CF269" s="11">
        <v>0</v>
      </c>
      <c r="CG269" s="10"/>
      <c r="CH269" s="10"/>
      <c r="CI269" s="11">
        <v>0</v>
      </c>
      <c r="CJ269" s="10"/>
      <c r="CK269" s="10"/>
      <c r="CL269" s="11">
        <v>0</v>
      </c>
      <c r="CM269" s="10"/>
      <c r="CN269" s="10"/>
      <c r="CO269" s="11">
        <v>0</v>
      </c>
      <c r="CP269" s="10"/>
      <c r="CQ269" s="10"/>
      <c r="CR269" s="11">
        <v>0</v>
      </c>
      <c r="CS269" s="10"/>
      <c r="CT269" s="10"/>
      <c r="CU269" s="11">
        <v>0</v>
      </c>
      <c r="CV269" s="10"/>
      <c r="CW269" s="10"/>
      <c r="CX269" s="11">
        <v>0</v>
      </c>
      <c r="CY269" s="10"/>
      <c r="CZ269" s="10"/>
      <c r="DA269" s="11">
        <v>0</v>
      </c>
      <c r="DB269" s="10"/>
      <c r="DC269" s="10"/>
      <c r="DD269" s="13">
        <v>0</v>
      </c>
      <c r="DE269" s="14"/>
    </row>
    <row r="270" spans="1:109" x14ac:dyDescent="0.35">
      <c r="A270" s="8" t="s">
        <v>601</v>
      </c>
      <c r="B270" s="9" t="s">
        <v>51</v>
      </c>
      <c r="C270" s="9" t="s">
        <v>52</v>
      </c>
      <c r="D270" s="9" t="s">
        <v>602</v>
      </c>
      <c r="E270" s="9" t="s">
        <v>54</v>
      </c>
      <c r="F270" s="9" t="s">
        <v>55</v>
      </c>
      <c r="G270" s="10"/>
      <c r="H270" s="10"/>
      <c r="I270" s="11">
        <v>0</v>
      </c>
      <c r="J270" s="10"/>
      <c r="K270" s="10"/>
      <c r="L270" s="12">
        <v>0</v>
      </c>
      <c r="M270" s="10"/>
      <c r="N270" s="10"/>
      <c r="O270" s="11">
        <v>0</v>
      </c>
      <c r="P270" s="10"/>
      <c r="Q270" s="10"/>
      <c r="R270" s="11">
        <v>0</v>
      </c>
      <c r="S270" s="10"/>
      <c r="T270" s="10"/>
      <c r="U270" s="11">
        <v>0</v>
      </c>
      <c r="V270" s="10"/>
      <c r="W270" s="10"/>
      <c r="X270" s="11">
        <v>0</v>
      </c>
      <c r="Y270" s="10"/>
      <c r="Z270" s="10"/>
      <c r="AA270" s="11"/>
      <c r="AB270" s="10"/>
      <c r="AC270" s="10"/>
      <c r="AD270" s="11">
        <v>0</v>
      </c>
      <c r="AE270" s="10"/>
      <c r="AF270" s="10"/>
      <c r="AG270" s="11">
        <v>0</v>
      </c>
      <c r="AH270" s="10"/>
      <c r="AI270" s="10"/>
      <c r="AJ270" s="11">
        <v>0</v>
      </c>
      <c r="AK270" s="10"/>
      <c r="AL270" s="10"/>
      <c r="AM270" s="11">
        <v>0</v>
      </c>
      <c r="AN270" s="10"/>
      <c r="AO270" s="10"/>
      <c r="AP270" s="11">
        <v>0</v>
      </c>
      <c r="AQ270" s="10"/>
      <c r="AR270" s="10"/>
      <c r="AS270" s="11">
        <v>0</v>
      </c>
      <c r="AT270" s="10"/>
      <c r="AU270" s="10"/>
      <c r="AV270" s="11">
        <v>0</v>
      </c>
      <c r="AW270" s="10"/>
      <c r="AX270" s="10"/>
      <c r="AY270" s="11">
        <v>0</v>
      </c>
      <c r="AZ270" s="10"/>
      <c r="BA270" s="10"/>
      <c r="BB270" s="11">
        <v>0</v>
      </c>
      <c r="BC270" s="10"/>
      <c r="BD270" s="10"/>
      <c r="BE270" s="11">
        <v>0</v>
      </c>
      <c r="BF270" s="10"/>
      <c r="BG270" s="10"/>
      <c r="BH270" s="11">
        <v>0</v>
      </c>
      <c r="BI270" s="10"/>
      <c r="BJ270" s="10"/>
      <c r="BK270" s="11">
        <v>0</v>
      </c>
      <c r="BL270" s="10"/>
      <c r="BM270" s="10"/>
      <c r="BN270" s="11">
        <v>0</v>
      </c>
      <c r="BO270" s="10"/>
      <c r="BP270" s="10"/>
      <c r="BQ270" s="11">
        <v>0</v>
      </c>
      <c r="BR270" s="10"/>
      <c r="BS270" s="10"/>
      <c r="BT270" s="11">
        <v>0</v>
      </c>
      <c r="BU270" s="10"/>
      <c r="BV270" s="10"/>
      <c r="BW270" s="11">
        <v>0</v>
      </c>
      <c r="BX270" s="10"/>
      <c r="BY270" s="10"/>
      <c r="BZ270" s="11">
        <v>0</v>
      </c>
      <c r="CA270" s="10"/>
      <c r="CB270" s="10"/>
      <c r="CC270" s="11">
        <v>0</v>
      </c>
      <c r="CD270" s="10"/>
      <c r="CE270" s="10"/>
      <c r="CF270" s="11">
        <v>0</v>
      </c>
      <c r="CG270" s="10"/>
      <c r="CH270" s="10"/>
      <c r="CI270" s="11">
        <v>0</v>
      </c>
      <c r="CJ270" s="10"/>
      <c r="CK270" s="10"/>
      <c r="CL270" s="11">
        <v>0</v>
      </c>
      <c r="CM270" s="10"/>
      <c r="CN270" s="10"/>
      <c r="CO270" s="11">
        <v>0</v>
      </c>
      <c r="CP270" s="10"/>
      <c r="CQ270" s="10"/>
      <c r="CR270" s="11">
        <v>0</v>
      </c>
      <c r="CS270" s="10"/>
      <c r="CT270" s="10"/>
      <c r="CU270" s="11">
        <v>0</v>
      </c>
      <c r="CV270" s="10"/>
      <c r="CW270" s="10"/>
      <c r="CX270" s="11">
        <v>0</v>
      </c>
      <c r="CY270" s="10"/>
      <c r="CZ270" s="10"/>
      <c r="DA270" s="11">
        <v>0</v>
      </c>
      <c r="DB270" s="10"/>
      <c r="DC270" s="10"/>
      <c r="DD270" s="13">
        <v>0</v>
      </c>
      <c r="DE270" s="14"/>
    </row>
    <row r="271" spans="1:109" x14ac:dyDescent="0.35">
      <c r="A271" s="8" t="s">
        <v>603</v>
      </c>
      <c r="B271" s="9" t="s">
        <v>51</v>
      </c>
      <c r="C271" s="9" t="s">
        <v>52</v>
      </c>
      <c r="D271" s="9" t="s">
        <v>604</v>
      </c>
      <c r="E271" s="9" t="s">
        <v>54</v>
      </c>
      <c r="F271" s="9" t="s">
        <v>55</v>
      </c>
      <c r="G271" s="10"/>
      <c r="H271" s="10"/>
      <c r="I271" s="11">
        <v>0</v>
      </c>
      <c r="J271" s="10"/>
      <c r="K271" s="10"/>
      <c r="L271" s="12">
        <v>0</v>
      </c>
      <c r="M271" s="10"/>
      <c r="N271" s="10"/>
      <c r="O271" s="11">
        <v>0</v>
      </c>
      <c r="P271" s="10"/>
      <c r="Q271" s="10"/>
      <c r="R271" s="11">
        <v>0</v>
      </c>
      <c r="S271" s="10">
        <v>50000</v>
      </c>
      <c r="T271" s="10"/>
      <c r="U271" s="11">
        <f t="shared" ref="U271" si="496">T271/S271</f>
        <v>0</v>
      </c>
      <c r="V271" s="10"/>
      <c r="W271" s="10"/>
      <c r="X271" s="11">
        <v>0</v>
      </c>
      <c r="Y271" s="10"/>
      <c r="Z271" s="10"/>
      <c r="AA271" s="11"/>
      <c r="AB271" s="10"/>
      <c r="AC271" s="10"/>
      <c r="AD271" s="11">
        <v>0</v>
      </c>
      <c r="AE271" s="10"/>
      <c r="AF271" s="10"/>
      <c r="AG271" s="11">
        <v>0</v>
      </c>
      <c r="AH271" s="10"/>
      <c r="AI271" s="10"/>
      <c r="AJ271" s="11">
        <v>0</v>
      </c>
      <c r="AK271" s="10"/>
      <c r="AL271" s="10"/>
      <c r="AM271" s="11">
        <v>0</v>
      </c>
      <c r="AN271" s="10"/>
      <c r="AO271" s="10"/>
      <c r="AP271" s="11">
        <v>0</v>
      </c>
      <c r="AQ271" s="10"/>
      <c r="AR271" s="10"/>
      <c r="AS271" s="11">
        <v>0</v>
      </c>
      <c r="AT271" s="10"/>
      <c r="AU271" s="10"/>
      <c r="AV271" s="11">
        <v>0</v>
      </c>
      <c r="AW271" s="10"/>
      <c r="AX271" s="10"/>
      <c r="AY271" s="11">
        <v>0</v>
      </c>
      <c r="AZ271" s="10"/>
      <c r="BA271" s="10"/>
      <c r="BB271" s="11">
        <v>0</v>
      </c>
      <c r="BC271" s="10"/>
      <c r="BD271" s="10"/>
      <c r="BE271" s="11">
        <v>0</v>
      </c>
      <c r="BF271" s="10"/>
      <c r="BG271" s="10"/>
      <c r="BH271" s="11">
        <v>0</v>
      </c>
      <c r="BI271" s="10"/>
      <c r="BJ271" s="10"/>
      <c r="BK271" s="11">
        <v>0</v>
      </c>
      <c r="BL271" s="10"/>
      <c r="BM271" s="10"/>
      <c r="BN271" s="11">
        <v>0</v>
      </c>
      <c r="BO271" s="10"/>
      <c r="BP271" s="10"/>
      <c r="BQ271" s="11">
        <v>0</v>
      </c>
      <c r="BR271" s="10"/>
      <c r="BS271" s="10"/>
      <c r="BT271" s="11">
        <v>0</v>
      </c>
      <c r="BU271" s="10"/>
      <c r="BV271" s="10"/>
      <c r="BW271" s="11">
        <v>0</v>
      </c>
      <c r="BX271" s="10"/>
      <c r="BY271" s="10"/>
      <c r="BZ271" s="11">
        <v>0</v>
      </c>
      <c r="CA271" s="10"/>
      <c r="CB271" s="10"/>
      <c r="CC271" s="11">
        <v>0</v>
      </c>
      <c r="CD271" s="10"/>
      <c r="CE271" s="10"/>
      <c r="CF271" s="11">
        <v>0</v>
      </c>
      <c r="CG271" s="10"/>
      <c r="CH271" s="10"/>
      <c r="CI271" s="11">
        <v>0</v>
      </c>
      <c r="CJ271" s="10"/>
      <c r="CK271" s="10"/>
      <c r="CL271" s="11">
        <v>0</v>
      </c>
      <c r="CM271" s="10"/>
      <c r="CN271" s="10"/>
      <c r="CO271" s="11">
        <v>0</v>
      </c>
      <c r="CP271" s="10"/>
      <c r="CQ271" s="10"/>
      <c r="CR271" s="11">
        <v>0</v>
      </c>
      <c r="CS271" s="10"/>
      <c r="CT271" s="10"/>
      <c r="CU271" s="11">
        <v>0</v>
      </c>
      <c r="CV271" s="10"/>
      <c r="CW271" s="10"/>
      <c r="CX271" s="11">
        <v>0</v>
      </c>
      <c r="CY271" s="10"/>
      <c r="CZ271" s="10"/>
      <c r="DA271" s="11">
        <v>0</v>
      </c>
      <c r="DB271" s="10">
        <v>50000</v>
      </c>
      <c r="DC271" s="10"/>
      <c r="DD271" s="15">
        <f t="shared" si="488"/>
        <v>0</v>
      </c>
      <c r="DE271" s="16"/>
    </row>
    <row r="272" spans="1:109" x14ac:dyDescent="0.35">
      <c r="A272" s="8" t="s">
        <v>605</v>
      </c>
      <c r="B272" s="9" t="s">
        <v>172</v>
      </c>
      <c r="C272" s="9" t="s">
        <v>52</v>
      </c>
      <c r="D272" s="9" t="s">
        <v>606</v>
      </c>
      <c r="E272" s="9" t="s">
        <v>54</v>
      </c>
      <c r="F272" s="9" t="s">
        <v>55</v>
      </c>
      <c r="G272" s="10"/>
      <c r="H272" s="10"/>
      <c r="I272" s="11">
        <v>0</v>
      </c>
      <c r="J272" s="10"/>
      <c r="K272" s="10"/>
      <c r="L272" s="12">
        <v>0</v>
      </c>
      <c r="M272" s="10"/>
      <c r="N272" s="10"/>
      <c r="O272" s="11">
        <v>0</v>
      </c>
      <c r="P272" s="10"/>
      <c r="Q272" s="10"/>
      <c r="R272" s="11">
        <v>0</v>
      </c>
      <c r="S272" s="10"/>
      <c r="T272" s="10"/>
      <c r="U272" s="11">
        <v>0</v>
      </c>
      <c r="V272" s="10"/>
      <c r="W272" s="10"/>
      <c r="X272" s="11">
        <v>0</v>
      </c>
      <c r="Y272" s="10"/>
      <c r="Z272" s="10"/>
      <c r="AA272" s="11"/>
      <c r="AB272" s="10"/>
      <c r="AC272" s="10"/>
      <c r="AD272" s="11">
        <v>0</v>
      </c>
      <c r="AE272" s="10"/>
      <c r="AF272" s="10"/>
      <c r="AG272" s="11">
        <v>0</v>
      </c>
      <c r="AH272" s="10"/>
      <c r="AI272" s="10"/>
      <c r="AJ272" s="11">
        <v>0</v>
      </c>
      <c r="AK272" s="10"/>
      <c r="AL272" s="10"/>
      <c r="AM272" s="11">
        <v>0</v>
      </c>
      <c r="AN272" s="10"/>
      <c r="AO272" s="10"/>
      <c r="AP272" s="11">
        <v>0</v>
      </c>
      <c r="AQ272" s="10"/>
      <c r="AR272" s="10"/>
      <c r="AS272" s="11">
        <v>0</v>
      </c>
      <c r="AT272" s="10"/>
      <c r="AU272" s="10"/>
      <c r="AV272" s="11">
        <v>0</v>
      </c>
      <c r="AW272" s="10"/>
      <c r="AX272" s="10"/>
      <c r="AY272" s="11">
        <v>0</v>
      </c>
      <c r="AZ272" s="10"/>
      <c r="BA272" s="10"/>
      <c r="BB272" s="11">
        <v>0</v>
      </c>
      <c r="BC272" s="10"/>
      <c r="BD272" s="10"/>
      <c r="BE272" s="11">
        <v>0</v>
      </c>
      <c r="BF272" s="10"/>
      <c r="BG272" s="10"/>
      <c r="BH272" s="11">
        <v>0</v>
      </c>
      <c r="BI272" s="10"/>
      <c r="BJ272" s="10"/>
      <c r="BK272" s="11">
        <v>0</v>
      </c>
      <c r="BL272" s="10"/>
      <c r="BM272" s="10"/>
      <c r="BN272" s="11">
        <v>0</v>
      </c>
      <c r="BO272" s="10"/>
      <c r="BP272" s="10"/>
      <c r="BQ272" s="11">
        <v>0</v>
      </c>
      <c r="BR272" s="10"/>
      <c r="BS272" s="10"/>
      <c r="BT272" s="11">
        <v>0</v>
      </c>
      <c r="BU272" s="10"/>
      <c r="BV272" s="10"/>
      <c r="BW272" s="11">
        <v>0</v>
      </c>
      <c r="BX272" s="10"/>
      <c r="BY272" s="10"/>
      <c r="BZ272" s="11">
        <v>0</v>
      </c>
      <c r="CA272" s="10"/>
      <c r="CB272" s="10"/>
      <c r="CC272" s="11">
        <v>0</v>
      </c>
      <c r="CD272" s="10"/>
      <c r="CE272" s="10"/>
      <c r="CF272" s="11">
        <v>0</v>
      </c>
      <c r="CG272" s="10"/>
      <c r="CH272" s="10"/>
      <c r="CI272" s="11">
        <v>0</v>
      </c>
      <c r="CJ272" s="10"/>
      <c r="CK272" s="10"/>
      <c r="CL272" s="11">
        <v>0</v>
      </c>
      <c r="CM272" s="10"/>
      <c r="CN272" s="10"/>
      <c r="CO272" s="11">
        <v>0</v>
      </c>
      <c r="CP272" s="10"/>
      <c r="CQ272" s="10"/>
      <c r="CR272" s="11">
        <v>0</v>
      </c>
      <c r="CS272" s="10"/>
      <c r="CT272" s="10"/>
      <c r="CU272" s="11">
        <v>0</v>
      </c>
      <c r="CV272" s="10"/>
      <c r="CW272" s="10"/>
      <c r="CX272" s="11">
        <v>0</v>
      </c>
      <c r="CY272" s="10"/>
      <c r="CZ272" s="10"/>
      <c r="DA272" s="11">
        <v>0</v>
      </c>
      <c r="DB272" s="10"/>
      <c r="DC272" s="10"/>
      <c r="DD272" s="13">
        <v>0</v>
      </c>
      <c r="DE272" s="14"/>
    </row>
    <row r="273" spans="1:109" x14ac:dyDescent="0.35">
      <c r="A273" s="8" t="s">
        <v>607</v>
      </c>
      <c r="B273" s="9" t="s">
        <v>51</v>
      </c>
      <c r="C273" s="9" t="s">
        <v>52</v>
      </c>
      <c r="D273" s="9" t="s">
        <v>608</v>
      </c>
      <c r="E273" s="9" t="s">
        <v>54</v>
      </c>
      <c r="F273" s="9" t="s">
        <v>55</v>
      </c>
      <c r="G273" s="10"/>
      <c r="H273" s="10"/>
      <c r="I273" s="11">
        <v>0</v>
      </c>
      <c r="J273" s="10"/>
      <c r="K273" s="10"/>
      <c r="L273" s="12">
        <v>0</v>
      </c>
      <c r="M273" s="10"/>
      <c r="N273" s="10"/>
      <c r="O273" s="11">
        <v>0</v>
      </c>
      <c r="P273" s="10"/>
      <c r="Q273" s="10"/>
      <c r="R273" s="11">
        <v>0</v>
      </c>
      <c r="S273" s="10"/>
      <c r="T273" s="10"/>
      <c r="U273" s="11">
        <v>0</v>
      </c>
      <c r="V273" s="10"/>
      <c r="W273" s="10"/>
      <c r="X273" s="11">
        <v>0</v>
      </c>
      <c r="Y273" s="10"/>
      <c r="Z273" s="10"/>
      <c r="AA273" s="11"/>
      <c r="AB273" s="10"/>
      <c r="AC273" s="10"/>
      <c r="AD273" s="11">
        <v>0</v>
      </c>
      <c r="AE273" s="10"/>
      <c r="AF273" s="10"/>
      <c r="AG273" s="11">
        <v>0</v>
      </c>
      <c r="AH273" s="10"/>
      <c r="AI273" s="10"/>
      <c r="AJ273" s="11">
        <v>0</v>
      </c>
      <c r="AK273" s="10"/>
      <c r="AL273" s="10"/>
      <c r="AM273" s="11">
        <v>0</v>
      </c>
      <c r="AN273" s="10"/>
      <c r="AO273" s="10"/>
      <c r="AP273" s="11">
        <v>0</v>
      </c>
      <c r="AQ273" s="10"/>
      <c r="AR273" s="10"/>
      <c r="AS273" s="11">
        <v>0</v>
      </c>
      <c r="AT273" s="10"/>
      <c r="AU273" s="10"/>
      <c r="AV273" s="11">
        <v>0</v>
      </c>
      <c r="AW273" s="10"/>
      <c r="AX273" s="10"/>
      <c r="AY273" s="11">
        <v>0</v>
      </c>
      <c r="AZ273" s="10"/>
      <c r="BA273" s="10"/>
      <c r="BB273" s="11">
        <v>0</v>
      </c>
      <c r="BC273" s="10"/>
      <c r="BD273" s="10"/>
      <c r="BE273" s="11">
        <v>0</v>
      </c>
      <c r="BF273" s="10"/>
      <c r="BG273" s="10"/>
      <c r="BH273" s="11">
        <v>0</v>
      </c>
      <c r="BI273" s="10"/>
      <c r="BJ273" s="10"/>
      <c r="BK273" s="11">
        <v>0</v>
      </c>
      <c r="BL273" s="10"/>
      <c r="BM273" s="10"/>
      <c r="BN273" s="11">
        <v>0</v>
      </c>
      <c r="BO273" s="10"/>
      <c r="BP273" s="10"/>
      <c r="BQ273" s="11">
        <v>0</v>
      </c>
      <c r="BR273" s="10"/>
      <c r="BS273" s="10"/>
      <c r="BT273" s="11">
        <v>0</v>
      </c>
      <c r="BU273" s="10"/>
      <c r="BV273" s="10"/>
      <c r="BW273" s="11">
        <v>0</v>
      </c>
      <c r="BX273" s="10"/>
      <c r="BY273" s="10"/>
      <c r="BZ273" s="11">
        <v>0</v>
      </c>
      <c r="CA273" s="10"/>
      <c r="CB273" s="10"/>
      <c r="CC273" s="11">
        <v>0</v>
      </c>
      <c r="CD273" s="10"/>
      <c r="CE273" s="10"/>
      <c r="CF273" s="11">
        <v>0</v>
      </c>
      <c r="CG273" s="10"/>
      <c r="CH273" s="10"/>
      <c r="CI273" s="11">
        <v>0</v>
      </c>
      <c r="CJ273" s="10"/>
      <c r="CK273" s="10"/>
      <c r="CL273" s="11">
        <v>0</v>
      </c>
      <c r="CM273" s="10"/>
      <c r="CN273" s="10"/>
      <c r="CO273" s="11">
        <v>0</v>
      </c>
      <c r="CP273" s="10"/>
      <c r="CQ273" s="10"/>
      <c r="CR273" s="11">
        <v>0</v>
      </c>
      <c r="CS273" s="10"/>
      <c r="CT273" s="10"/>
      <c r="CU273" s="11">
        <v>0</v>
      </c>
      <c r="CV273" s="10"/>
      <c r="CW273" s="10"/>
      <c r="CX273" s="11">
        <v>0</v>
      </c>
      <c r="CY273" s="10"/>
      <c r="CZ273" s="10"/>
      <c r="DA273" s="11">
        <v>0</v>
      </c>
      <c r="DB273" s="10"/>
      <c r="DC273" s="10"/>
      <c r="DD273" s="13">
        <v>0</v>
      </c>
      <c r="DE273" s="14"/>
    </row>
    <row r="274" spans="1:109" x14ac:dyDescent="0.35">
      <c r="A274" s="8" t="s">
        <v>609</v>
      </c>
      <c r="B274" s="9" t="s">
        <v>51</v>
      </c>
      <c r="C274" s="9" t="s">
        <v>52</v>
      </c>
      <c r="D274" s="9" t="s">
        <v>610</v>
      </c>
      <c r="E274" s="9" t="s">
        <v>54</v>
      </c>
      <c r="F274" s="9" t="s">
        <v>55</v>
      </c>
      <c r="G274" s="10"/>
      <c r="H274" s="10"/>
      <c r="I274" s="11">
        <v>0</v>
      </c>
      <c r="J274" s="10"/>
      <c r="K274" s="10"/>
      <c r="L274" s="12">
        <v>0</v>
      </c>
      <c r="M274" s="10"/>
      <c r="N274" s="10"/>
      <c r="O274" s="11">
        <v>0</v>
      </c>
      <c r="P274" s="10"/>
      <c r="Q274" s="10"/>
      <c r="R274" s="11">
        <v>0</v>
      </c>
      <c r="S274" s="10"/>
      <c r="T274" s="10"/>
      <c r="U274" s="11">
        <v>0</v>
      </c>
      <c r="V274" s="10"/>
      <c r="W274" s="10"/>
      <c r="X274" s="11">
        <v>0</v>
      </c>
      <c r="Y274" s="10"/>
      <c r="Z274" s="10"/>
      <c r="AA274" s="11"/>
      <c r="AB274" s="10"/>
      <c r="AC274" s="10"/>
      <c r="AD274" s="11">
        <v>0</v>
      </c>
      <c r="AE274" s="10"/>
      <c r="AF274" s="10"/>
      <c r="AG274" s="11">
        <v>0</v>
      </c>
      <c r="AH274" s="10"/>
      <c r="AI274" s="10"/>
      <c r="AJ274" s="11">
        <v>0</v>
      </c>
      <c r="AK274" s="10"/>
      <c r="AL274" s="10"/>
      <c r="AM274" s="11">
        <v>0</v>
      </c>
      <c r="AN274" s="10"/>
      <c r="AO274" s="10"/>
      <c r="AP274" s="11">
        <v>0</v>
      </c>
      <c r="AQ274" s="10"/>
      <c r="AR274" s="10"/>
      <c r="AS274" s="11">
        <v>0</v>
      </c>
      <c r="AT274" s="10"/>
      <c r="AU274" s="10"/>
      <c r="AV274" s="11">
        <v>0</v>
      </c>
      <c r="AW274" s="10"/>
      <c r="AX274" s="10"/>
      <c r="AY274" s="11">
        <v>0</v>
      </c>
      <c r="AZ274" s="10"/>
      <c r="BA274" s="10"/>
      <c r="BB274" s="11">
        <v>0</v>
      </c>
      <c r="BC274" s="10"/>
      <c r="BD274" s="10"/>
      <c r="BE274" s="11">
        <v>0</v>
      </c>
      <c r="BF274" s="10"/>
      <c r="BG274" s="10"/>
      <c r="BH274" s="11">
        <v>0</v>
      </c>
      <c r="BI274" s="10"/>
      <c r="BJ274" s="10"/>
      <c r="BK274" s="11">
        <v>0</v>
      </c>
      <c r="BL274" s="10"/>
      <c r="BM274" s="10"/>
      <c r="BN274" s="11">
        <v>0</v>
      </c>
      <c r="BO274" s="10"/>
      <c r="BP274" s="10"/>
      <c r="BQ274" s="11">
        <v>0</v>
      </c>
      <c r="BR274" s="10"/>
      <c r="BS274" s="10"/>
      <c r="BT274" s="11">
        <v>0</v>
      </c>
      <c r="BU274" s="10"/>
      <c r="BV274" s="10"/>
      <c r="BW274" s="11">
        <v>0</v>
      </c>
      <c r="BX274" s="10"/>
      <c r="BY274" s="10"/>
      <c r="BZ274" s="11">
        <v>0</v>
      </c>
      <c r="CA274" s="10"/>
      <c r="CB274" s="10"/>
      <c r="CC274" s="11">
        <v>0</v>
      </c>
      <c r="CD274" s="10"/>
      <c r="CE274" s="10"/>
      <c r="CF274" s="11">
        <v>0</v>
      </c>
      <c r="CG274" s="10"/>
      <c r="CH274" s="10"/>
      <c r="CI274" s="11">
        <v>0</v>
      </c>
      <c r="CJ274" s="10"/>
      <c r="CK274" s="10"/>
      <c r="CL274" s="11">
        <v>0</v>
      </c>
      <c r="CM274" s="10"/>
      <c r="CN274" s="10"/>
      <c r="CO274" s="11">
        <v>0</v>
      </c>
      <c r="CP274" s="10"/>
      <c r="CQ274" s="10"/>
      <c r="CR274" s="11">
        <v>0</v>
      </c>
      <c r="CS274" s="10"/>
      <c r="CT274" s="10"/>
      <c r="CU274" s="11">
        <v>0</v>
      </c>
      <c r="CV274" s="10"/>
      <c r="CW274" s="10"/>
      <c r="CX274" s="11">
        <v>0</v>
      </c>
      <c r="CY274" s="10"/>
      <c r="CZ274" s="10"/>
      <c r="DA274" s="11">
        <v>0</v>
      </c>
      <c r="DB274" s="10"/>
      <c r="DC274" s="10"/>
      <c r="DD274" s="13">
        <v>0</v>
      </c>
      <c r="DE274" s="14"/>
    </row>
    <row r="275" spans="1:109" x14ac:dyDescent="0.35">
      <c r="A275" s="8" t="s">
        <v>611</v>
      </c>
      <c r="B275" s="9" t="s">
        <v>108</v>
      </c>
      <c r="C275" s="9" t="s">
        <v>52</v>
      </c>
      <c r="D275" s="9" t="s">
        <v>612</v>
      </c>
      <c r="E275" s="9" t="s">
        <v>54</v>
      </c>
      <c r="F275" s="9" t="s">
        <v>55</v>
      </c>
      <c r="G275" s="10"/>
      <c r="H275" s="10"/>
      <c r="I275" s="11">
        <v>0</v>
      </c>
      <c r="J275" s="10"/>
      <c r="K275" s="10"/>
      <c r="L275" s="12">
        <v>0</v>
      </c>
      <c r="M275" s="10"/>
      <c r="N275" s="10"/>
      <c r="O275" s="11">
        <v>0</v>
      </c>
      <c r="P275" s="10"/>
      <c r="Q275" s="10"/>
      <c r="R275" s="11">
        <v>0</v>
      </c>
      <c r="S275" s="10"/>
      <c r="T275" s="10"/>
      <c r="U275" s="11">
        <v>0</v>
      </c>
      <c r="V275" s="10"/>
      <c r="W275" s="10"/>
      <c r="X275" s="11">
        <v>0</v>
      </c>
      <c r="Y275" s="10"/>
      <c r="Z275" s="10"/>
      <c r="AA275" s="11"/>
      <c r="AB275" s="10"/>
      <c r="AC275" s="10"/>
      <c r="AD275" s="11">
        <v>0</v>
      </c>
      <c r="AE275" s="10"/>
      <c r="AF275" s="10"/>
      <c r="AG275" s="11">
        <v>0</v>
      </c>
      <c r="AH275" s="10"/>
      <c r="AI275" s="10"/>
      <c r="AJ275" s="11">
        <v>0</v>
      </c>
      <c r="AK275" s="10"/>
      <c r="AL275" s="10"/>
      <c r="AM275" s="11">
        <v>0</v>
      </c>
      <c r="AN275" s="10"/>
      <c r="AO275" s="10"/>
      <c r="AP275" s="11">
        <v>0</v>
      </c>
      <c r="AQ275" s="10"/>
      <c r="AR275" s="10"/>
      <c r="AS275" s="11">
        <v>0</v>
      </c>
      <c r="AT275" s="10"/>
      <c r="AU275" s="10"/>
      <c r="AV275" s="11">
        <v>0</v>
      </c>
      <c r="AW275" s="10"/>
      <c r="AX275" s="10"/>
      <c r="AY275" s="11">
        <v>0</v>
      </c>
      <c r="AZ275" s="10"/>
      <c r="BA275" s="10"/>
      <c r="BB275" s="11">
        <v>0</v>
      </c>
      <c r="BC275" s="10"/>
      <c r="BD275" s="10"/>
      <c r="BE275" s="11">
        <v>0</v>
      </c>
      <c r="BF275" s="10"/>
      <c r="BG275" s="10"/>
      <c r="BH275" s="11">
        <v>0</v>
      </c>
      <c r="BI275" s="10"/>
      <c r="BJ275" s="10"/>
      <c r="BK275" s="11">
        <v>0</v>
      </c>
      <c r="BL275" s="10"/>
      <c r="BM275" s="10"/>
      <c r="BN275" s="11">
        <v>0</v>
      </c>
      <c r="BO275" s="10"/>
      <c r="BP275" s="10"/>
      <c r="BQ275" s="11">
        <v>0</v>
      </c>
      <c r="BR275" s="10"/>
      <c r="BS275" s="10"/>
      <c r="BT275" s="11">
        <v>0</v>
      </c>
      <c r="BU275" s="10"/>
      <c r="BV275" s="10"/>
      <c r="BW275" s="11">
        <v>0</v>
      </c>
      <c r="BX275" s="10"/>
      <c r="BY275" s="10"/>
      <c r="BZ275" s="11">
        <v>0</v>
      </c>
      <c r="CA275" s="10"/>
      <c r="CB275" s="10"/>
      <c r="CC275" s="11">
        <v>0</v>
      </c>
      <c r="CD275" s="10"/>
      <c r="CE275" s="10"/>
      <c r="CF275" s="11">
        <v>0</v>
      </c>
      <c r="CG275" s="10">
        <v>5000</v>
      </c>
      <c r="CH275" s="10"/>
      <c r="CI275" s="11">
        <f t="shared" si="490"/>
        <v>0</v>
      </c>
      <c r="CJ275" s="10"/>
      <c r="CK275" s="10"/>
      <c r="CL275" s="11">
        <v>0</v>
      </c>
      <c r="CM275" s="10"/>
      <c r="CN275" s="10"/>
      <c r="CO275" s="11">
        <v>0</v>
      </c>
      <c r="CP275" s="10"/>
      <c r="CQ275" s="10"/>
      <c r="CR275" s="11">
        <v>0</v>
      </c>
      <c r="CS275" s="10"/>
      <c r="CT275" s="10"/>
      <c r="CU275" s="11">
        <v>0</v>
      </c>
      <c r="CV275" s="10"/>
      <c r="CW275" s="10"/>
      <c r="CX275" s="11">
        <v>0</v>
      </c>
      <c r="CY275" s="10"/>
      <c r="CZ275" s="10"/>
      <c r="DA275" s="11">
        <v>0</v>
      </c>
      <c r="DB275" s="10">
        <v>5000</v>
      </c>
      <c r="DC275" s="10"/>
      <c r="DD275" s="15">
        <f t="shared" si="488"/>
        <v>0</v>
      </c>
      <c r="DE275" s="16"/>
    </row>
    <row r="276" spans="1:109" x14ac:dyDescent="0.35">
      <c r="A276" s="8" t="s">
        <v>613</v>
      </c>
      <c r="B276" s="9" t="s">
        <v>172</v>
      </c>
      <c r="C276" s="9" t="s">
        <v>52</v>
      </c>
      <c r="D276" s="9" t="s">
        <v>614</v>
      </c>
      <c r="E276" s="9" t="s">
        <v>54</v>
      </c>
      <c r="F276" s="9" t="s">
        <v>55</v>
      </c>
      <c r="G276" s="10"/>
      <c r="H276" s="10"/>
      <c r="I276" s="11">
        <v>0</v>
      </c>
      <c r="J276" s="10"/>
      <c r="K276" s="10"/>
      <c r="L276" s="12">
        <v>0</v>
      </c>
      <c r="M276" s="10"/>
      <c r="N276" s="10"/>
      <c r="O276" s="11">
        <v>0</v>
      </c>
      <c r="P276" s="10"/>
      <c r="Q276" s="10"/>
      <c r="R276" s="11">
        <v>0</v>
      </c>
      <c r="S276" s="10"/>
      <c r="T276" s="10"/>
      <c r="U276" s="11">
        <v>0</v>
      </c>
      <c r="V276" s="10"/>
      <c r="W276" s="10"/>
      <c r="X276" s="11">
        <v>0</v>
      </c>
      <c r="Y276" s="10"/>
      <c r="Z276" s="10"/>
      <c r="AA276" s="11"/>
      <c r="AB276" s="10"/>
      <c r="AC276" s="10"/>
      <c r="AD276" s="11">
        <v>0</v>
      </c>
      <c r="AE276" s="10"/>
      <c r="AF276" s="10"/>
      <c r="AG276" s="11">
        <v>0</v>
      </c>
      <c r="AH276" s="10"/>
      <c r="AI276" s="10"/>
      <c r="AJ276" s="11">
        <v>0</v>
      </c>
      <c r="AK276" s="10"/>
      <c r="AL276" s="10"/>
      <c r="AM276" s="11">
        <v>0</v>
      </c>
      <c r="AN276" s="10"/>
      <c r="AO276" s="10"/>
      <c r="AP276" s="11">
        <v>0</v>
      </c>
      <c r="AQ276" s="10"/>
      <c r="AR276" s="10"/>
      <c r="AS276" s="11">
        <v>0</v>
      </c>
      <c r="AT276" s="10"/>
      <c r="AU276" s="10"/>
      <c r="AV276" s="11">
        <v>0</v>
      </c>
      <c r="AW276" s="10"/>
      <c r="AX276" s="10"/>
      <c r="AY276" s="11">
        <v>0</v>
      </c>
      <c r="AZ276" s="10"/>
      <c r="BA276" s="10"/>
      <c r="BB276" s="11">
        <v>0</v>
      </c>
      <c r="BC276" s="10"/>
      <c r="BD276" s="10"/>
      <c r="BE276" s="11">
        <v>0</v>
      </c>
      <c r="BF276" s="10"/>
      <c r="BG276" s="10"/>
      <c r="BH276" s="11">
        <v>0</v>
      </c>
      <c r="BI276" s="10"/>
      <c r="BJ276" s="10"/>
      <c r="BK276" s="11">
        <v>0</v>
      </c>
      <c r="BL276" s="10"/>
      <c r="BM276" s="10"/>
      <c r="BN276" s="11">
        <v>0</v>
      </c>
      <c r="BO276" s="10"/>
      <c r="BP276" s="10"/>
      <c r="BQ276" s="11">
        <v>0</v>
      </c>
      <c r="BR276" s="10"/>
      <c r="BS276" s="10"/>
      <c r="BT276" s="11">
        <v>0</v>
      </c>
      <c r="BU276" s="10"/>
      <c r="BV276" s="10"/>
      <c r="BW276" s="11">
        <v>0</v>
      </c>
      <c r="BX276" s="10"/>
      <c r="BY276" s="10"/>
      <c r="BZ276" s="11">
        <v>0</v>
      </c>
      <c r="CA276" s="10"/>
      <c r="CB276" s="10"/>
      <c r="CC276" s="11">
        <v>0</v>
      </c>
      <c r="CD276" s="10"/>
      <c r="CE276" s="10"/>
      <c r="CF276" s="11">
        <v>0</v>
      </c>
      <c r="CG276" s="10"/>
      <c r="CH276" s="10"/>
      <c r="CI276" s="11">
        <v>0</v>
      </c>
      <c r="CJ276" s="10"/>
      <c r="CK276" s="10"/>
      <c r="CL276" s="11">
        <v>0</v>
      </c>
      <c r="CM276" s="10"/>
      <c r="CN276" s="10"/>
      <c r="CO276" s="11">
        <v>0</v>
      </c>
      <c r="CP276" s="10"/>
      <c r="CQ276" s="10"/>
      <c r="CR276" s="11">
        <v>0</v>
      </c>
      <c r="CS276" s="10"/>
      <c r="CT276" s="10"/>
      <c r="CU276" s="11">
        <v>0</v>
      </c>
      <c r="CV276" s="10"/>
      <c r="CW276" s="10"/>
      <c r="CX276" s="11">
        <v>0</v>
      </c>
      <c r="CY276" s="10"/>
      <c r="CZ276" s="10"/>
      <c r="DA276" s="11">
        <v>0</v>
      </c>
      <c r="DB276" s="10"/>
      <c r="DC276" s="10"/>
      <c r="DD276" s="13">
        <v>0</v>
      </c>
      <c r="DE276" s="14"/>
    </row>
    <row r="277" spans="1:109" x14ac:dyDescent="0.35">
      <c r="A277" s="8" t="s">
        <v>615</v>
      </c>
      <c r="B277" s="9" t="s">
        <v>111</v>
      </c>
      <c r="C277" s="9" t="s">
        <v>52</v>
      </c>
      <c r="D277" s="9" t="s">
        <v>616</v>
      </c>
      <c r="E277" s="9" t="s">
        <v>54</v>
      </c>
      <c r="F277" s="9" t="s">
        <v>55</v>
      </c>
      <c r="G277" s="10"/>
      <c r="H277" s="10"/>
      <c r="I277" s="11">
        <v>0</v>
      </c>
      <c r="J277" s="10"/>
      <c r="K277" s="10"/>
      <c r="L277" s="12">
        <v>0</v>
      </c>
      <c r="M277" s="10"/>
      <c r="N277" s="10"/>
      <c r="O277" s="11">
        <v>0</v>
      </c>
      <c r="P277" s="10"/>
      <c r="Q277" s="10"/>
      <c r="R277" s="11">
        <v>0</v>
      </c>
      <c r="S277" s="10"/>
      <c r="T277" s="10"/>
      <c r="U277" s="11">
        <v>0</v>
      </c>
      <c r="V277" s="10"/>
      <c r="W277" s="10"/>
      <c r="X277" s="11">
        <v>0</v>
      </c>
      <c r="Y277" s="10"/>
      <c r="Z277" s="10"/>
      <c r="AA277" s="11"/>
      <c r="AB277" s="10"/>
      <c r="AC277" s="10"/>
      <c r="AD277" s="11">
        <v>0</v>
      </c>
      <c r="AE277" s="10"/>
      <c r="AF277" s="10"/>
      <c r="AG277" s="11">
        <v>0</v>
      </c>
      <c r="AH277" s="10"/>
      <c r="AI277" s="10"/>
      <c r="AJ277" s="11">
        <v>0</v>
      </c>
      <c r="AK277" s="10"/>
      <c r="AL277" s="10"/>
      <c r="AM277" s="11">
        <v>0</v>
      </c>
      <c r="AN277" s="10"/>
      <c r="AO277" s="10"/>
      <c r="AP277" s="11">
        <v>0</v>
      </c>
      <c r="AQ277" s="10"/>
      <c r="AR277" s="10"/>
      <c r="AS277" s="11">
        <v>0</v>
      </c>
      <c r="AT277" s="10"/>
      <c r="AU277" s="10"/>
      <c r="AV277" s="11">
        <v>0</v>
      </c>
      <c r="AW277" s="10"/>
      <c r="AX277" s="10"/>
      <c r="AY277" s="11">
        <v>0</v>
      </c>
      <c r="AZ277" s="10"/>
      <c r="BA277" s="10"/>
      <c r="BB277" s="11">
        <v>0</v>
      </c>
      <c r="BC277" s="10"/>
      <c r="BD277" s="10"/>
      <c r="BE277" s="11">
        <v>0</v>
      </c>
      <c r="BF277" s="10"/>
      <c r="BG277" s="10"/>
      <c r="BH277" s="11">
        <v>0</v>
      </c>
      <c r="BI277" s="10"/>
      <c r="BJ277" s="10"/>
      <c r="BK277" s="11">
        <v>0</v>
      </c>
      <c r="BL277" s="10"/>
      <c r="BM277" s="10"/>
      <c r="BN277" s="11">
        <v>0</v>
      </c>
      <c r="BO277" s="10"/>
      <c r="BP277" s="10"/>
      <c r="BQ277" s="11">
        <v>0</v>
      </c>
      <c r="BR277" s="10"/>
      <c r="BS277" s="10"/>
      <c r="BT277" s="11">
        <v>0</v>
      </c>
      <c r="BU277" s="10"/>
      <c r="BV277" s="10"/>
      <c r="BW277" s="11">
        <v>0</v>
      </c>
      <c r="BX277" s="10"/>
      <c r="BY277" s="10"/>
      <c r="BZ277" s="11">
        <v>0</v>
      </c>
      <c r="CA277" s="10"/>
      <c r="CB277" s="10"/>
      <c r="CC277" s="11">
        <v>0</v>
      </c>
      <c r="CD277" s="10"/>
      <c r="CE277" s="10"/>
      <c r="CF277" s="11">
        <v>0</v>
      </c>
      <c r="CG277" s="10"/>
      <c r="CH277" s="10"/>
      <c r="CI277" s="11">
        <v>0</v>
      </c>
      <c r="CJ277" s="10"/>
      <c r="CK277" s="10"/>
      <c r="CL277" s="11">
        <v>0</v>
      </c>
      <c r="CM277" s="10"/>
      <c r="CN277" s="10"/>
      <c r="CO277" s="11">
        <v>0</v>
      </c>
      <c r="CP277" s="10"/>
      <c r="CQ277" s="10"/>
      <c r="CR277" s="11">
        <v>0</v>
      </c>
      <c r="CS277" s="10"/>
      <c r="CT277" s="10"/>
      <c r="CU277" s="11">
        <v>0</v>
      </c>
      <c r="CV277" s="10"/>
      <c r="CW277" s="10"/>
      <c r="CX277" s="11">
        <v>0</v>
      </c>
      <c r="CY277" s="10"/>
      <c r="CZ277" s="10"/>
      <c r="DA277" s="11">
        <v>0</v>
      </c>
      <c r="DB277" s="10"/>
      <c r="DC277" s="10"/>
      <c r="DD277" s="13">
        <v>0</v>
      </c>
      <c r="DE277" s="14"/>
    </row>
    <row r="278" spans="1:109" x14ac:dyDescent="0.35">
      <c r="A278" s="8" t="s">
        <v>617</v>
      </c>
      <c r="B278" s="9" t="s">
        <v>111</v>
      </c>
      <c r="C278" s="9" t="s">
        <v>52</v>
      </c>
      <c r="D278" s="9" t="s">
        <v>618</v>
      </c>
      <c r="E278" s="9" t="s">
        <v>54</v>
      </c>
      <c r="F278" s="9" t="s">
        <v>55</v>
      </c>
      <c r="G278" s="10"/>
      <c r="H278" s="10"/>
      <c r="I278" s="11">
        <v>0</v>
      </c>
      <c r="J278" s="10"/>
      <c r="K278" s="10"/>
      <c r="L278" s="12">
        <v>0</v>
      </c>
      <c r="M278" s="10"/>
      <c r="N278" s="10"/>
      <c r="O278" s="11">
        <v>0</v>
      </c>
      <c r="P278" s="10"/>
      <c r="Q278" s="10"/>
      <c r="R278" s="11">
        <v>0</v>
      </c>
      <c r="S278" s="10"/>
      <c r="T278" s="10"/>
      <c r="U278" s="11">
        <v>0</v>
      </c>
      <c r="V278" s="10"/>
      <c r="W278" s="10"/>
      <c r="X278" s="11">
        <v>0</v>
      </c>
      <c r="Y278" s="10"/>
      <c r="Z278" s="10"/>
      <c r="AA278" s="11"/>
      <c r="AB278" s="10"/>
      <c r="AC278" s="10"/>
      <c r="AD278" s="11">
        <v>0</v>
      </c>
      <c r="AE278" s="10"/>
      <c r="AF278" s="10"/>
      <c r="AG278" s="11">
        <v>0</v>
      </c>
      <c r="AH278" s="10"/>
      <c r="AI278" s="10"/>
      <c r="AJ278" s="11">
        <v>0</v>
      </c>
      <c r="AK278" s="10"/>
      <c r="AL278" s="10"/>
      <c r="AM278" s="11">
        <v>0</v>
      </c>
      <c r="AN278" s="10"/>
      <c r="AO278" s="10"/>
      <c r="AP278" s="11">
        <v>0</v>
      </c>
      <c r="AQ278" s="10"/>
      <c r="AR278" s="10"/>
      <c r="AS278" s="11">
        <v>0</v>
      </c>
      <c r="AT278" s="10"/>
      <c r="AU278" s="10"/>
      <c r="AV278" s="11">
        <v>0</v>
      </c>
      <c r="AW278" s="10"/>
      <c r="AX278" s="10"/>
      <c r="AY278" s="11">
        <v>0</v>
      </c>
      <c r="AZ278" s="10"/>
      <c r="BA278" s="10"/>
      <c r="BB278" s="11">
        <v>0</v>
      </c>
      <c r="BC278" s="10"/>
      <c r="BD278" s="10"/>
      <c r="BE278" s="11">
        <v>0</v>
      </c>
      <c r="BF278" s="10"/>
      <c r="BG278" s="10"/>
      <c r="BH278" s="11">
        <v>0</v>
      </c>
      <c r="BI278" s="10"/>
      <c r="BJ278" s="10"/>
      <c r="BK278" s="11">
        <v>0</v>
      </c>
      <c r="BL278" s="10"/>
      <c r="BM278" s="10"/>
      <c r="BN278" s="11">
        <v>0</v>
      </c>
      <c r="BO278" s="10"/>
      <c r="BP278" s="10"/>
      <c r="BQ278" s="11">
        <v>0</v>
      </c>
      <c r="BR278" s="10"/>
      <c r="BS278" s="10"/>
      <c r="BT278" s="11">
        <v>0</v>
      </c>
      <c r="BU278" s="10"/>
      <c r="BV278" s="10"/>
      <c r="BW278" s="11">
        <v>0</v>
      </c>
      <c r="BX278" s="10"/>
      <c r="BY278" s="10"/>
      <c r="BZ278" s="11">
        <v>0</v>
      </c>
      <c r="CA278" s="10"/>
      <c r="CB278" s="10"/>
      <c r="CC278" s="11">
        <v>0</v>
      </c>
      <c r="CD278" s="10"/>
      <c r="CE278" s="10"/>
      <c r="CF278" s="11">
        <v>0</v>
      </c>
      <c r="CG278" s="10"/>
      <c r="CH278" s="10"/>
      <c r="CI278" s="11">
        <v>0</v>
      </c>
      <c r="CJ278" s="10"/>
      <c r="CK278" s="10"/>
      <c r="CL278" s="11">
        <v>0</v>
      </c>
      <c r="CM278" s="10"/>
      <c r="CN278" s="10"/>
      <c r="CO278" s="11">
        <v>0</v>
      </c>
      <c r="CP278" s="10"/>
      <c r="CQ278" s="10"/>
      <c r="CR278" s="11">
        <v>0</v>
      </c>
      <c r="CS278" s="10"/>
      <c r="CT278" s="10"/>
      <c r="CU278" s="11">
        <v>0</v>
      </c>
      <c r="CV278" s="10"/>
      <c r="CW278" s="10"/>
      <c r="CX278" s="11">
        <v>0</v>
      </c>
      <c r="CY278" s="10"/>
      <c r="CZ278" s="10"/>
      <c r="DA278" s="11">
        <v>0</v>
      </c>
      <c r="DB278" s="10"/>
      <c r="DC278" s="10"/>
      <c r="DD278" s="13">
        <v>0</v>
      </c>
      <c r="DE278" s="14"/>
    </row>
    <row r="279" spans="1:109" x14ac:dyDescent="0.35">
      <c r="A279" s="8" t="s">
        <v>619</v>
      </c>
      <c r="B279" s="9" t="s">
        <v>172</v>
      </c>
      <c r="C279" s="9" t="s">
        <v>52</v>
      </c>
      <c r="D279" s="9" t="s">
        <v>620</v>
      </c>
      <c r="E279" s="9" t="s">
        <v>54</v>
      </c>
      <c r="F279" s="9" t="s">
        <v>55</v>
      </c>
      <c r="G279" s="10"/>
      <c r="H279" s="10"/>
      <c r="I279" s="11">
        <v>0</v>
      </c>
      <c r="J279" s="10"/>
      <c r="K279" s="10"/>
      <c r="L279" s="12">
        <v>0</v>
      </c>
      <c r="M279" s="10"/>
      <c r="N279" s="10"/>
      <c r="O279" s="11">
        <v>0</v>
      </c>
      <c r="P279" s="10"/>
      <c r="Q279" s="10"/>
      <c r="R279" s="11">
        <v>0</v>
      </c>
      <c r="S279" s="10"/>
      <c r="T279" s="10"/>
      <c r="U279" s="11">
        <v>0</v>
      </c>
      <c r="V279" s="10"/>
      <c r="W279" s="10"/>
      <c r="X279" s="11">
        <v>0</v>
      </c>
      <c r="Y279" s="10"/>
      <c r="Z279" s="10"/>
      <c r="AA279" s="11"/>
      <c r="AB279" s="10"/>
      <c r="AC279" s="10"/>
      <c r="AD279" s="11">
        <v>0</v>
      </c>
      <c r="AE279" s="10"/>
      <c r="AF279" s="10"/>
      <c r="AG279" s="11">
        <v>0</v>
      </c>
      <c r="AH279" s="10"/>
      <c r="AI279" s="10"/>
      <c r="AJ279" s="11">
        <v>0</v>
      </c>
      <c r="AK279" s="10"/>
      <c r="AL279" s="10"/>
      <c r="AM279" s="11">
        <v>0</v>
      </c>
      <c r="AN279" s="10"/>
      <c r="AO279" s="10"/>
      <c r="AP279" s="11">
        <v>0</v>
      </c>
      <c r="AQ279" s="10"/>
      <c r="AR279" s="10"/>
      <c r="AS279" s="11">
        <v>0</v>
      </c>
      <c r="AT279" s="10"/>
      <c r="AU279" s="10"/>
      <c r="AV279" s="11">
        <v>0</v>
      </c>
      <c r="AW279" s="10"/>
      <c r="AX279" s="10"/>
      <c r="AY279" s="11">
        <v>0</v>
      </c>
      <c r="AZ279" s="10"/>
      <c r="BA279" s="10"/>
      <c r="BB279" s="11">
        <v>0</v>
      </c>
      <c r="BC279" s="10"/>
      <c r="BD279" s="10"/>
      <c r="BE279" s="11">
        <v>0</v>
      </c>
      <c r="BF279" s="10"/>
      <c r="BG279" s="10"/>
      <c r="BH279" s="11">
        <v>0</v>
      </c>
      <c r="BI279" s="10"/>
      <c r="BJ279" s="10"/>
      <c r="BK279" s="11">
        <v>0</v>
      </c>
      <c r="BL279" s="10"/>
      <c r="BM279" s="10"/>
      <c r="BN279" s="11">
        <v>0</v>
      </c>
      <c r="BO279" s="10"/>
      <c r="BP279" s="10"/>
      <c r="BQ279" s="11">
        <v>0</v>
      </c>
      <c r="BR279" s="10"/>
      <c r="BS279" s="10"/>
      <c r="BT279" s="11">
        <v>0</v>
      </c>
      <c r="BU279" s="10"/>
      <c r="BV279" s="10"/>
      <c r="BW279" s="11">
        <v>0</v>
      </c>
      <c r="BX279" s="10"/>
      <c r="BY279" s="10"/>
      <c r="BZ279" s="11">
        <v>0</v>
      </c>
      <c r="CA279" s="10"/>
      <c r="CB279" s="10"/>
      <c r="CC279" s="11">
        <v>0</v>
      </c>
      <c r="CD279" s="10"/>
      <c r="CE279" s="10"/>
      <c r="CF279" s="11">
        <v>0</v>
      </c>
      <c r="CG279" s="10"/>
      <c r="CH279" s="10"/>
      <c r="CI279" s="11">
        <v>0</v>
      </c>
      <c r="CJ279" s="10"/>
      <c r="CK279" s="10"/>
      <c r="CL279" s="11">
        <v>0</v>
      </c>
      <c r="CM279" s="10"/>
      <c r="CN279" s="10"/>
      <c r="CO279" s="11">
        <v>0</v>
      </c>
      <c r="CP279" s="10"/>
      <c r="CQ279" s="10"/>
      <c r="CR279" s="11">
        <v>0</v>
      </c>
      <c r="CS279" s="10"/>
      <c r="CT279" s="10"/>
      <c r="CU279" s="11">
        <v>0</v>
      </c>
      <c r="CV279" s="10"/>
      <c r="CW279" s="10"/>
      <c r="CX279" s="11">
        <v>0</v>
      </c>
      <c r="CY279" s="10"/>
      <c r="CZ279" s="10"/>
      <c r="DA279" s="11">
        <v>0</v>
      </c>
      <c r="DB279" s="10"/>
      <c r="DC279" s="10"/>
      <c r="DD279" s="13">
        <v>0</v>
      </c>
      <c r="DE279" s="14"/>
    </row>
    <row r="280" spans="1:109" x14ac:dyDescent="0.35">
      <c r="A280" s="8" t="s">
        <v>621</v>
      </c>
      <c r="B280" s="9" t="s">
        <v>172</v>
      </c>
      <c r="C280" s="9" t="s">
        <v>52</v>
      </c>
      <c r="D280" s="9" t="s">
        <v>622</v>
      </c>
      <c r="E280" s="9" t="s">
        <v>54</v>
      </c>
      <c r="F280" s="9" t="s">
        <v>55</v>
      </c>
      <c r="G280" s="10"/>
      <c r="H280" s="10"/>
      <c r="I280" s="11">
        <v>0</v>
      </c>
      <c r="J280" s="10"/>
      <c r="K280" s="10"/>
      <c r="L280" s="12">
        <v>0</v>
      </c>
      <c r="M280" s="10"/>
      <c r="N280" s="10"/>
      <c r="O280" s="11">
        <v>0</v>
      </c>
      <c r="P280" s="10"/>
      <c r="Q280" s="10"/>
      <c r="R280" s="11">
        <v>0</v>
      </c>
      <c r="S280" s="10"/>
      <c r="T280" s="10"/>
      <c r="U280" s="11">
        <v>0</v>
      </c>
      <c r="V280" s="10"/>
      <c r="W280" s="10"/>
      <c r="X280" s="11">
        <v>0</v>
      </c>
      <c r="Y280" s="10"/>
      <c r="Z280" s="10"/>
      <c r="AA280" s="11"/>
      <c r="AB280" s="10"/>
      <c r="AC280" s="10"/>
      <c r="AD280" s="11">
        <v>0</v>
      </c>
      <c r="AE280" s="10"/>
      <c r="AF280" s="10"/>
      <c r="AG280" s="11">
        <v>0</v>
      </c>
      <c r="AH280" s="10"/>
      <c r="AI280" s="10"/>
      <c r="AJ280" s="11">
        <v>0</v>
      </c>
      <c r="AK280" s="10"/>
      <c r="AL280" s="10"/>
      <c r="AM280" s="11">
        <v>0</v>
      </c>
      <c r="AN280" s="10"/>
      <c r="AO280" s="10"/>
      <c r="AP280" s="11">
        <v>0</v>
      </c>
      <c r="AQ280" s="10"/>
      <c r="AR280" s="10"/>
      <c r="AS280" s="11">
        <v>0</v>
      </c>
      <c r="AT280" s="10"/>
      <c r="AU280" s="10"/>
      <c r="AV280" s="11">
        <v>0</v>
      </c>
      <c r="AW280" s="10"/>
      <c r="AX280" s="10"/>
      <c r="AY280" s="11">
        <v>0</v>
      </c>
      <c r="AZ280" s="10"/>
      <c r="BA280" s="10"/>
      <c r="BB280" s="11">
        <v>0</v>
      </c>
      <c r="BC280" s="10"/>
      <c r="BD280" s="10"/>
      <c r="BE280" s="11">
        <v>0</v>
      </c>
      <c r="BF280" s="10"/>
      <c r="BG280" s="10"/>
      <c r="BH280" s="11">
        <v>0</v>
      </c>
      <c r="BI280" s="10"/>
      <c r="BJ280" s="10"/>
      <c r="BK280" s="11">
        <v>0</v>
      </c>
      <c r="BL280" s="10"/>
      <c r="BM280" s="10"/>
      <c r="BN280" s="11">
        <v>0</v>
      </c>
      <c r="BO280" s="10"/>
      <c r="BP280" s="10"/>
      <c r="BQ280" s="11">
        <v>0</v>
      </c>
      <c r="BR280" s="10"/>
      <c r="BS280" s="10"/>
      <c r="BT280" s="11">
        <v>0</v>
      </c>
      <c r="BU280" s="10"/>
      <c r="BV280" s="10"/>
      <c r="BW280" s="11">
        <v>0</v>
      </c>
      <c r="BX280" s="10"/>
      <c r="BY280" s="10"/>
      <c r="BZ280" s="11">
        <v>0</v>
      </c>
      <c r="CA280" s="10"/>
      <c r="CB280" s="10"/>
      <c r="CC280" s="11">
        <v>0</v>
      </c>
      <c r="CD280" s="10"/>
      <c r="CE280" s="10"/>
      <c r="CF280" s="11">
        <v>0</v>
      </c>
      <c r="CG280" s="10"/>
      <c r="CH280" s="10"/>
      <c r="CI280" s="11">
        <v>0</v>
      </c>
      <c r="CJ280" s="10"/>
      <c r="CK280" s="10"/>
      <c r="CL280" s="11">
        <v>0</v>
      </c>
      <c r="CM280" s="10"/>
      <c r="CN280" s="10"/>
      <c r="CO280" s="11">
        <v>0</v>
      </c>
      <c r="CP280" s="10"/>
      <c r="CQ280" s="10"/>
      <c r="CR280" s="11">
        <v>0</v>
      </c>
      <c r="CS280" s="10"/>
      <c r="CT280" s="10"/>
      <c r="CU280" s="11">
        <v>0</v>
      </c>
      <c r="CV280" s="10"/>
      <c r="CW280" s="10"/>
      <c r="CX280" s="11">
        <v>0</v>
      </c>
      <c r="CY280" s="10"/>
      <c r="CZ280" s="10"/>
      <c r="DA280" s="11">
        <v>0</v>
      </c>
      <c r="DB280" s="10"/>
      <c r="DC280" s="10"/>
      <c r="DD280" s="13">
        <v>0</v>
      </c>
      <c r="DE280" s="14"/>
    </row>
    <row r="281" spans="1:109" x14ac:dyDescent="0.35">
      <c r="A281" s="8" t="s">
        <v>623</v>
      </c>
      <c r="B281" s="9" t="s">
        <v>74</v>
      </c>
      <c r="C281" s="9" t="s">
        <v>52</v>
      </c>
      <c r="D281" s="9" t="s">
        <v>624</v>
      </c>
      <c r="E281" s="9" t="s">
        <v>54</v>
      </c>
      <c r="F281" s="9" t="s">
        <v>55</v>
      </c>
      <c r="G281" s="10"/>
      <c r="H281" s="10"/>
      <c r="I281" s="11">
        <v>0</v>
      </c>
      <c r="J281" s="10"/>
      <c r="K281" s="10"/>
      <c r="L281" s="12">
        <v>0</v>
      </c>
      <c r="M281" s="10"/>
      <c r="N281" s="10"/>
      <c r="O281" s="11">
        <v>0</v>
      </c>
      <c r="P281" s="10"/>
      <c r="Q281" s="10"/>
      <c r="R281" s="11">
        <v>0</v>
      </c>
      <c r="S281" s="10"/>
      <c r="T281" s="10"/>
      <c r="U281" s="11">
        <v>0</v>
      </c>
      <c r="V281" s="10"/>
      <c r="W281" s="10"/>
      <c r="X281" s="11">
        <v>0</v>
      </c>
      <c r="Y281" s="10"/>
      <c r="Z281" s="10"/>
      <c r="AA281" s="11"/>
      <c r="AB281" s="10"/>
      <c r="AC281" s="10"/>
      <c r="AD281" s="11">
        <v>0</v>
      </c>
      <c r="AE281" s="10"/>
      <c r="AF281" s="10"/>
      <c r="AG281" s="11">
        <v>0</v>
      </c>
      <c r="AH281" s="10"/>
      <c r="AI281" s="10"/>
      <c r="AJ281" s="11">
        <v>0</v>
      </c>
      <c r="AK281" s="10"/>
      <c r="AL281" s="10"/>
      <c r="AM281" s="11">
        <v>0</v>
      </c>
      <c r="AN281" s="10"/>
      <c r="AO281" s="10"/>
      <c r="AP281" s="11">
        <v>0</v>
      </c>
      <c r="AQ281" s="10"/>
      <c r="AR281" s="10"/>
      <c r="AS281" s="11">
        <v>0</v>
      </c>
      <c r="AT281" s="10"/>
      <c r="AU281" s="10"/>
      <c r="AV281" s="11">
        <v>0</v>
      </c>
      <c r="AW281" s="10"/>
      <c r="AX281" s="10"/>
      <c r="AY281" s="11">
        <v>0</v>
      </c>
      <c r="AZ281" s="10"/>
      <c r="BA281" s="10"/>
      <c r="BB281" s="11">
        <v>0</v>
      </c>
      <c r="BC281" s="10"/>
      <c r="BD281" s="10"/>
      <c r="BE281" s="11">
        <v>0</v>
      </c>
      <c r="BF281" s="10"/>
      <c r="BG281" s="10"/>
      <c r="BH281" s="11">
        <v>0</v>
      </c>
      <c r="BI281" s="10"/>
      <c r="BJ281" s="10"/>
      <c r="BK281" s="11">
        <v>0</v>
      </c>
      <c r="BL281" s="10"/>
      <c r="BM281" s="10"/>
      <c r="BN281" s="11">
        <v>0</v>
      </c>
      <c r="BO281" s="10"/>
      <c r="BP281" s="10"/>
      <c r="BQ281" s="11">
        <v>0</v>
      </c>
      <c r="BR281" s="10"/>
      <c r="BS281" s="10"/>
      <c r="BT281" s="11">
        <v>0</v>
      </c>
      <c r="BU281" s="10"/>
      <c r="BV281" s="10"/>
      <c r="BW281" s="11">
        <v>0</v>
      </c>
      <c r="BX281" s="10"/>
      <c r="BY281" s="10"/>
      <c r="BZ281" s="11">
        <v>0</v>
      </c>
      <c r="CA281" s="10"/>
      <c r="CB281" s="10"/>
      <c r="CC281" s="11">
        <v>0</v>
      </c>
      <c r="CD281" s="10"/>
      <c r="CE281" s="10"/>
      <c r="CF281" s="11">
        <v>0</v>
      </c>
      <c r="CG281" s="10"/>
      <c r="CH281" s="10"/>
      <c r="CI281" s="11">
        <v>0</v>
      </c>
      <c r="CJ281" s="10"/>
      <c r="CK281" s="10"/>
      <c r="CL281" s="11">
        <v>0</v>
      </c>
      <c r="CM281" s="10"/>
      <c r="CN281" s="10"/>
      <c r="CO281" s="11">
        <v>0</v>
      </c>
      <c r="CP281" s="10"/>
      <c r="CQ281" s="10"/>
      <c r="CR281" s="11">
        <v>0</v>
      </c>
      <c r="CS281" s="10"/>
      <c r="CT281" s="10"/>
      <c r="CU281" s="11">
        <v>0</v>
      </c>
      <c r="CV281" s="10"/>
      <c r="CW281" s="10"/>
      <c r="CX281" s="11">
        <v>0</v>
      </c>
      <c r="CY281" s="10"/>
      <c r="CZ281" s="10"/>
      <c r="DA281" s="11">
        <v>0</v>
      </c>
      <c r="DB281" s="10"/>
      <c r="DC281" s="10"/>
      <c r="DD281" s="13">
        <v>0</v>
      </c>
      <c r="DE281" s="14"/>
    </row>
    <row r="282" spans="1:109" x14ac:dyDescent="0.35">
      <c r="A282" s="8" t="s">
        <v>625</v>
      </c>
      <c r="B282" s="9" t="s">
        <v>74</v>
      </c>
      <c r="C282" s="9" t="s">
        <v>52</v>
      </c>
      <c r="D282" s="9" t="s">
        <v>626</v>
      </c>
      <c r="E282" s="9" t="s">
        <v>54</v>
      </c>
      <c r="F282" s="9" t="s">
        <v>55</v>
      </c>
      <c r="G282" s="10"/>
      <c r="H282" s="10"/>
      <c r="I282" s="11">
        <v>0</v>
      </c>
      <c r="J282" s="10"/>
      <c r="K282" s="10"/>
      <c r="L282" s="12">
        <v>0</v>
      </c>
      <c r="M282" s="10"/>
      <c r="N282" s="10"/>
      <c r="O282" s="11">
        <v>0</v>
      </c>
      <c r="P282" s="10"/>
      <c r="Q282" s="10"/>
      <c r="R282" s="11">
        <v>0</v>
      </c>
      <c r="S282" s="10"/>
      <c r="T282" s="10"/>
      <c r="U282" s="11">
        <v>0</v>
      </c>
      <c r="V282" s="10"/>
      <c r="W282" s="10"/>
      <c r="X282" s="11">
        <v>0</v>
      </c>
      <c r="Y282" s="10"/>
      <c r="Z282" s="10"/>
      <c r="AA282" s="11"/>
      <c r="AB282" s="10"/>
      <c r="AC282" s="10"/>
      <c r="AD282" s="11">
        <v>0</v>
      </c>
      <c r="AE282" s="10"/>
      <c r="AF282" s="10"/>
      <c r="AG282" s="11">
        <v>0</v>
      </c>
      <c r="AH282" s="10"/>
      <c r="AI282" s="10"/>
      <c r="AJ282" s="11">
        <v>0</v>
      </c>
      <c r="AK282" s="10"/>
      <c r="AL282" s="10"/>
      <c r="AM282" s="11">
        <v>0</v>
      </c>
      <c r="AN282" s="10"/>
      <c r="AO282" s="10"/>
      <c r="AP282" s="11">
        <v>0</v>
      </c>
      <c r="AQ282" s="10"/>
      <c r="AR282" s="10"/>
      <c r="AS282" s="11">
        <v>0</v>
      </c>
      <c r="AT282" s="10"/>
      <c r="AU282" s="10"/>
      <c r="AV282" s="11">
        <v>0</v>
      </c>
      <c r="AW282" s="10"/>
      <c r="AX282" s="10"/>
      <c r="AY282" s="11">
        <v>0</v>
      </c>
      <c r="AZ282" s="10"/>
      <c r="BA282" s="10"/>
      <c r="BB282" s="11">
        <v>0</v>
      </c>
      <c r="BC282" s="10"/>
      <c r="BD282" s="10"/>
      <c r="BE282" s="11">
        <v>0</v>
      </c>
      <c r="BF282" s="10"/>
      <c r="BG282" s="10"/>
      <c r="BH282" s="11">
        <v>0</v>
      </c>
      <c r="BI282" s="10"/>
      <c r="BJ282" s="10"/>
      <c r="BK282" s="11">
        <v>0</v>
      </c>
      <c r="BL282" s="10"/>
      <c r="BM282" s="10"/>
      <c r="BN282" s="11">
        <v>0</v>
      </c>
      <c r="BO282" s="10"/>
      <c r="BP282" s="10"/>
      <c r="BQ282" s="11">
        <v>0</v>
      </c>
      <c r="BR282" s="10"/>
      <c r="BS282" s="10"/>
      <c r="BT282" s="11">
        <v>0</v>
      </c>
      <c r="BU282" s="10"/>
      <c r="BV282" s="10"/>
      <c r="BW282" s="11">
        <v>0</v>
      </c>
      <c r="BX282" s="10"/>
      <c r="BY282" s="10"/>
      <c r="BZ282" s="11">
        <v>0</v>
      </c>
      <c r="CA282" s="10"/>
      <c r="CB282" s="10"/>
      <c r="CC282" s="11">
        <v>0</v>
      </c>
      <c r="CD282" s="10"/>
      <c r="CE282" s="10"/>
      <c r="CF282" s="11">
        <v>0</v>
      </c>
      <c r="CG282" s="10"/>
      <c r="CH282" s="10"/>
      <c r="CI282" s="11">
        <v>0</v>
      </c>
      <c r="CJ282" s="10"/>
      <c r="CK282" s="10"/>
      <c r="CL282" s="11">
        <v>0</v>
      </c>
      <c r="CM282" s="10"/>
      <c r="CN282" s="10"/>
      <c r="CO282" s="11">
        <v>0</v>
      </c>
      <c r="CP282" s="10"/>
      <c r="CQ282" s="10"/>
      <c r="CR282" s="11">
        <v>0</v>
      </c>
      <c r="CS282" s="10"/>
      <c r="CT282" s="10"/>
      <c r="CU282" s="11">
        <v>0</v>
      </c>
      <c r="CV282" s="10"/>
      <c r="CW282" s="10"/>
      <c r="CX282" s="11">
        <v>0</v>
      </c>
      <c r="CY282" s="10"/>
      <c r="CZ282" s="10"/>
      <c r="DA282" s="11">
        <v>0</v>
      </c>
      <c r="DB282" s="10"/>
      <c r="DC282" s="10"/>
      <c r="DD282" s="13">
        <v>0</v>
      </c>
      <c r="DE282" s="14"/>
    </row>
    <row r="283" spans="1:109" x14ac:dyDescent="0.35">
      <c r="A283" s="8" t="s">
        <v>627</v>
      </c>
      <c r="B283" s="9" t="s">
        <v>51</v>
      </c>
      <c r="C283" s="9" t="s">
        <v>52</v>
      </c>
      <c r="D283" s="9" t="s">
        <v>628</v>
      </c>
      <c r="E283" s="9" t="s">
        <v>54</v>
      </c>
      <c r="F283" s="9" t="s">
        <v>55</v>
      </c>
      <c r="G283" s="10"/>
      <c r="H283" s="10"/>
      <c r="I283" s="11">
        <v>0</v>
      </c>
      <c r="J283" s="10"/>
      <c r="K283" s="10"/>
      <c r="L283" s="12">
        <v>0</v>
      </c>
      <c r="M283" s="10"/>
      <c r="N283" s="10"/>
      <c r="O283" s="11">
        <v>0</v>
      </c>
      <c r="P283" s="10"/>
      <c r="Q283" s="10"/>
      <c r="R283" s="11">
        <v>0</v>
      </c>
      <c r="S283" s="10"/>
      <c r="T283" s="10"/>
      <c r="U283" s="11">
        <v>0</v>
      </c>
      <c r="V283" s="10"/>
      <c r="W283" s="10"/>
      <c r="X283" s="11">
        <v>0</v>
      </c>
      <c r="Y283" s="10"/>
      <c r="Z283" s="10"/>
      <c r="AA283" s="11"/>
      <c r="AB283" s="10"/>
      <c r="AC283" s="10"/>
      <c r="AD283" s="11">
        <v>0</v>
      </c>
      <c r="AE283" s="10"/>
      <c r="AF283" s="10"/>
      <c r="AG283" s="11">
        <v>0</v>
      </c>
      <c r="AH283" s="10"/>
      <c r="AI283" s="10"/>
      <c r="AJ283" s="11">
        <v>0</v>
      </c>
      <c r="AK283" s="10"/>
      <c r="AL283" s="10"/>
      <c r="AM283" s="11">
        <v>0</v>
      </c>
      <c r="AN283" s="10"/>
      <c r="AO283" s="10"/>
      <c r="AP283" s="11">
        <v>0</v>
      </c>
      <c r="AQ283" s="10"/>
      <c r="AR283" s="10"/>
      <c r="AS283" s="11">
        <v>0</v>
      </c>
      <c r="AT283" s="10"/>
      <c r="AU283" s="10"/>
      <c r="AV283" s="11">
        <v>0</v>
      </c>
      <c r="AW283" s="10"/>
      <c r="AX283" s="10"/>
      <c r="AY283" s="11">
        <v>0</v>
      </c>
      <c r="AZ283" s="10"/>
      <c r="BA283" s="10"/>
      <c r="BB283" s="11">
        <v>0</v>
      </c>
      <c r="BC283" s="10"/>
      <c r="BD283" s="10"/>
      <c r="BE283" s="11">
        <v>0</v>
      </c>
      <c r="BF283" s="10"/>
      <c r="BG283" s="10"/>
      <c r="BH283" s="11">
        <v>0</v>
      </c>
      <c r="BI283" s="10"/>
      <c r="BJ283" s="10"/>
      <c r="BK283" s="11">
        <v>0</v>
      </c>
      <c r="BL283" s="10"/>
      <c r="BM283" s="10"/>
      <c r="BN283" s="11">
        <v>0</v>
      </c>
      <c r="BO283" s="10"/>
      <c r="BP283" s="10"/>
      <c r="BQ283" s="11">
        <v>0</v>
      </c>
      <c r="BR283" s="10"/>
      <c r="BS283" s="10"/>
      <c r="BT283" s="11">
        <v>0</v>
      </c>
      <c r="BU283" s="10"/>
      <c r="BV283" s="10"/>
      <c r="BW283" s="11">
        <v>0</v>
      </c>
      <c r="BX283" s="10"/>
      <c r="BY283" s="10"/>
      <c r="BZ283" s="11">
        <v>0</v>
      </c>
      <c r="CA283" s="10"/>
      <c r="CB283" s="10"/>
      <c r="CC283" s="11">
        <v>0</v>
      </c>
      <c r="CD283" s="10"/>
      <c r="CE283" s="10"/>
      <c r="CF283" s="11">
        <v>0</v>
      </c>
      <c r="CG283" s="10"/>
      <c r="CH283" s="10"/>
      <c r="CI283" s="11">
        <v>0</v>
      </c>
      <c r="CJ283" s="10"/>
      <c r="CK283" s="10"/>
      <c r="CL283" s="11">
        <v>0</v>
      </c>
      <c r="CM283" s="10"/>
      <c r="CN283" s="10"/>
      <c r="CO283" s="11">
        <v>0</v>
      </c>
      <c r="CP283" s="10"/>
      <c r="CQ283" s="10"/>
      <c r="CR283" s="11">
        <v>0</v>
      </c>
      <c r="CS283" s="10"/>
      <c r="CT283" s="10"/>
      <c r="CU283" s="11">
        <v>0</v>
      </c>
      <c r="CV283" s="10"/>
      <c r="CW283" s="10"/>
      <c r="CX283" s="11">
        <v>0</v>
      </c>
      <c r="CY283" s="10"/>
      <c r="CZ283" s="10"/>
      <c r="DA283" s="11">
        <v>0</v>
      </c>
      <c r="DB283" s="10"/>
      <c r="DC283" s="10"/>
      <c r="DD283" s="13">
        <v>0</v>
      </c>
      <c r="DE283" s="14"/>
    </row>
    <row r="284" spans="1:109" x14ac:dyDescent="0.35">
      <c r="A284" s="8" t="s">
        <v>629</v>
      </c>
      <c r="B284" s="9" t="s">
        <v>51</v>
      </c>
      <c r="C284" s="9" t="s">
        <v>52</v>
      </c>
      <c r="D284" s="9" t="s">
        <v>630</v>
      </c>
      <c r="E284" s="9" t="s">
        <v>54</v>
      </c>
      <c r="F284" s="9" t="s">
        <v>55</v>
      </c>
      <c r="G284" s="10"/>
      <c r="H284" s="10"/>
      <c r="I284" s="11">
        <v>0</v>
      </c>
      <c r="J284" s="10"/>
      <c r="K284" s="10"/>
      <c r="L284" s="12">
        <v>0</v>
      </c>
      <c r="M284" s="10"/>
      <c r="N284" s="10"/>
      <c r="O284" s="11">
        <v>0</v>
      </c>
      <c r="P284" s="10"/>
      <c r="Q284" s="10"/>
      <c r="R284" s="11">
        <v>0</v>
      </c>
      <c r="S284" s="10"/>
      <c r="T284" s="10"/>
      <c r="U284" s="11">
        <v>0</v>
      </c>
      <c r="V284" s="10"/>
      <c r="W284" s="10"/>
      <c r="X284" s="11">
        <v>0</v>
      </c>
      <c r="Y284" s="10"/>
      <c r="Z284" s="10"/>
      <c r="AA284" s="11"/>
      <c r="AB284" s="10"/>
      <c r="AC284" s="10"/>
      <c r="AD284" s="11">
        <v>0</v>
      </c>
      <c r="AE284" s="10"/>
      <c r="AF284" s="10"/>
      <c r="AG284" s="11">
        <v>0</v>
      </c>
      <c r="AH284" s="10"/>
      <c r="AI284" s="10"/>
      <c r="AJ284" s="11">
        <v>0</v>
      </c>
      <c r="AK284" s="10"/>
      <c r="AL284" s="10"/>
      <c r="AM284" s="11">
        <v>0</v>
      </c>
      <c r="AN284" s="10"/>
      <c r="AO284" s="10"/>
      <c r="AP284" s="11">
        <v>0</v>
      </c>
      <c r="AQ284" s="10"/>
      <c r="AR284" s="10"/>
      <c r="AS284" s="11">
        <v>0</v>
      </c>
      <c r="AT284" s="10"/>
      <c r="AU284" s="10"/>
      <c r="AV284" s="11">
        <v>0</v>
      </c>
      <c r="AW284" s="10"/>
      <c r="AX284" s="10"/>
      <c r="AY284" s="11">
        <v>0</v>
      </c>
      <c r="AZ284" s="10"/>
      <c r="BA284" s="10"/>
      <c r="BB284" s="11">
        <v>0</v>
      </c>
      <c r="BC284" s="10"/>
      <c r="BD284" s="10"/>
      <c r="BE284" s="11">
        <v>0</v>
      </c>
      <c r="BF284" s="10"/>
      <c r="BG284" s="10"/>
      <c r="BH284" s="11">
        <v>0</v>
      </c>
      <c r="BI284" s="10"/>
      <c r="BJ284" s="10"/>
      <c r="BK284" s="11">
        <v>0</v>
      </c>
      <c r="BL284" s="10"/>
      <c r="BM284" s="10"/>
      <c r="BN284" s="11">
        <v>0</v>
      </c>
      <c r="BO284" s="10"/>
      <c r="BP284" s="10"/>
      <c r="BQ284" s="11">
        <v>0</v>
      </c>
      <c r="BR284" s="10"/>
      <c r="BS284" s="10"/>
      <c r="BT284" s="11">
        <v>0</v>
      </c>
      <c r="BU284" s="10"/>
      <c r="BV284" s="10"/>
      <c r="BW284" s="11">
        <v>0</v>
      </c>
      <c r="BX284" s="10"/>
      <c r="BY284" s="10"/>
      <c r="BZ284" s="11">
        <v>0</v>
      </c>
      <c r="CA284" s="10"/>
      <c r="CB284" s="10"/>
      <c r="CC284" s="11">
        <v>0</v>
      </c>
      <c r="CD284" s="10"/>
      <c r="CE284" s="10"/>
      <c r="CF284" s="11">
        <v>0</v>
      </c>
      <c r="CG284" s="10"/>
      <c r="CH284" s="10"/>
      <c r="CI284" s="11">
        <v>0</v>
      </c>
      <c r="CJ284" s="10"/>
      <c r="CK284" s="10"/>
      <c r="CL284" s="11">
        <v>0</v>
      </c>
      <c r="CM284" s="10"/>
      <c r="CN284" s="10"/>
      <c r="CO284" s="11">
        <v>0</v>
      </c>
      <c r="CP284" s="10"/>
      <c r="CQ284" s="10"/>
      <c r="CR284" s="11">
        <v>0</v>
      </c>
      <c r="CS284" s="10"/>
      <c r="CT284" s="10"/>
      <c r="CU284" s="11">
        <v>0</v>
      </c>
      <c r="CV284" s="10"/>
      <c r="CW284" s="10"/>
      <c r="CX284" s="11">
        <v>0</v>
      </c>
      <c r="CY284" s="10"/>
      <c r="CZ284" s="10"/>
      <c r="DA284" s="11">
        <v>0</v>
      </c>
      <c r="DB284" s="10"/>
      <c r="DC284" s="10"/>
      <c r="DD284" s="13">
        <v>0</v>
      </c>
      <c r="DE284" s="14"/>
    </row>
    <row r="285" spans="1:109" x14ac:dyDescent="0.35">
      <c r="A285" s="8" t="s">
        <v>631</v>
      </c>
      <c r="B285" s="9" t="s">
        <v>51</v>
      </c>
      <c r="C285" s="9" t="s">
        <v>52</v>
      </c>
      <c r="D285" s="9" t="s">
        <v>632</v>
      </c>
      <c r="E285" s="9" t="s">
        <v>54</v>
      </c>
      <c r="F285" s="9" t="s">
        <v>55</v>
      </c>
      <c r="G285" s="10"/>
      <c r="H285" s="10"/>
      <c r="I285" s="11">
        <v>0</v>
      </c>
      <c r="J285" s="10"/>
      <c r="K285" s="10"/>
      <c r="L285" s="12">
        <v>0</v>
      </c>
      <c r="M285" s="10"/>
      <c r="N285" s="10"/>
      <c r="O285" s="11">
        <v>0</v>
      </c>
      <c r="P285" s="10"/>
      <c r="Q285" s="10"/>
      <c r="R285" s="11">
        <v>0</v>
      </c>
      <c r="S285" s="10"/>
      <c r="T285" s="10"/>
      <c r="U285" s="11">
        <v>0</v>
      </c>
      <c r="V285" s="10"/>
      <c r="W285" s="10"/>
      <c r="X285" s="11">
        <v>0</v>
      </c>
      <c r="Y285" s="10"/>
      <c r="Z285" s="10"/>
      <c r="AA285" s="11"/>
      <c r="AB285" s="10"/>
      <c r="AC285" s="10"/>
      <c r="AD285" s="11">
        <v>0</v>
      </c>
      <c r="AE285" s="10"/>
      <c r="AF285" s="10"/>
      <c r="AG285" s="11">
        <v>0</v>
      </c>
      <c r="AH285" s="10"/>
      <c r="AI285" s="10"/>
      <c r="AJ285" s="11">
        <v>0</v>
      </c>
      <c r="AK285" s="10"/>
      <c r="AL285" s="10"/>
      <c r="AM285" s="11">
        <v>0</v>
      </c>
      <c r="AN285" s="10"/>
      <c r="AO285" s="10"/>
      <c r="AP285" s="11">
        <v>0</v>
      </c>
      <c r="AQ285" s="10"/>
      <c r="AR285" s="10"/>
      <c r="AS285" s="11">
        <v>0</v>
      </c>
      <c r="AT285" s="10"/>
      <c r="AU285" s="10"/>
      <c r="AV285" s="11">
        <v>0</v>
      </c>
      <c r="AW285" s="10"/>
      <c r="AX285" s="10"/>
      <c r="AY285" s="11">
        <v>0</v>
      </c>
      <c r="AZ285" s="10"/>
      <c r="BA285" s="10"/>
      <c r="BB285" s="11">
        <v>0</v>
      </c>
      <c r="BC285" s="10"/>
      <c r="BD285" s="10"/>
      <c r="BE285" s="11">
        <v>0</v>
      </c>
      <c r="BF285" s="10"/>
      <c r="BG285" s="10"/>
      <c r="BH285" s="11">
        <v>0</v>
      </c>
      <c r="BI285" s="10"/>
      <c r="BJ285" s="10"/>
      <c r="BK285" s="11">
        <v>0</v>
      </c>
      <c r="BL285" s="10"/>
      <c r="BM285" s="10"/>
      <c r="BN285" s="11">
        <v>0</v>
      </c>
      <c r="BO285" s="10"/>
      <c r="BP285" s="10"/>
      <c r="BQ285" s="11">
        <v>0</v>
      </c>
      <c r="BR285" s="10"/>
      <c r="BS285" s="10"/>
      <c r="BT285" s="11">
        <v>0</v>
      </c>
      <c r="BU285" s="10"/>
      <c r="BV285" s="10"/>
      <c r="BW285" s="11">
        <v>0</v>
      </c>
      <c r="BX285" s="10"/>
      <c r="BY285" s="10"/>
      <c r="BZ285" s="11">
        <v>0</v>
      </c>
      <c r="CA285" s="10"/>
      <c r="CB285" s="10"/>
      <c r="CC285" s="11">
        <v>0</v>
      </c>
      <c r="CD285" s="10"/>
      <c r="CE285" s="10"/>
      <c r="CF285" s="11">
        <v>0</v>
      </c>
      <c r="CG285" s="10"/>
      <c r="CH285" s="10"/>
      <c r="CI285" s="11">
        <v>0</v>
      </c>
      <c r="CJ285" s="10"/>
      <c r="CK285" s="10"/>
      <c r="CL285" s="11">
        <v>0</v>
      </c>
      <c r="CM285" s="10"/>
      <c r="CN285" s="10"/>
      <c r="CO285" s="11">
        <v>0</v>
      </c>
      <c r="CP285" s="10"/>
      <c r="CQ285" s="10"/>
      <c r="CR285" s="11">
        <v>0</v>
      </c>
      <c r="CS285" s="10"/>
      <c r="CT285" s="10"/>
      <c r="CU285" s="11">
        <v>0</v>
      </c>
      <c r="CV285" s="10"/>
      <c r="CW285" s="10"/>
      <c r="CX285" s="11">
        <v>0</v>
      </c>
      <c r="CY285" s="10"/>
      <c r="CZ285" s="10"/>
      <c r="DA285" s="11">
        <v>0</v>
      </c>
      <c r="DB285" s="10"/>
      <c r="DC285" s="10"/>
      <c r="DD285" s="13">
        <v>0</v>
      </c>
      <c r="DE285" s="14"/>
    </row>
    <row r="286" spans="1:109" x14ac:dyDescent="0.35">
      <c r="A286" s="8" t="s">
        <v>633</v>
      </c>
      <c r="B286" s="9" t="s">
        <v>51</v>
      </c>
      <c r="C286" s="9" t="s">
        <v>52</v>
      </c>
      <c r="D286" s="9" t="s">
        <v>634</v>
      </c>
      <c r="E286" s="9" t="s">
        <v>54</v>
      </c>
      <c r="F286" s="9" t="s">
        <v>55</v>
      </c>
      <c r="G286" s="10"/>
      <c r="H286" s="10"/>
      <c r="I286" s="11">
        <v>0</v>
      </c>
      <c r="J286" s="10"/>
      <c r="K286" s="10"/>
      <c r="L286" s="12">
        <v>0</v>
      </c>
      <c r="M286" s="10"/>
      <c r="N286" s="10"/>
      <c r="O286" s="11">
        <v>0</v>
      </c>
      <c r="P286" s="10"/>
      <c r="Q286" s="10"/>
      <c r="R286" s="11">
        <v>0</v>
      </c>
      <c r="S286" s="10"/>
      <c r="T286" s="10"/>
      <c r="U286" s="11">
        <v>0</v>
      </c>
      <c r="V286" s="10"/>
      <c r="W286" s="10"/>
      <c r="X286" s="11">
        <v>0</v>
      </c>
      <c r="Y286" s="10"/>
      <c r="Z286" s="10"/>
      <c r="AA286" s="11"/>
      <c r="AB286" s="10"/>
      <c r="AC286" s="10"/>
      <c r="AD286" s="11">
        <v>0</v>
      </c>
      <c r="AE286" s="10"/>
      <c r="AF286" s="10"/>
      <c r="AG286" s="11">
        <v>0</v>
      </c>
      <c r="AH286" s="10"/>
      <c r="AI286" s="10"/>
      <c r="AJ286" s="11">
        <v>0</v>
      </c>
      <c r="AK286" s="10"/>
      <c r="AL286" s="10"/>
      <c r="AM286" s="11">
        <v>0</v>
      </c>
      <c r="AN286" s="10"/>
      <c r="AO286" s="10"/>
      <c r="AP286" s="11">
        <v>0</v>
      </c>
      <c r="AQ286" s="10"/>
      <c r="AR286" s="10"/>
      <c r="AS286" s="11">
        <v>0</v>
      </c>
      <c r="AT286" s="10"/>
      <c r="AU286" s="10"/>
      <c r="AV286" s="11">
        <v>0</v>
      </c>
      <c r="AW286" s="10"/>
      <c r="AX286" s="10"/>
      <c r="AY286" s="11">
        <v>0</v>
      </c>
      <c r="AZ286" s="10"/>
      <c r="BA286" s="10"/>
      <c r="BB286" s="11">
        <v>0</v>
      </c>
      <c r="BC286" s="10"/>
      <c r="BD286" s="10"/>
      <c r="BE286" s="11">
        <v>0</v>
      </c>
      <c r="BF286" s="10"/>
      <c r="BG286" s="10"/>
      <c r="BH286" s="11">
        <v>0</v>
      </c>
      <c r="BI286" s="10"/>
      <c r="BJ286" s="10"/>
      <c r="BK286" s="11">
        <v>0</v>
      </c>
      <c r="BL286" s="10"/>
      <c r="BM286" s="10"/>
      <c r="BN286" s="11">
        <v>0</v>
      </c>
      <c r="BO286" s="10"/>
      <c r="BP286" s="10"/>
      <c r="BQ286" s="11">
        <v>0</v>
      </c>
      <c r="BR286" s="10"/>
      <c r="BS286" s="10"/>
      <c r="BT286" s="11">
        <v>0</v>
      </c>
      <c r="BU286" s="10"/>
      <c r="BV286" s="10"/>
      <c r="BW286" s="11">
        <v>0</v>
      </c>
      <c r="BX286" s="10"/>
      <c r="BY286" s="10"/>
      <c r="BZ286" s="11">
        <v>0</v>
      </c>
      <c r="CA286" s="10"/>
      <c r="CB286" s="10"/>
      <c r="CC286" s="11">
        <v>0</v>
      </c>
      <c r="CD286" s="10"/>
      <c r="CE286" s="10"/>
      <c r="CF286" s="11">
        <v>0</v>
      </c>
      <c r="CG286" s="10"/>
      <c r="CH286" s="10">
        <v>45800</v>
      </c>
      <c r="CI286" s="11">
        <v>0</v>
      </c>
      <c r="CJ286" s="10"/>
      <c r="CK286" s="10"/>
      <c r="CL286" s="11">
        <v>0</v>
      </c>
      <c r="CM286" s="10"/>
      <c r="CN286" s="10"/>
      <c r="CO286" s="11">
        <v>0</v>
      </c>
      <c r="CP286" s="10"/>
      <c r="CQ286" s="10"/>
      <c r="CR286" s="11">
        <v>0</v>
      </c>
      <c r="CS286" s="10"/>
      <c r="CT286" s="10"/>
      <c r="CU286" s="11">
        <v>0</v>
      </c>
      <c r="CV286" s="10"/>
      <c r="CW286" s="10"/>
      <c r="CX286" s="11">
        <v>0</v>
      </c>
      <c r="CY286" s="10"/>
      <c r="CZ286" s="10"/>
      <c r="DA286" s="11">
        <v>0</v>
      </c>
      <c r="DB286" s="10"/>
      <c r="DC286" s="10">
        <f t="shared" ref="DC286:DC295" si="497">SUM(H286,K286,N286,Q286,T286,W286,Z286,AC286,AF286,AI286,AL286,AO286,AR286,AU286,AX286,BA286,BD286,BG286,BJ286,BM286,BP286,BS286,BV286,BY286,CB286,CE286,CH286,CK286,CN286,CQ286,CT286,CW286,CZ286)</f>
        <v>45800</v>
      </c>
      <c r="DD286" s="13">
        <v>0</v>
      </c>
      <c r="DE286" s="14"/>
    </row>
    <row r="287" spans="1:109" x14ac:dyDescent="0.35">
      <c r="A287" s="8" t="s">
        <v>635</v>
      </c>
      <c r="B287" s="9" t="s">
        <v>51</v>
      </c>
      <c r="C287" s="9" t="s">
        <v>52</v>
      </c>
      <c r="D287" s="9" t="s">
        <v>636</v>
      </c>
      <c r="E287" s="9" t="s">
        <v>54</v>
      </c>
      <c r="F287" s="9" t="s">
        <v>55</v>
      </c>
      <c r="G287" s="10"/>
      <c r="H287" s="10"/>
      <c r="I287" s="11">
        <v>0</v>
      </c>
      <c r="J287" s="10"/>
      <c r="K287" s="10"/>
      <c r="L287" s="12">
        <v>0</v>
      </c>
      <c r="M287" s="10"/>
      <c r="N287" s="10"/>
      <c r="O287" s="11">
        <v>0</v>
      </c>
      <c r="P287" s="10"/>
      <c r="Q287" s="10"/>
      <c r="R287" s="11">
        <v>0</v>
      </c>
      <c r="S287" s="10"/>
      <c r="T287" s="10"/>
      <c r="U287" s="11">
        <v>0</v>
      </c>
      <c r="V287" s="10"/>
      <c r="W287" s="10"/>
      <c r="X287" s="11">
        <v>0</v>
      </c>
      <c r="Y287" s="10"/>
      <c r="Z287" s="10"/>
      <c r="AA287" s="11"/>
      <c r="AB287" s="10"/>
      <c r="AC287" s="10"/>
      <c r="AD287" s="11">
        <v>0</v>
      </c>
      <c r="AE287" s="10"/>
      <c r="AF287" s="10"/>
      <c r="AG287" s="11">
        <v>0</v>
      </c>
      <c r="AH287" s="10"/>
      <c r="AI287" s="10"/>
      <c r="AJ287" s="11">
        <v>0</v>
      </c>
      <c r="AK287" s="10"/>
      <c r="AL287" s="10"/>
      <c r="AM287" s="11">
        <v>0</v>
      </c>
      <c r="AN287" s="10"/>
      <c r="AO287" s="10"/>
      <c r="AP287" s="11">
        <v>0</v>
      </c>
      <c r="AQ287" s="10"/>
      <c r="AR287" s="10"/>
      <c r="AS287" s="11">
        <v>0</v>
      </c>
      <c r="AT287" s="10"/>
      <c r="AU287" s="10"/>
      <c r="AV287" s="11">
        <v>0</v>
      </c>
      <c r="AW287" s="10"/>
      <c r="AX287" s="10"/>
      <c r="AY287" s="11">
        <v>0</v>
      </c>
      <c r="AZ287" s="10"/>
      <c r="BA287" s="10"/>
      <c r="BB287" s="11">
        <v>0</v>
      </c>
      <c r="BC287" s="10"/>
      <c r="BD287" s="10"/>
      <c r="BE287" s="11">
        <v>0</v>
      </c>
      <c r="BF287" s="10"/>
      <c r="BG287" s="10"/>
      <c r="BH287" s="11">
        <v>0</v>
      </c>
      <c r="BI287" s="10"/>
      <c r="BJ287" s="10"/>
      <c r="BK287" s="11">
        <v>0</v>
      </c>
      <c r="BL287" s="10"/>
      <c r="BM287" s="10"/>
      <c r="BN287" s="11">
        <v>0</v>
      </c>
      <c r="BO287" s="10"/>
      <c r="BP287" s="10"/>
      <c r="BQ287" s="11">
        <v>0</v>
      </c>
      <c r="BR287" s="10"/>
      <c r="BS287" s="10"/>
      <c r="BT287" s="11">
        <v>0</v>
      </c>
      <c r="BU287" s="10"/>
      <c r="BV287" s="10"/>
      <c r="BW287" s="11">
        <v>0</v>
      </c>
      <c r="BX287" s="10"/>
      <c r="BY287" s="10"/>
      <c r="BZ287" s="11">
        <v>0</v>
      </c>
      <c r="CA287" s="10"/>
      <c r="CB287" s="10"/>
      <c r="CC287" s="11">
        <v>0</v>
      </c>
      <c r="CD287" s="10"/>
      <c r="CE287" s="10"/>
      <c r="CF287" s="11">
        <v>0</v>
      </c>
      <c r="CG287" s="10"/>
      <c r="CH287" s="10"/>
      <c r="CI287" s="11">
        <v>0</v>
      </c>
      <c r="CJ287" s="10"/>
      <c r="CK287" s="10"/>
      <c r="CL287" s="11">
        <v>0</v>
      </c>
      <c r="CM287" s="10"/>
      <c r="CN287" s="10"/>
      <c r="CO287" s="11">
        <v>0</v>
      </c>
      <c r="CP287" s="10"/>
      <c r="CQ287" s="10"/>
      <c r="CR287" s="11">
        <v>0</v>
      </c>
      <c r="CS287" s="10"/>
      <c r="CT287" s="10"/>
      <c r="CU287" s="11">
        <v>0</v>
      </c>
      <c r="CV287" s="10"/>
      <c r="CW287" s="10"/>
      <c r="CX287" s="11">
        <v>0</v>
      </c>
      <c r="CY287" s="10"/>
      <c r="CZ287" s="10"/>
      <c r="DA287" s="11">
        <v>0</v>
      </c>
      <c r="DB287" s="10"/>
      <c r="DC287" s="10"/>
      <c r="DD287" s="13">
        <v>0</v>
      </c>
      <c r="DE287" s="14"/>
    </row>
    <row r="288" spans="1:109" x14ac:dyDescent="0.35">
      <c r="A288" s="8" t="s">
        <v>637</v>
      </c>
      <c r="B288" s="9" t="s">
        <v>51</v>
      </c>
      <c r="C288" s="9" t="s">
        <v>52</v>
      </c>
      <c r="D288" s="9" t="s">
        <v>638</v>
      </c>
      <c r="E288" s="9" t="s">
        <v>54</v>
      </c>
      <c r="F288" s="9" t="s">
        <v>55</v>
      </c>
      <c r="G288" s="10"/>
      <c r="H288" s="10"/>
      <c r="I288" s="11">
        <v>0</v>
      </c>
      <c r="J288" s="10"/>
      <c r="K288" s="10"/>
      <c r="L288" s="12">
        <v>0</v>
      </c>
      <c r="M288" s="10"/>
      <c r="N288" s="10"/>
      <c r="O288" s="11">
        <v>0</v>
      </c>
      <c r="P288" s="10"/>
      <c r="Q288" s="10"/>
      <c r="R288" s="11">
        <v>0</v>
      </c>
      <c r="S288" s="10"/>
      <c r="T288" s="10"/>
      <c r="U288" s="11">
        <v>0</v>
      </c>
      <c r="V288" s="10"/>
      <c r="W288" s="10"/>
      <c r="X288" s="11">
        <v>0</v>
      </c>
      <c r="Y288" s="10"/>
      <c r="Z288" s="10"/>
      <c r="AA288" s="11"/>
      <c r="AB288" s="10"/>
      <c r="AC288" s="10"/>
      <c r="AD288" s="11">
        <v>0</v>
      </c>
      <c r="AE288" s="10"/>
      <c r="AF288" s="10"/>
      <c r="AG288" s="11">
        <v>0</v>
      </c>
      <c r="AH288" s="10"/>
      <c r="AI288" s="10"/>
      <c r="AJ288" s="11">
        <v>0</v>
      </c>
      <c r="AK288" s="10"/>
      <c r="AL288" s="10"/>
      <c r="AM288" s="11">
        <v>0</v>
      </c>
      <c r="AN288" s="10"/>
      <c r="AO288" s="10"/>
      <c r="AP288" s="11">
        <v>0</v>
      </c>
      <c r="AQ288" s="10"/>
      <c r="AR288" s="10"/>
      <c r="AS288" s="11">
        <v>0</v>
      </c>
      <c r="AT288" s="10"/>
      <c r="AU288" s="10"/>
      <c r="AV288" s="11">
        <v>0</v>
      </c>
      <c r="AW288" s="10"/>
      <c r="AX288" s="10"/>
      <c r="AY288" s="11">
        <v>0</v>
      </c>
      <c r="AZ288" s="10"/>
      <c r="BA288" s="10"/>
      <c r="BB288" s="11">
        <v>0</v>
      </c>
      <c r="BC288" s="10"/>
      <c r="BD288" s="10"/>
      <c r="BE288" s="11">
        <v>0</v>
      </c>
      <c r="BF288" s="10"/>
      <c r="BG288" s="10"/>
      <c r="BH288" s="11">
        <v>0</v>
      </c>
      <c r="BI288" s="10"/>
      <c r="BJ288" s="10"/>
      <c r="BK288" s="11">
        <v>0</v>
      </c>
      <c r="BL288" s="10"/>
      <c r="BM288" s="10"/>
      <c r="BN288" s="11">
        <v>0</v>
      </c>
      <c r="BO288" s="10"/>
      <c r="BP288" s="10"/>
      <c r="BQ288" s="11">
        <v>0</v>
      </c>
      <c r="BR288" s="10"/>
      <c r="BS288" s="10"/>
      <c r="BT288" s="11">
        <v>0</v>
      </c>
      <c r="BU288" s="10"/>
      <c r="BV288" s="10"/>
      <c r="BW288" s="11">
        <v>0</v>
      </c>
      <c r="BX288" s="10"/>
      <c r="BY288" s="10"/>
      <c r="BZ288" s="11">
        <v>0</v>
      </c>
      <c r="CA288" s="10"/>
      <c r="CB288" s="10"/>
      <c r="CC288" s="11">
        <v>0</v>
      </c>
      <c r="CD288" s="10"/>
      <c r="CE288" s="10"/>
      <c r="CF288" s="11">
        <v>0</v>
      </c>
      <c r="CG288" s="10"/>
      <c r="CH288" s="10"/>
      <c r="CI288" s="11">
        <v>0</v>
      </c>
      <c r="CJ288" s="10"/>
      <c r="CK288" s="10"/>
      <c r="CL288" s="11">
        <v>0</v>
      </c>
      <c r="CM288" s="10"/>
      <c r="CN288" s="10"/>
      <c r="CO288" s="11">
        <v>0</v>
      </c>
      <c r="CP288" s="10"/>
      <c r="CQ288" s="10"/>
      <c r="CR288" s="11">
        <v>0</v>
      </c>
      <c r="CS288" s="10"/>
      <c r="CT288" s="10"/>
      <c r="CU288" s="11">
        <v>0</v>
      </c>
      <c r="CV288" s="10"/>
      <c r="CW288" s="10"/>
      <c r="CX288" s="11">
        <v>0</v>
      </c>
      <c r="CY288" s="10"/>
      <c r="CZ288" s="10"/>
      <c r="DA288" s="11">
        <v>0</v>
      </c>
      <c r="DB288" s="10"/>
      <c r="DC288" s="10"/>
      <c r="DD288" s="13">
        <v>0</v>
      </c>
      <c r="DE288" s="14"/>
    </row>
    <row r="289" spans="1:109" x14ac:dyDescent="0.35">
      <c r="A289" s="8" t="s">
        <v>639</v>
      </c>
      <c r="B289" s="9" t="s">
        <v>51</v>
      </c>
      <c r="C289" s="9" t="s">
        <v>52</v>
      </c>
      <c r="D289" s="9" t="s">
        <v>640</v>
      </c>
      <c r="E289" s="9" t="s">
        <v>54</v>
      </c>
      <c r="F289" s="9" t="s">
        <v>55</v>
      </c>
      <c r="G289" s="10"/>
      <c r="H289" s="10"/>
      <c r="I289" s="11">
        <v>0</v>
      </c>
      <c r="J289" s="10"/>
      <c r="K289" s="10"/>
      <c r="L289" s="12">
        <v>0</v>
      </c>
      <c r="M289" s="10"/>
      <c r="N289" s="10"/>
      <c r="O289" s="11">
        <v>0</v>
      </c>
      <c r="P289" s="10"/>
      <c r="Q289" s="10"/>
      <c r="R289" s="11">
        <v>0</v>
      </c>
      <c r="S289" s="10"/>
      <c r="T289" s="10"/>
      <c r="U289" s="11">
        <v>0</v>
      </c>
      <c r="V289" s="10"/>
      <c r="W289" s="10"/>
      <c r="X289" s="11">
        <v>0</v>
      </c>
      <c r="Y289" s="10"/>
      <c r="Z289" s="10"/>
      <c r="AA289" s="11"/>
      <c r="AB289" s="10"/>
      <c r="AC289" s="10"/>
      <c r="AD289" s="11">
        <v>0</v>
      </c>
      <c r="AE289" s="10"/>
      <c r="AF289" s="10"/>
      <c r="AG289" s="11">
        <v>0</v>
      </c>
      <c r="AH289" s="10"/>
      <c r="AI289" s="10"/>
      <c r="AJ289" s="11">
        <v>0</v>
      </c>
      <c r="AK289" s="10"/>
      <c r="AL289" s="10"/>
      <c r="AM289" s="11">
        <v>0</v>
      </c>
      <c r="AN289" s="10"/>
      <c r="AO289" s="10"/>
      <c r="AP289" s="11">
        <v>0</v>
      </c>
      <c r="AQ289" s="10"/>
      <c r="AR289" s="10"/>
      <c r="AS289" s="11">
        <v>0</v>
      </c>
      <c r="AT289" s="10"/>
      <c r="AU289" s="10"/>
      <c r="AV289" s="11">
        <v>0</v>
      </c>
      <c r="AW289" s="10"/>
      <c r="AX289" s="10"/>
      <c r="AY289" s="11">
        <v>0</v>
      </c>
      <c r="AZ289" s="10"/>
      <c r="BA289" s="10"/>
      <c r="BB289" s="11">
        <v>0</v>
      </c>
      <c r="BC289" s="10"/>
      <c r="BD289" s="10"/>
      <c r="BE289" s="11">
        <v>0</v>
      </c>
      <c r="BF289" s="10"/>
      <c r="BG289" s="10"/>
      <c r="BH289" s="11">
        <v>0</v>
      </c>
      <c r="BI289" s="10"/>
      <c r="BJ289" s="10"/>
      <c r="BK289" s="11">
        <v>0</v>
      </c>
      <c r="BL289" s="10"/>
      <c r="BM289" s="10"/>
      <c r="BN289" s="11">
        <v>0</v>
      </c>
      <c r="BO289" s="10"/>
      <c r="BP289" s="10"/>
      <c r="BQ289" s="11">
        <v>0</v>
      </c>
      <c r="BR289" s="10"/>
      <c r="BS289" s="10"/>
      <c r="BT289" s="11">
        <v>0</v>
      </c>
      <c r="BU289" s="10"/>
      <c r="BV289" s="10"/>
      <c r="BW289" s="11">
        <v>0</v>
      </c>
      <c r="BX289" s="10"/>
      <c r="BY289" s="10"/>
      <c r="BZ289" s="11">
        <v>0</v>
      </c>
      <c r="CA289" s="10"/>
      <c r="CB289" s="10"/>
      <c r="CC289" s="11">
        <v>0</v>
      </c>
      <c r="CD289" s="10"/>
      <c r="CE289" s="10"/>
      <c r="CF289" s="11">
        <v>0</v>
      </c>
      <c r="CG289" s="10"/>
      <c r="CH289" s="10"/>
      <c r="CI289" s="11">
        <v>0</v>
      </c>
      <c r="CJ289" s="10"/>
      <c r="CK289" s="10"/>
      <c r="CL289" s="11">
        <v>0</v>
      </c>
      <c r="CM289" s="10"/>
      <c r="CN289" s="10"/>
      <c r="CO289" s="11">
        <v>0</v>
      </c>
      <c r="CP289" s="10"/>
      <c r="CQ289" s="10"/>
      <c r="CR289" s="11">
        <v>0</v>
      </c>
      <c r="CS289" s="10"/>
      <c r="CT289" s="10"/>
      <c r="CU289" s="11">
        <v>0</v>
      </c>
      <c r="CV289" s="10"/>
      <c r="CW289" s="10"/>
      <c r="CX289" s="11">
        <v>0</v>
      </c>
      <c r="CY289" s="10"/>
      <c r="CZ289" s="10"/>
      <c r="DA289" s="11">
        <v>0</v>
      </c>
      <c r="DB289" s="10"/>
      <c r="DC289" s="10"/>
      <c r="DD289" s="13">
        <v>0</v>
      </c>
      <c r="DE289" s="14"/>
    </row>
    <row r="290" spans="1:109" x14ac:dyDescent="0.35">
      <c r="A290" s="8" t="s">
        <v>641</v>
      </c>
      <c r="B290" s="9" t="s">
        <v>140</v>
      </c>
      <c r="C290" s="9" t="s">
        <v>43</v>
      </c>
      <c r="D290" s="9" t="s">
        <v>642</v>
      </c>
      <c r="E290" s="9" t="s">
        <v>45</v>
      </c>
      <c r="F290" s="9" t="s">
        <v>46</v>
      </c>
      <c r="G290" s="10"/>
      <c r="H290" s="10"/>
      <c r="I290" s="11">
        <v>0</v>
      </c>
      <c r="J290" s="10"/>
      <c r="K290" s="10"/>
      <c r="L290" s="12">
        <v>0</v>
      </c>
      <c r="M290" s="10">
        <v>11200</v>
      </c>
      <c r="N290" s="10"/>
      <c r="O290" s="11">
        <f t="shared" ref="O290" si="498">N290/M290</f>
        <v>0</v>
      </c>
      <c r="P290" s="10"/>
      <c r="Q290" s="10"/>
      <c r="R290" s="11">
        <v>0</v>
      </c>
      <c r="S290" s="10"/>
      <c r="T290" s="10"/>
      <c r="U290" s="11">
        <v>0</v>
      </c>
      <c r="V290" s="10"/>
      <c r="W290" s="10"/>
      <c r="X290" s="11">
        <v>0</v>
      </c>
      <c r="Y290" s="10"/>
      <c r="Z290" s="10"/>
      <c r="AA290" s="11"/>
      <c r="AB290" s="10"/>
      <c r="AC290" s="10"/>
      <c r="AD290" s="11">
        <v>0</v>
      </c>
      <c r="AE290" s="10"/>
      <c r="AF290" s="10"/>
      <c r="AG290" s="11">
        <v>0</v>
      </c>
      <c r="AH290" s="10"/>
      <c r="AI290" s="10"/>
      <c r="AJ290" s="11">
        <v>0</v>
      </c>
      <c r="AK290" s="10"/>
      <c r="AL290" s="10"/>
      <c r="AM290" s="11">
        <v>0</v>
      </c>
      <c r="AN290" s="10"/>
      <c r="AO290" s="10"/>
      <c r="AP290" s="11">
        <v>0</v>
      </c>
      <c r="AQ290" s="10"/>
      <c r="AR290" s="10"/>
      <c r="AS290" s="11">
        <v>0</v>
      </c>
      <c r="AT290" s="10"/>
      <c r="AU290" s="10"/>
      <c r="AV290" s="11">
        <v>0</v>
      </c>
      <c r="AW290" s="10"/>
      <c r="AX290" s="10"/>
      <c r="AY290" s="11">
        <v>0</v>
      </c>
      <c r="AZ290" s="10"/>
      <c r="BA290" s="10"/>
      <c r="BB290" s="11">
        <v>0</v>
      </c>
      <c r="BC290" s="10"/>
      <c r="BD290" s="10"/>
      <c r="BE290" s="11">
        <v>0</v>
      </c>
      <c r="BF290" s="10"/>
      <c r="BG290" s="10"/>
      <c r="BH290" s="11">
        <v>0</v>
      </c>
      <c r="BI290" s="10"/>
      <c r="BJ290" s="10"/>
      <c r="BK290" s="11">
        <v>0</v>
      </c>
      <c r="BL290" s="10"/>
      <c r="BM290" s="10"/>
      <c r="BN290" s="11">
        <v>0</v>
      </c>
      <c r="BO290" s="10"/>
      <c r="BP290" s="10"/>
      <c r="BQ290" s="11">
        <v>0</v>
      </c>
      <c r="BR290" s="10"/>
      <c r="BS290" s="10"/>
      <c r="BT290" s="11">
        <v>0</v>
      </c>
      <c r="BU290" s="10"/>
      <c r="BV290" s="10"/>
      <c r="BW290" s="11">
        <v>0</v>
      </c>
      <c r="BX290" s="10"/>
      <c r="BY290" s="10"/>
      <c r="BZ290" s="11">
        <v>0</v>
      </c>
      <c r="CA290" s="10"/>
      <c r="CB290" s="10"/>
      <c r="CC290" s="11">
        <v>0</v>
      </c>
      <c r="CD290" s="10"/>
      <c r="CE290" s="10"/>
      <c r="CF290" s="11">
        <v>0</v>
      </c>
      <c r="CG290" s="10"/>
      <c r="CH290" s="10"/>
      <c r="CI290" s="11">
        <v>0</v>
      </c>
      <c r="CJ290" s="10"/>
      <c r="CK290" s="10"/>
      <c r="CL290" s="11">
        <v>0</v>
      </c>
      <c r="CM290" s="10"/>
      <c r="CN290" s="10"/>
      <c r="CO290" s="11">
        <v>0</v>
      </c>
      <c r="CP290" s="10"/>
      <c r="CQ290" s="10"/>
      <c r="CR290" s="11">
        <v>0</v>
      </c>
      <c r="CS290" s="10"/>
      <c r="CT290" s="10"/>
      <c r="CU290" s="11">
        <v>0</v>
      </c>
      <c r="CV290" s="10"/>
      <c r="CW290" s="10"/>
      <c r="CX290" s="11">
        <v>0</v>
      </c>
      <c r="CY290" s="10"/>
      <c r="CZ290" s="10"/>
      <c r="DA290" s="11">
        <v>0</v>
      </c>
      <c r="DB290" s="10">
        <v>11200</v>
      </c>
      <c r="DC290" s="10"/>
      <c r="DD290" s="15">
        <f t="shared" ref="DD290:DD295" si="499">DC290/DB290</f>
        <v>0</v>
      </c>
      <c r="DE290" s="16"/>
    </row>
    <row r="291" spans="1:109" x14ac:dyDescent="0.35">
      <c r="A291" s="8" t="s">
        <v>643</v>
      </c>
      <c r="B291" s="9" t="s">
        <v>108</v>
      </c>
      <c r="C291" s="9" t="s">
        <v>52</v>
      </c>
      <c r="D291" s="9" t="s">
        <v>644</v>
      </c>
      <c r="E291" s="9" t="s">
        <v>54</v>
      </c>
      <c r="F291" s="9" t="s">
        <v>55</v>
      </c>
      <c r="G291" s="10"/>
      <c r="H291" s="10"/>
      <c r="I291" s="11">
        <v>0</v>
      </c>
      <c r="J291" s="10"/>
      <c r="K291" s="10"/>
      <c r="L291" s="12">
        <v>0</v>
      </c>
      <c r="M291" s="10"/>
      <c r="N291" s="10"/>
      <c r="O291" s="11">
        <v>0</v>
      </c>
      <c r="P291" s="10"/>
      <c r="Q291" s="10"/>
      <c r="R291" s="11">
        <v>0</v>
      </c>
      <c r="S291" s="10"/>
      <c r="T291" s="10"/>
      <c r="U291" s="11">
        <v>0</v>
      </c>
      <c r="V291" s="10">
        <v>350000</v>
      </c>
      <c r="W291" s="10"/>
      <c r="X291" s="11">
        <v>0</v>
      </c>
      <c r="Y291" s="10"/>
      <c r="Z291" s="10"/>
      <c r="AA291" s="11"/>
      <c r="AB291" s="10"/>
      <c r="AC291" s="10"/>
      <c r="AD291" s="11">
        <v>0</v>
      </c>
      <c r="AE291" s="10"/>
      <c r="AF291" s="10"/>
      <c r="AG291" s="11">
        <v>0</v>
      </c>
      <c r="AH291" s="10"/>
      <c r="AI291" s="10"/>
      <c r="AJ291" s="11">
        <v>0</v>
      </c>
      <c r="AK291" s="10"/>
      <c r="AL291" s="10"/>
      <c r="AM291" s="11">
        <v>0</v>
      </c>
      <c r="AN291" s="10"/>
      <c r="AO291" s="10"/>
      <c r="AP291" s="11">
        <v>0</v>
      </c>
      <c r="AQ291" s="10"/>
      <c r="AR291" s="10"/>
      <c r="AS291" s="11">
        <v>0</v>
      </c>
      <c r="AT291" s="10"/>
      <c r="AU291" s="10"/>
      <c r="AV291" s="11">
        <v>0</v>
      </c>
      <c r="AW291" s="10"/>
      <c r="AX291" s="10"/>
      <c r="AY291" s="11">
        <v>0</v>
      </c>
      <c r="AZ291" s="10"/>
      <c r="BA291" s="10"/>
      <c r="BB291" s="11">
        <v>0</v>
      </c>
      <c r="BC291" s="10"/>
      <c r="BD291" s="10"/>
      <c r="BE291" s="11">
        <v>0</v>
      </c>
      <c r="BF291" s="10">
        <v>300000</v>
      </c>
      <c r="BG291" s="10">
        <f>VLOOKUP(A:A,'[1]2026 Customer Brand Sales'!$A:$BA,53,0)</f>
        <v>241390</v>
      </c>
      <c r="BH291" s="11">
        <f t="shared" ref="BH291" si="500">BG291/BF291</f>
        <v>0.80463333333333331</v>
      </c>
      <c r="BI291" s="10"/>
      <c r="BJ291" s="10"/>
      <c r="BK291" s="11">
        <v>0</v>
      </c>
      <c r="BL291" s="10">
        <v>200000</v>
      </c>
      <c r="BM291" s="10">
        <v>43745</v>
      </c>
      <c r="BN291" s="11">
        <f t="shared" ref="BN291" si="501">BM291/BL291</f>
        <v>0.218725</v>
      </c>
      <c r="BO291" s="10">
        <v>20000</v>
      </c>
      <c r="BP291" s="10"/>
      <c r="BQ291" s="11">
        <f t="shared" ref="BQ291" si="502">BP291/BO291</f>
        <v>0</v>
      </c>
      <c r="BR291" s="10"/>
      <c r="BS291" s="10"/>
      <c r="BT291" s="11">
        <v>0</v>
      </c>
      <c r="BU291" s="10"/>
      <c r="BV291" s="10"/>
      <c r="BW291" s="11">
        <v>0</v>
      </c>
      <c r="BX291" s="10"/>
      <c r="BY291" s="10"/>
      <c r="BZ291" s="11">
        <v>0</v>
      </c>
      <c r="CA291" s="10"/>
      <c r="CB291" s="10"/>
      <c r="CC291" s="11">
        <v>0</v>
      </c>
      <c r="CD291" s="10"/>
      <c r="CE291" s="10"/>
      <c r="CF291" s="11">
        <v>0</v>
      </c>
      <c r="CG291" s="10"/>
      <c r="CH291" s="10"/>
      <c r="CI291" s="11">
        <v>0</v>
      </c>
      <c r="CJ291" s="10"/>
      <c r="CK291" s="10"/>
      <c r="CL291" s="11">
        <v>0</v>
      </c>
      <c r="CM291" s="10"/>
      <c r="CN291" s="10"/>
      <c r="CO291" s="11">
        <v>0</v>
      </c>
      <c r="CP291" s="10"/>
      <c r="CQ291" s="10"/>
      <c r="CR291" s="11">
        <v>0</v>
      </c>
      <c r="CS291" s="10"/>
      <c r="CT291" s="10"/>
      <c r="CU291" s="11">
        <v>0</v>
      </c>
      <c r="CV291" s="10"/>
      <c r="CW291" s="10"/>
      <c r="CX291" s="11">
        <v>0</v>
      </c>
      <c r="CY291" s="10"/>
      <c r="CZ291" s="10"/>
      <c r="DA291" s="11">
        <v>0</v>
      </c>
      <c r="DB291" s="10">
        <v>870000</v>
      </c>
      <c r="DC291" s="10">
        <f t="shared" si="497"/>
        <v>285135</v>
      </c>
      <c r="DD291" s="13">
        <f t="shared" si="499"/>
        <v>0.3277413793103448</v>
      </c>
      <c r="DE291" s="14"/>
    </row>
    <row r="292" spans="1:109" x14ac:dyDescent="0.35">
      <c r="A292" s="8" t="s">
        <v>645</v>
      </c>
      <c r="B292" s="9" t="s">
        <v>59</v>
      </c>
      <c r="C292" s="9" t="s">
        <v>43</v>
      </c>
      <c r="D292" s="9" t="s">
        <v>646</v>
      </c>
      <c r="E292" s="9" t="s">
        <v>61</v>
      </c>
      <c r="F292" s="9" t="s">
        <v>62</v>
      </c>
      <c r="G292" s="10"/>
      <c r="H292" s="10"/>
      <c r="I292" s="11">
        <v>0</v>
      </c>
      <c r="J292" s="10"/>
      <c r="K292" s="10"/>
      <c r="L292" s="12">
        <v>0</v>
      </c>
      <c r="M292" s="10"/>
      <c r="N292" s="10"/>
      <c r="O292" s="11">
        <v>0</v>
      </c>
      <c r="P292" s="10"/>
      <c r="Q292" s="10"/>
      <c r="R292" s="11">
        <v>0</v>
      </c>
      <c r="S292" s="10"/>
      <c r="T292" s="10"/>
      <c r="U292" s="11">
        <v>0</v>
      </c>
      <c r="V292" s="10"/>
      <c r="W292" s="10"/>
      <c r="X292" s="11">
        <v>0</v>
      </c>
      <c r="Y292" s="10"/>
      <c r="Z292" s="10"/>
      <c r="AA292" s="11"/>
      <c r="AB292" s="10"/>
      <c r="AC292" s="10"/>
      <c r="AD292" s="11">
        <v>0</v>
      </c>
      <c r="AE292" s="10"/>
      <c r="AF292" s="10"/>
      <c r="AG292" s="11">
        <v>0</v>
      </c>
      <c r="AH292" s="10"/>
      <c r="AI292" s="10"/>
      <c r="AJ292" s="11">
        <v>0</v>
      </c>
      <c r="AK292" s="10"/>
      <c r="AL292" s="10"/>
      <c r="AM292" s="11">
        <v>0</v>
      </c>
      <c r="AN292" s="10"/>
      <c r="AO292" s="10"/>
      <c r="AP292" s="11">
        <v>0</v>
      </c>
      <c r="AQ292" s="10"/>
      <c r="AR292" s="10"/>
      <c r="AS292" s="11">
        <v>0</v>
      </c>
      <c r="AT292" s="10"/>
      <c r="AU292" s="10"/>
      <c r="AV292" s="11">
        <v>0</v>
      </c>
      <c r="AW292" s="10"/>
      <c r="AX292" s="10"/>
      <c r="AY292" s="11">
        <v>0</v>
      </c>
      <c r="AZ292" s="10"/>
      <c r="BA292" s="10"/>
      <c r="BB292" s="11">
        <v>0</v>
      </c>
      <c r="BC292" s="10"/>
      <c r="BD292" s="10"/>
      <c r="BE292" s="11">
        <v>0</v>
      </c>
      <c r="BF292" s="10"/>
      <c r="BG292" s="10"/>
      <c r="BH292" s="11">
        <v>0</v>
      </c>
      <c r="BI292" s="10"/>
      <c r="BJ292" s="10"/>
      <c r="BK292" s="11">
        <v>0</v>
      </c>
      <c r="BL292" s="10"/>
      <c r="BM292" s="10"/>
      <c r="BN292" s="11">
        <v>0</v>
      </c>
      <c r="BO292" s="10"/>
      <c r="BP292" s="10"/>
      <c r="BQ292" s="11">
        <v>0</v>
      </c>
      <c r="BR292" s="10"/>
      <c r="BS292" s="10"/>
      <c r="BT292" s="11">
        <v>0</v>
      </c>
      <c r="BU292" s="10"/>
      <c r="BV292" s="10"/>
      <c r="BW292" s="11">
        <v>0</v>
      </c>
      <c r="BX292" s="10"/>
      <c r="BY292" s="10"/>
      <c r="BZ292" s="11">
        <v>0</v>
      </c>
      <c r="CA292" s="10"/>
      <c r="CB292" s="10"/>
      <c r="CC292" s="11">
        <v>0</v>
      </c>
      <c r="CD292" s="10"/>
      <c r="CE292" s="10"/>
      <c r="CF292" s="11">
        <v>0</v>
      </c>
      <c r="CG292" s="10"/>
      <c r="CH292" s="10"/>
      <c r="CI292" s="11">
        <v>0</v>
      </c>
      <c r="CJ292" s="10"/>
      <c r="CK292" s="10"/>
      <c r="CL292" s="11">
        <v>0</v>
      </c>
      <c r="CM292" s="10"/>
      <c r="CN292" s="10"/>
      <c r="CO292" s="11">
        <v>0</v>
      </c>
      <c r="CP292" s="10"/>
      <c r="CQ292" s="10"/>
      <c r="CR292" s="11">
        <v>0</v>
      </c>
      <c r="CS292" s="10"/>
      <c r="CT292" s="10"/>
      <c r="CU292" s="11">
        <v>0</v>
      </c>
      <c r="CV292" s="10"/>
      <c r="CW292" s="10"/>
      <c r="CX292" s="11">
        <v>0</v>
      </c>
      <c r="CY292" s="10"/>
      <c r="CZ292" s="10"/>
      <c r="DA292" s="11">
        <v>0</v>
      </c>
      <c r="DB292" s="10"/>
      <c r="DC292" s="10"/>
      <c r="DD292" s="13">
        <v>0</v>
      </c>
      <c r="DE292" s="14"/>
    </row>
    <row r="293" spans="1:109" x14ac:dyDescent="0.35">
      <c r="A293" s="8" t="s">
        <v>647</v>
      </c>
      <c r="B293" s="9" t="s">
        <v>51</v>
      </c>
      <c r="C293" s="9" t="s">
        <v>52</v>
      </c>
      <c r="D293" s="9" t="s">
        <v>648</v>
      </c>
      <c r="E293" s="9" t="s">
        <v>54</v>
      </c>
      <c r="F293" s="9" t="s">
        <v>55</v>
      </c>
      <c r="G293" s="10"/>
      <c r="H293" s="10"/>
      <c r="I293" s="11">
        <v>0</v>
      </c>
      <c r="J293" s="10"/>
      <c r="K293" s="10"/>
      <c r="L293" s="12">
        <v>0</v>
      </c>
      <c r="M293" s="10"/>
      <c r="N293" s="10"/>
      <c r="O293" s="11">
        <v>0</v>
      </c>
      <c r="P293" s="10"/>
      <c r="Q293" s="10"/>
      <c r="R293" s="11">
        <v>0</v>
      </c>
      <c r="S293" s="10"/>
      <c r="T293" s="10"/>
      <c r="U293" s="11">
        <v>0</v>
      </c>
      <c r="V293" s="10"/>
      <c r="W293" s="10"/>
      <c r="X293" s="11">
        <v>0</v>
      </c>
      <c r="Y293" s="10"/>
      <c r="Z293" s="10"/>
      <c r="AA293" s="11"/>
      <c r="AB293" s="10"/>
      <c r="AC293" s="10"/>
      <c r="AD293" s="11">
        <v>0</v>
      </c>
      <c r="AE293" s="10"/>
      <c r="AF293" s="10"/>
      <c r="AG293" s="11">
        <v>0</v>
      </c>
      <c r="AH293" s="10"/>
      <c r="AI293" s="10"/>
      <c r="AJ293" s="11">
        <v>0</v>
      </c>
      <c r="AK293" s="10"/>
      <c r="AL293" s="10"/>
      <c r="AM293" s="11">
        <v>0</v>
      </c>
      <c r="AN293" s="10"/>
      <c r="AO293" s="10"/>
      <c r="AP293" s="11">
        <v>0</v>
      </c>
      <c r="AQ293" s="10"/>
      <c r="AR293" s="10"/>
      <c r="AS293" s="11">
        <v>0</v>
      </c>
      <c r="AT293" s="10"/>
      <c r="AU293" s="10"/>
      <c r="AV293" s="11">
        <v>0</v>
      </c>
      <c r="AW293" s="10"/>
      <c r="AX293" s="10"/>
      <c r="AY293" s="11">
        <v>0</v>
      </c>
      <c r="AZ293" s="10"/>
      <c r="BA293" s="10"/>
      <c r="BB293" s="11">
        <v>0</v>
      </c>
      <c r="BC293" s="10"/>
      <c r="BD293" s="10"/>
      <c r="BE293" s="11">
        <v>0</v>
      </c>
      <c r="BF293" s="10"/>
      <c r="BG293" s="10">
        <f>VLOOKUP(A:A,'[1]2026 Customer Brand Sales'!$A:$BA,53,0)</f>
        <v>28325</v>
      </c>
      <c r="BH293" s="11">
        <v>0</v>
      </c>
      <c r="BI293" s="10"/>
      <c r="BJ293" s="10"/>
      <c r="BK293" s="11">
        <v>0</v>
      </c>
      <c r="BL293" s="10"/>
      <c r="BM293" s="10"/>
      <c r="BN293" s="11">
        <v>0</v>
      </c>
      <c r="BO293" s="10"/>
      <c r="BP293" s="10"/>
      <c r="BQ293" s="11">
        <v>0</v>
      </c>
      <c r="BR293" s="10"/>
      <c r="BS293" s="10"/>
      <c r="BT293" s="11">
        <v>0</v>
      </c>
      <c r="BU293" s="10"/>
      <c r="BV293" s="10"/>
      <c r="BW293" s="11">
        <v>0</v>
      </c>
      <c r="BX293" s="10"/>
      <c r="BY293" s="10"/>
      <c r="BZ293" s="11">
        <v>0</v>
      </c>
      <c r="CA293" s="10"/>
      <c r="CB293" s="10"/>
      <c r="CC293" s="11">
        <v>0</v>
      </c>
      <c r="CD293" s="10"/>
      <c r="CE293" s="10"/>
      <c r="CF293" s="11">
        <v>0</v>
      </c>
      <c r="CG293" s="10">
        <v>10000</v>
      </c>
      <c r="CH293" s="10"/>
      <c r="CI293" s="11">
        <f t="shared" ref="CI293:CI295" si="503">CH293/CG293</f>
        <v>0</v>
      </c>
      <c r="CJ293" s="10"/>
      <c r="CK293" s="10"/>
      <c r="CL293" s="11">
        <v>0</v>
      </c>
      <c r="CM293" s="10"/>
      <c r="CN293" s="10"/>
      <c r="CO293" s="11">
        <v>0</v>
      </c>
      <c r="CP293" s="10"/>
      <c r="CQ293" s="10"/>
      <c r="CR293" s="11">
        <v>0</v>
      </c>
      <c r="CS293" s="10"/>
      <c r="CT293" s="10"/>
      <c r="CU293" s="11">
        <v>0</v>
      </c>
      <c r="CV293" s="10">
        <v>200000</v>
      </c>
      <c r="CW293" s="10"/>
      <c r="CX293" s="11">
        <f t="shared" ref="CX293" si="504">CW293/CV293</f>
        <v>0</v>
      </c>
      <c r="CY293" s="10"/>
      <c r="CZ293" s="10"/>
      <c r="DA293" s="11">
        <v>0</v>
      </c>
      <c r="DB293" s="10">
        <v>210000</v>
      </c>
      <c r="DC293" s="10">
        <f t="shared" si="497"/>
        <v>28325</v>
      </c>
      <c r="DD293" s="13">
        <f t="shared" si="499"/>
        <v>0.13488095238095238</v>
      </c>
      <c r="DE293" s="14"/>
    </row>
    <row r="294" spans="1:109" x14ac:dyDescent="0.35">
      <c r="A294" s="8" t="s">
        <v>649</v>
      </c>
      <c r="B294" s="9" t="s">
        <v>74</v>
      </c>
      <c r="C294" s="9" t="s">
        <v>52</v>
      </c>
      <c r="D294" s="9" t="s">
        <v>650</v>
      </c>
      <c r="E294" s="9" t="s">
        <v>54</v>
      </c>
      <c r="F294" s="9" t="s">
        <v>55</v>
      </c>
      <c r="G294" s="10"/>
      <c r="H294" s="10"/>
      <c r="I294" s="11">
        <v>0</v>
      </c>
      <c r="J294" s="10"/>
      <c r="K294" s="10"/>
      <c r="L294" s="12">
        <v>0</v>
      </c>
      <c r="M294" s="10"/>
      <c r="N294" s="10"/>
      <c r="O294" s="11">
        <v>0</v>
      </c>
      <c r="P294" s="10"/>
      <c r="Q294" s="10"/>
      <c r="R294" s="11">
        <v>0</v>
      </c>
      <c r="S294" s="10"/>
      <c r="T294" s="10"/>
      <c r="U294" s="11">
        <v>0</v>
      </c>
      <c r="V294" s="10"/>
      <c r="W294" s="10"/>
      <c r="X294" s="11">
        <v>0</v>
      </c>
      <c r="Y294" s="10"/>
      <c r="Z294" s="10"/>
      <c r="AA294" s="11"/>
      <c r="AB294" s="10"/>
      <c r="AC294" s="10"/>
      <c r="AD294" s="11">
        <v>0</v>
      </c>
      <c r="AE294" s="10"/>
      <c r="AF294" s="10"/>
      <c r="AG294" s="11">
        <v>0</v>
      </c>
      <c r="AH294" s="10"/>
      <c r="AI294" s="10"/>
      <c r="AJ294" s="11">
        <v>0</v>
      </c>
      <c r="AK294" s="10"/>
      <c r="AL294" s="10"/>
      <c r="AM294" s="11">
        <v>0</v>
      </c>
      <c r="AN294" s="10"/>
      <c r="AO294" s="10"/>
      <c r="AP294" s="11">
        <v>0</v>
      </c>
      <c r="AQ294" s="10"/>
      <c r="AR294" s="10"/>
      <c r="AS294" s="11">
        <v>0</v>
      </c>
      <c r="AT294" s="10"/>
      <c r="AU294" s="10"/>
      <c r="AV294" s="11">
        <v>0</v>
      </c>
      <c r="AW294" s="10"/>
      <c r="AX294" s="10"/>
      <c r="AY294" s="11">
        <v>0</v>
      </c>
      <c r="AZ294" s="10"/>
      <c r="BA294" s="10"/>
      <c r="BB294" s="11">
        <v>0</v>
      </c>
      <c r="BC294" s="10"/>
      <c r="BD294" s="10"/>
      <c r="BE294" s="11">
        <v>0</v>
      </c>
      <c r="BF294" s="10"/>
      <c r="BG294" s="10"/>
      <c r="BH294" s="11">
        <v>0</v>
      </c>
      <c r="BI294" s="10"/>
      <c r="BJ294" s="10"/>
      <c r="BK294" s="11">
        <v>0</v>
      </c>
      <c r="BL294" s="10"/>
      <c r="BM294" s="10"/>
      <c r="BN294" s="11">
        <v>0</v>
      </c>
      <c r="BO294" s="10"/>
      <c r="BP294" s="10"/>
      <c r="BQ294" s="11">
        <v>0</v>
      </c>
      <c r="BR294" s="10"/>
      <c r="BS294" s="10"/>
      <c r="BT294" s="11">
        <v>0</v>
      </c>
      <c r="BU294" s="10"/>
      <c r="BV294" s="10"/>
      <c r="BW294" s="11">
        <v>0</v>
      </c>
      <c r="BX294" s="10"/>
      <c r="BY294" s="10"/>
      <c r="BZ294" s="11">
        <v>0</v>
      </c>
      <c r="CA294" s="10"/>
      <c r="CB294" s="10"/>
      <c r="CC294" s="11">
        <v>0</v>
      </c>
      <c r="CD294" s="10"/>
      <c r="CE294" s="10"/>
      <c r="CF294" s="11">
        <v>0</v>
      </c>
      <c r="CG294" s="10">
        <v>15000</v>
      </c>
      <c r="CH294" s="10"/>
      <c r="CI294" s="11">
        <f t="shared" si="503"/>
        <v>0</v>
      </c>
      <c r="CJ294" s="10"/>
      <c r="CK294" s="10"/>
      <c r="CL294" s="11">
        <v>0</v>
      </c>
      <c r="CM294" s="10"/>
      <c r="CN294" s="10"/>
      <c r="CO294" s="11">
        <v>0</v>
      </c>
      <c r="CP294" s="10"/>
      <c r="CQ294" s="10"/>
      <c r="CR294" s="11">
        <v>0</v>
      </c>
      <c r="CS294" s="10"/>
      <c r="CT294" s="10"/>
      <c r="CU294" s="11">
        <v>0</v>
      </c>
      <c r="CV294" s="10"/>
      <c r="CW294" s="10"/>
      <c r="CX294" s="11">
        <v>0</v>
      </c>
      <c r="CY294" s="10"/>
      <c r="CZ294" s="10"/>
      <c r="DA294" s="11">
        <v>0</v>
      </c>
      <c r="DB294" s="10">
        <v>15000</v>
      </c>
      <c r="DC294" s="10"/>
      <c r="DD294" s="15">
        <f t="shared" si="499"/>
        <v>0</v>
      </c>
      <c r="DE294" s="16"/>
    </row>
    <row r="295" spans="1:109" x14ac:dyDescent="0.35">
      <c r="A295" s="8" t="s">
        <v>651</v>
      </c>
      <c r="B295" s="9" t="s">
        <v>51</v>
      </c>
      <c r="C295" s="9" t="s">
        <v>52</v>
      </c>
      <c r="D295" s="9" t="s">
        <v>652</v>
      </c>
      <c r="E295" s="9" t="s">
        <v>54</v>
      </c>
      <c r="F295" s="9" t="s">
        <v>55</v>
      </c>
      <c r="G295" s="10"/>
      <c r="H295" s="10"/>
      <c r="I295" s="11">
        <v>0</v>
      </c>
      <c r="J295" s="10"/>
      <c r="K295" s="10"/>
      <c r="L295" s="12">
        <v>0</v>
      </c>
      <c r="M295" s="10"/>
      <c r="N295" s="10"/>
      <c r="O295" s="11">
        <v>0</v>
      </c>
      <c r="P295" s="10"/>
      <c r="Q295" s="10"/>
      <c r="R295" s="11">
        <v>0</v>
      </c>
      <c r="S295" s="10"/>
      <c r="T295" s="10"/>
      <c r="U295" s="11">
        <v>0</v>
      </c>
      <c r="V295" s="10"/>
      <c r="W295" s="10"/>
      <c r="X295" s="11">
        <v>0</v>
      </c>
      <c r="Y295" s="10"/>
      <c r="Z295" s="10"/>
      <c r="AA295" s="11"/>
      <c r="AB295" s="10"/>
      <c r="AC295" s="10"/>
      <c r="AD295" s="11">
        <v>0</v>
      </c>
      <c r="AE295" s="10"/>
      <c r="AF295" s="10"/>
      <c r="AG295" s="11">
        <v>0</v>
      </c>
      <c r="AH295" s="10"/>
      <c r="AI295" s="10"/>
      <c r="AJ295" s="11">
        <v>0</v>
      </c>
      <c r="AK295" s="10"/>
      <c r="AL295" s="10"/>
      <c r="AM295" s="11">
        <v>0</v>
      </c>
      <c r="AN295" s="10"/>
      <c r="AO295" s="10"/>
      <c r="AP295" s="11">
        <v>0</v>
      </c>
      <c r="AQ295" s="10"/>
      <c r="AR295" s="10"/>
      <c r="AS295" s="11">
        <v>0</v>
      </c>
      <c r="AT295" s="10"/>
      <c r="AU295" s="10"/>
      <c r="AV295" s="11">
        <v>0</v>
      </c>
      <c r="AW295" s="10"/>
      <c r="AX295" s="10"/>
      <c r="AY295" s="11">
        <v>0</v>
      </c>
      <c r="AZ295" s="10"/>
      <c r="BA295" s="10"/>
      <c r="BB295" s="11">
        <v>0</v>
      </c>
      <c r="BC295" s="10"/>
      <c r="BD295" s="10"/>
      <c r="BE295" s="11">
        <v>0</v>
      </c>
      <c r="BF295" s="10"/>
      <c r="BG295" s="10"/>
      <c r="BH295" s="11">
        <v>0</v>
      </c>
      <c r="BI295" s="10"/>
      <c r="BJ295" s="10"/>
      <c r="BK295" s="11">
        <v>0</v>
      </c>
      <c r="BL295" s="10"/>
      <c r="BM295" s="10"/>
      <c r="BN295" s="11">
        <v>0</v>
      </c>
      <c r="BO295" s="10"/>
      <c r="BP295" s="10"/>
      <c r="BQ295" s="11">
        <v>0</v>
      </c>
      <c r="BR295" s="10"/>
      <c r="BS295" s="10"/>
      <c r="BT295" s="11">
        <v>0</v>
      </c>
      <c r="BU295" s="10"/>
      <c r="BV295" s="10"/>
      <c r="BW295" s="11">
        <v>0</v>
      </c>
      <c r="BX295" s="10"/>
      <c r="BY295" s="10"/>
      <c r="BZ295" s="11">
        <v>0</v>
      </c>
      <c r="CA295" s="10"/>
      <c r="CB295" s="10"/>
      <c r="CC295" s="11">
        <v>0</v>
      </c>
      <c r="CD295" s="10"/>
      <c r="CE295" s="10"/>
      <c r="CF295" s="11">
        <v>0</v>
      </c>
      <c r="CG295" s="10">
        <v>5000</v>
      </c>
      <c r="CH295" s="10"/>
      <c r="CI295" s="11">
        <f t="shared" si="503"/>
        <v>0</v>
      </c>
      <c r="CJ295" s="10"/>
      <c r="CK295" s="10"/>
      <c r="CL295" s="11">
        <v>0</v>
      </c>
      <c r="CM295" s="10"/>
      <c r="CN295" s="10"/>
      <c r="CO295" s="11">
        <v>0</v>
      </c>
      <c r="CP295" s="10"/>
      <c r="CQ295" s="10"/>
      <c r="CR295" s="11">
        <v>0</v>
      </c>
      <c r="CS295" s="10"/>
      <c r="CT295" s="10">
        <v>15000</v>
      </c>
      <c r="CU295" s="11">
        <v>0</v>
      </c>
      <c r="CV295" s="10"/>
      <c r="CW295" s="10"/>
      <c r="CX295" s="11">
        <v>0</v>
      </c>
      <c r="CY295" s="10"/>
      <c r="CZ295" s="10"/>
      <c r="DA295" s="11">
        <v>0</v>
      </c>
      <c r="DB295" s="10">
        <v>5000</v>
      </c>
      <c r="DC295" s="10">
        <f t="shared" si="497"/>
        <v>15000</v>
      </c>
      <c r="DD295" s="13">
        <f t="shared" si="499"/>
        <v>3</v>
      </c>
      <c r="DE295" s="14"/>
    </row>
    <row r="296" spans="1:109" x14ac:dyDescent="0.35">
      <c r="A296" s="8" t="s">
        <v>653</v>
      </c>
      <c r="B296" s="9" t="s">
        <v>59</v>
      </c>
      <c r="C296" s="9" t="s">
        <v>43</v>
      </c>
      <c r="D296" s="9" t="s">
        <v>654</v>
      </c>
      <c r="E296" s="9" t="s">
        <v>61</v>
      </c>
      <c r="F296" s="9" t="s">
        <v>62</v>
      </c>
      <c r="G296" s="10"/>
      <c r="H296" s="10"/>
      <c r="I296" s="11">
        <v>0</v>
      </c>
      <c r="J296" s="10"/>
      <c r="K296" s="10"/>
      <c r="L296" s="12">
        <v>0</v>
      </c>
      <c r="M296" s="10"/>
      <c r="N296" s="10"/>
      <c r="O296" s="11">
        <v>0</v>
      </c>
      <c r="P296" s="10"/>
      <c r="Q296" s="10"/>
      <c r="R296" s="11">
        <v>0</v>
      </c>
      <c r="S296" s="10"/>
      <c r="T296" s="10"/>
      <c r="U296" s="11">
        <v>0</v>
      </c>
      <c r="V296" s="10"/>
      <c r="W296" s="10"/>
      <c r="X296" s="11">
        <v>0</v>
      </c>
      <c r="Y296" s="10"/>
      <c r="Z296" s="10"/>
      <c r="AA296" s="11"/>
      <c r="AB296" s="10"/>
      <c r="AC296" s="10"/>
      <c r="AD296" s="11">
        <v>0</v>
      </c>
      <c r="AE296" s="10"/>
      <c r="AF296" s="10"/>
      <c r="AG296" s="11">
        <v>0</v>
      </c>
      <c r="AH296" s="10"/>
      <c r="AI296" s="10"/>
      <c r="AJ296" s="11">
        <v>0</v>
      </c>
      <c r="AK296" s="10"/>
      <c r="AL296" s="10"/>
      <c r="AM296" s="11">
        <v>0</v>
      </c>
      <c r="AN296" s="10"/>
      <c r="AO296" s="10"/>
      <c r="AP296" s="11">
        <v>0</v>
      </c>
      <c r="AQ296" s="10"/>
      <c r="AR296" s="10"/>
      <c r="AS296" s="11">
        <v>0</v>
      </c>
      <c r="AT296" s="10"/>
      <c r="AU296" s="10"/>
      <c r="AV296" s="11">
        <v>0</v>
      </c>
      <c r="AW296" s="10"/>
      <c r="AX296" s="10"/>
      <c r="AY296" s="11">
        <v>0</v>
      </c>
      <c r="AZ296" s="10"/>
      <c r="BA296" s="10"/>
      <c r="BB296" s="11">
        <v>0</v>
      </c>
      <c r="BC296" s="10"/>
      <c r="BD296" s="10">
        <v>38000</v>
      </c>
      <c r="BE296" s="11">
        <v>0</v>
      </c>
      <c r="BF296" s="10">
        <v>1000000</v>
      </c>
      <c r="BG296" s="10">
        <f>VLOOKUP(A:A,'[1]2026 Customer Brand Sales'!$A:$BA,53,0)</f>
        <v>555940</v>
      </c>
      <c r="BH296" s="11">
        <f t="shared" ref="BH296" si="505">BG296/BF296</f>
        <v>0.55593999999999999</v>
      </c>
      <c r="BI296" s="10"/>
      <c r="BJ296" s="10"/>
      <c r="BK296" s="11">
        <v>0</v>
      </c>
      <c r="BL296" s="10">
        <v>200000</v>
      </c>
      <c r="BM296" s="10"/>
      <c r="BN296" s="11">
        <f t="shared" ref="BN296" si="506">BM296/BL296</f>
        <v>0</v>
      </c>
      <c r="BO296" s="10"/>
      <c r="BP296" s="10">
        <v>14575</v>
      </c>
      <c r="BQ296" s="11">
        <v>0</v>
      </c>
      <c r="BR296" s="10"/>
      <c r="BS296" s="10"/>
      <c r="BT296" s="11">
        <v>0</v>
      </c>
      <c r="BU296" s="10"/>
      <c r="BV296" s="10"/>
      <c r="BW296" s="11">
        <v>0</v>
      </c>
      <c r="BX296" s="10"/>
      <c r="BY296" s="10"/>
      <c r="BZ296" s="11">
        <v>0</v>
      </c>
      <c r="CA296" s="10"/>
      <c r="CB296" s="10"/>
      <c r="CC296" s="11">
        <v>0</v>
      </c>
      <c r="CD296" s="10"/>
      <c r="CE296" s="10"/>
      <c r="CF296" s="11">
        <v>0</v>
      </c>
      <c r="CG296" s="10"/>
      <c r="CH296" s="10"/>
      <c r="CI296" s="11">
        <v>0</v>
      </c>
      <c r="CJ296" s="10"/>
      <c r="CK296" s="10"/>
      <c r="CL296" s="11">
        <v>0</v>
      </c>
      <c r="CM296" s="10"/>
      <c r="CN296" s="10"/>
      <c r="CO296" s="11">
        <v>0</v>
      </c>
      <c r="CP296" s="10"/>
      <c r="CQ296" s="10"/>
      <c r="CR296" s="11">
        <v>0</v>
      </c>
      <c r="CS296" s="10"/>
      <c r="CT296" s="10"/>
      <c r="CU296" s="11">
        <v>0</v>
      </c>
      <c r="CV296" s="10"/>
      <c r="CW296" s="10"/>
      <c r="CX296" s="11">
        <v>0</v>
      </c>
      <c r="CY296" s="10"/>
      <c r="CZ296" s="10"/>
      <c r="DA296" s="11">
        <v>0</v>
      </c>
      <c r="DB296" s="10">
        <v>1200000</v>
      </c>
      <c r="DC296" s="10">
        <f t="shared" ref="DC296:DC306" si="507">SUM(H296,K296,N296,Q296,T296,W296,Z296,AC296,AF296,AI296,AL296,AO296,AR296,AU296,AX296,BA296,BD296,BG296,BJ296,BM296,BP296,BS296,BV296,BY296,CB296,CE296,CH296,CK296,CN296,CQ296,CT296,CW296,CZ296)</f>
        <v>608515</v>
      </c>
      <c r="DD296" s="13">
        <f t="shared" ref="DD296:DD306" si="508">DC296/DB296</f>
        <v>0.5070958333333333</v>
      </c>
      <c r="DE296" s="14"/>
    </row>
    <row r="297" spans="1:109" x14ac:dyDescent="0.35">
      <c r="A297" s="8" t="s">
        <v>655</v>
      </c>
      <c r="B297" s="9" t="s">
        <v>118</v>
      </c>
      <c r="C297" s="9" t="s">
        <v>43</v>
      </c>
      <c r="D297" s="9" t="s">
        <v>656</v>
      </c>
      <c r="E297" s="9" t="s">
        <v>61</v>
      </c>
      <c r="F297" s="9" t="s">
        <v>62</v>
      </c>
      <c r="G297" s="10"/>
      <c r="H297" s="10"/>
      <c r="I297" s="11">
        <v>0</v>
      </c>
      <c r="J297" s="10"/>
      <c r="K297" s="10"/>
      <c r="L297" s="12">
        <v>0</v>
      </c>
      <c r="M297" s="10"/>
      <c r="N297" s="10"/>
      <c r="O297" s="11">
        <v>0</v>
      </c>
      <c r="P297" s="10"/>
      <c r="Q297" s="10"/>
      <c r="R297" s="11">
        <v>0</v>
      </c>
      <c r="S297" s="10"/>
      <c r="T297" s="10"/>
      <c r="U297" s="11">
        <v>0</v>
      </c>
      <c r="V297" s="10"/>
      <c r="W297" s="10"/>
      <c r="X297" s="11">
        <v>0</v>
      </c>
      <c r="Y297" s="10"/>
      <c r="Z297" s="10"/>
      <c r="AA297" s="11"/>
      <c r="AB297" s="10"/>
      <c r="AC297" s="10"/>
      <c r="AD297" s="11">
        <v>0</v>
      </c>
      <c r="AE297" s="10"/>
      <c r="AF297" s="10"/>
      <c r="AG297" s="11">
        <v>0</v>
      </c>
      <c r="AH297" s="10"/>
      <c r="AI297" s="10"/>
      <c r="AJ297" s="11">
        <v>0</v>
      </c>
      <c r="AK297" s="10"/>
      <c r="AL297" s="10"/>
      <c r="AM297" s="11">
        <v>0</v>
      </c>
      <c r="AN297" s="10"/>
      <c r="AO297" s="10"/>
      <c r="AP297" s="11">
        <v>0</v>
      </c>
      <c r="AQ297" s="10"/>
      <c r="AR297" s="10"/>
      <c r="AS297" s="11">
        <v>0</v>
      </c>
      <c r="AT297" s="10"/>
      <c r="AU297" s="10"/>
      <c r="AV297" s="11">
        <v>0</v>
      </c>
      <c r="AW297" s="10"/>
      <c r="AX297" s="10"/>
      <c r="AY297" s="11">
        <v>0</v>
      </c>
      <c r="AZ297" s="10"/>
      <c r="BA297" s="10"/>
      <c r="BB297" s="11">
        <v>0</v>
      </c>
      <c r="BC297" s="10"/>
      <c r="BD297" s="10"/>
      <c r="BE297" s="11">
        <v>0</v>
      </c>
      <c r="BF297" s="10"/>
      <c r="BG297" s="10"/>
      <c r="BH297" s="11">
        <v>0</v>
      </c>
      <c r="BI297" s="10"/>
      <c r="BJ297" s="10"/>
      <c r="BK297" s="11">
        <v>0</v>
      </c>
      <c r="BL297" s="10"/>
      <c r="BM297" s="10"/>
      <c r="BN297" s="11">
        <v>0</v>
      </c>
      <c r="BO297" s="10"/>
      <c r="BP297" s="10"/>
      <c r="BQ297" s="11">
        <v>0</v>
      </c>
      <c r="BR297" s="10"/>
      <c r="BS297" s="10"/>
      <c r="BT297" s="11">
        <v>0</v>
      </c>
      <c r="BU297" s="10"/>
      <c r="BV297" s="10"/>
      <c r="BW297" s="11">
        <v>0</v>
      </c>
      <c r="BX297" s="10"/>
      <c r="BY297" s="10"/>
      <c r="BZ297" s="11">
        <v>0</v>
      </c>
      <c r="CA297" s="10"/>
      <c r="CB297" s="10"/>
      <c r="CC297" s="11">
        <v>0</v>
      </c>
      <c r="CD297" s="10"/>
      <c r="CE297" s="10"/>
      <c r="CF297" s="11">
        <v>0</v>
      </c>
      <c r="CG297" s="10"/>
      <c r="CH297" s="10"/>
      <c r="CI297" s="11">
        <v>0</v>
      </c>
      <c r="CJ297" s="10"/>
      <c r="CK297" s="10"/>
      <c r="CL297" s="11">
        <v>0</v>
      </c>
      <c r="CM297" s="10"/>
      <c r="CN297" s="10"/>
      <c r="CO297" s="11">
        <v>0</v>
      </c>
      <c r="CP297" s="10"/>
      <c r="CQ297" s="10"/>
      <c r="CR297" s="11">
        <v>0</v>
      </c>
      <c r="CS297" s="10"/>
      <c r="CT297" s="10"/>
      <c r="CU297" s="11">
        <v>0</v>
      </c>
      <c r="CV297" s="10"/>
      <c r="CW297" s="10"/>
      <c r="CX297" s="11">
        <v>0</v>
      </c>
      <c r="CY297" s="10"/>
      <c r="CZ297" s="10"/>
      <c r="DA297" s="11">
        <v>0</v>
      </c>
      <c r="DB297" s="10"/>
      <c r="DC297" s="10"/>
      <c r="DD297" s="13">
        <v>0</v>
      </c>
      <c r="DE297" s="14"/>
    </row>
    <row r="298" spans="1:109" x14ac:dyDescent="0.35">
      <c r="A298" s="8" t="s">
        <v>657</v>
      </c>
      <c r="B298" s="9" t="s">
        <v>42</v>
      </c>
      <c r="C298" s="9" t="s">
        <v>43</v>
      </c>
      <c r="D298" s="9" t="s">
        <v>658</v>
      </c>
      <c r="E298" s="9" t="s">
        <v>45</v>
      </c>
      <c r="F298" s="9" t="s">
        <v>46</v>
      </c>
      <c r="G298" s="10"/>
      <c r="H298" s="10"/>
      <c r="I298" s="11">
        <v>0</v>
      </c>
      <c r="J298" s="10"/>
      <c r="K298" s="10"/>
      <c r="L298" s="12">
        <v>0</v>
      </c>
      <c r="M298" s="10"/>
      <c r="N298" s="10"/>
      <c r="O298" s="11">
        <v>0</v>
      </c>
      <c r="P298" s="10"/>
      <c r="Q298" s="10"/>
      <c r="R298" s="11">
        <v>0</v>
      </c>
      <c r="S298" s="10"/>
      <c r="T298" s="10"/>
      <c r="U298" s="11">
        <v>0</v>
      </c>
      <c r="V298" s="10"/>
      <c r="W298" s="10"/>
      <c r="X298" s="11">
        <v>0</v>
      </c>
      <c r="Y298" s="10"/>
      <c r="Z298" s="10"/>
      <c r="AA298" s="11"/>
      <c r="AB298" s="10"/>
      <c r="AC298" s="10"/>
      <c r="AD298" s="11">
        <v>0</v>
      </c>
      <c r="AE298" s="10"/>
      <c r="AF298" s="10"/>
      <c r="AG298" s="11">
        <v>0</v>
      </c>
      <c r="AH298" s="10"/>
      <c r="AI298" s="10"/>
      <c r="AJ298" s="11">
        <v>0</v>
      </c>
      <c r="AK298" s="10"/>
      <c r="AL298" s="10"/>
      <c r="AM298" s="11">
        <v>0</v>
      </c>
      <c r="AN298" s="10"/>
      <c r="AO298" s="10"/>
      <c r="AP298" s="11">
        <v>0</v>
      </c>
      <c r="AQ298" s="10"/>
      <c r="AR298" s="10"/>
      <c r="AS298" s="11">
        <v>0</v>
      </c>
      <c r="AT298" s="10"/>
      <c r="AU298" s="10"/>
      <c r="AV298" s="11">
        <v>0</v>
      </c>
      <c r="AW298" s="10"/>
      <c r="AX298" s="10"/>
      <c r="AY298" s="11">
        <v>0</v>
      </c>
      <c r="AZ298" s="10"/>
      <c r="BA298" s="10"/>
      <c r="BB298" s="11">
        <v>0</v>
      </c>
      <c r="BC298" s="10"/>
      <c r="BD298" s="10"/>
      <c r="BE298" s="11">
        <v>0</v>
      </c>
      <c r="BF298" s="10"/>
      <c r="BG298" s="10"/>
      <c r="BH298" s="11">
        <v>0</v>
      </c>
      <c r="BI298" s="10"/>
      <c r="BJ298" s="10"/>
      <c r="BK298" s="11">
        <v>0</v>
      </c>
      <c r="BL298" s="10"/>
      <c r="BM298" s="10"/>
      <c r="BN298" s="11">
        <v>0</v>
      </c>
      <c r="BO298" s="10"/>
      <c r="BP298" s="10"/>
      <c r="BQ298" s="11">
        <v>0</v>
      </c>
      <c r="BR298" s="10"/>
      <c r="BS298" s="10"/>
      <c r="BT298" s="11">
        <v>0</v>
      </c>
      <c r="BU298" s="10"/>
      <c r="BV298" s="10"/>
      <c r="BW298" s="11">
        <v>0</v>
      </c>
      <c r="BX298" s="10"/>
      <c r="BY298" s="10"/>
      <c r="BZ298" s="11">
        <v>0</v>
      </c>
      <c r="CA298" s="10"/>
      <c r="CB298" s="10"/>
      <c r="CC298" s="11">
        <v>0</v>
      </c>
      <c r="CD298" s="10"/>
      <c r="CE298" s="10"/>
      <c r="CF298" s="11">
        <v>0</v>
      </c>
      <c r="CG298" s="10"/>
      <c r="CH298" s="10"/>
      <c r="CI298" s="11">
        <v>0</v>
      </c>
      <c r="CJ298" s="10"/>
      <c r="CK298" s="10"/>
      <c r="CL298" s="11">
        <v>0</v>
      </c>
      <c r="CM298" s="10"/>
      <c r="CN298" s="10"/>
      <c r="CO298" s="11">
        <v>0</v>
      </c>
      <c r="CP298" s="10"/>
      <c r="CQ298" s="10"/>
      <c r="CR298" s="11">
        <v>0</v>
      </c>
      <c r="CS298" s="10"/>
      <c r="CT298" s="10"/>
      <c r="CU298" s="11">
        <v>0</v>
      </c>
      <c r="CV298" s="10"/>
      <c r="CW298" s="10"/>
      <c r="CX298" s="11">
        <v>0</v>
      </c>
      <c r="CY298" s="10"/>
      <c r="CZ298" s="10"/>
      <c r="DA298" s="11">
        <v>0</v>
      </c>
      <c r="DB298" s="10"/>
      <c r="DC298" s="10"/>
      <c r="DD298" s="13">
        <v>0</v>
      </c>
      <c r="DE298" s="14"/>
    </row>
    <row r="299" spans="1:109" x14ac:dyDescent="0.35">
      <c r="A299" s="8" t="s">
        <v>659</v>
      </c>
      <c r="B299" s="9" t="s">
        <v>111</v>
      </c>
      <c r="C299" s="9" t="s">
        <v>52</v>
      </c>
      <c r="D299" s="9" t="s">
        <v>660</v>
      </c>
      <c r="E299" s="9" t="s">
        <v>54</v>
      </c>
      <c r="F299" s="9" t="s">
        <v>55</v>
      </c>
      <c r="G299" s="10">
        <v>500000</v>
      </c>
      <c r="H299" s="10">
        <v>403650</v>
      </c>
      <c r="I299" s="11">
        <f t="shared" ref="I299" si="509">H299/G299</f>
        <v>0.80730000000000002</v>
      </c>
      <c r="J299" s="10"/>
      <c r="K299" s="10"/>
      <c r="L299" s="12">
        <v>0</v>
      </c>
      <c r="M299" s="10"/>
      <c r="N299" s="10">
        <v>520</v>
      </c>
      <c r="O299" s="11">
        <v>0</v>
      </c>
      <c r="P299" s="10"/>
      <c r="Q299" s="10"/>
      <c r="R299" s="11">
        <v>0</v>
      </c>
      <c r="S299" s="10"/>
      <c r="T299" s="10"/>
      <c r="U299" s="11">
        <v>0</v>
      </c>
      <c r="V299" s="10"/>
      <c r="W299" s="10"/>
      <c r="X299" s="11">
        <v>0</v>
      </c>
      <c r="Y299" s="10"/>
      <c r="Z299" s="10"/>
      <c r="AA299" s="11"/>
      <c r="AB299" s="10"/>
      <c r="AC299" s="10"/>
      <c r="AD299" s="11">
        <v>0</v>
      </c>
      <c r="AE299" s="10"/>
      <c r="AF299" s="10">
        <v>50450</v>
      </c>
      <c r="AG299" s="11">
        <v>0</v>
      </c>
      <c r="AH299" s="10"/>
      <c r="AI299" s="10"/>
      <c r="AJ299" s="11">
        <v>0</v>
      </c>
      <c r="AK299" s="10"/>
      <c r="AL299" s="10"/>
      <c r="AM299" s="11">
        <v>0</v>
      </c>
      <c r="AN299" s="10">
        <v>50000</v>
      </c>
      <c r="AO299" s="10"/>
      <c r="AP299" s="11">
        <f t="shared" ref="AP299:AP302" si="510">AO299/AN299</f>
        <v>0</v>
      </c>
      <c r="AQ299" s="10"/>
      <c r="AR299" s="10"/>
      <c r="AS299" s="11">
        <v>0</v>
      </c>
      <c r="AT299" s="10"/>
      <c r="AU299" s="10"/>
      <c r="AV299" s="11">
        <v>0</v>
      </c>
      <c r="AW299" s="10"/>
      <c r="AX299" s="10"/>
      <c r="AY299" s="11">
        <v>0</v>
      </c>
      <c r="AZ299" s="10"/>
      <c r="BA299" s="10"/>
      <c r="BB299" s="11">
        <v>0</v>
      </c>
      <c r="BC299" s="10"/>
      <c r="BD299" s="10"/>
      <c r="BE299" s="11">
        <v>0</v>
      </c>
      <c r="BF299" s="10"/>
      <c r="BG299" s="10">
        <f>VLOOKUP(A:A,'[1]2026 Customer Brand Sales'!$A:$BA,53,0)</f>
        <v>15200</v>
      </c>
      <c r="BH299" s="11">
        <v>0</v>
      </c>
      <c r="BI299" s="10"/>
      <c r="BJ299" s="10">
        <v>4500</v>
      </c>
      <c r="BK299" s="11">
        <v>0</v>
      </c>
      <c r="BL299" s="10"/>
      <c r="BM299" s="10"/>
      <c r="BN299" s="11">
        <v>0</v>
      </c>
      <c r="BO299" s="10"/>
      <c r="BP299" s="10"/>
      <c r="BQ299" s="11">
        <v>0</v>
      </c>
      <c r="BR299" s="10"/>
      <c r="BS299" s="10"/>
      <c r="BT299" s="11">
        <v>0</v>
      </c>
      <c r="BU299" s="10"/>
      <c r="BV299" s="10"/>
      <c r="BW299" s="11">
        <v>0</v>
      </c>
      <c r="BX299" s="10"/>
      <c r="BY299" s="10"/>
      <c r="BZ299" s="11">
        <v>0</v>
      </c>
      <c r="CA299" s="10"/>
      <c r="CB299" s="10"/>
      <c r="CC299" s="11">
        <v>0</v>
      </c>
      <c r="CD299" s="10"/>
      <c r="CE299" s="10"/>
      <c r="CF299" s="11">
        <v>0</v>
      </c>
      <c r="CG299" s="10"/>
      <c r="CH299" s="10">
        <v>46400</v>
      </c>
      <c r="CI299" s="11">
        <v>0</v>
      </c>
      <c r="CJ299" s="10"/>
      <c r="CK299" s="10"/>
      <c r="CL299" s="11">
        <v>0</v>
      </c>
      <c r="CM299" s="10"/>
      <c r="CN299" s="10"/>
      <c r="CO299" s="11">
        <v>0</v>
      </c>
      <c r="CP299" s="10"/>
      <c r="CQ299" s="10"/>
      <c r="CR299" s="11">
        <v>0</v>
      </c>
      <c r="CS299" s="10"/>
      <c r="CT299" s="10"/>
      <c r="CU299" s="11">
        <v>0</v>
      </c>
      <c r="CV299" s="10"/>
      <c r="CW299" s="10"/>
      <c r="CX299" s="11">
        <v>0</v>
      </c>
      <c r="CY299" s="10"/>
      <c r="CZ299" s="10"/>
      <c r="DA299" s="11">
        <v>0</v>
      </c>
      <c r="DB299" s="10">
        <v>550000</v>
      </c>
      <c r="DC299" s="10">
        <f t="shared" si="507"/>
        <v>520720</v>
      </c>
      <c r="DD299" s="13">
        <f t="shared" si="508"/>
        <v>0.94676363636363636</v>
      </c>
      <c r="DE299" s="14"/>
    </row>
    <row r="300" spans="1:109" x14ac:dyDescent="0.35">
      <c r="A300" s="8" t="s">
        <v>661</v>
      </c>
      <c r="B300" s="9" t="s">
        <v>48</v>
      </c>
      <c r="C300" s="9" t="s">
        <v>43</v>
      </c>
      <c r="D300" s="9" t="s">
        <v>662</v>
      </c>
      <c r="E300" s="9" t="s">
        <v>45</v>
      </c>
      <c r="F300" s="9" t="s">
        <v>46</v>
      </c>
      <c r="G300" s="10"/>
      <c r="H300" s="10"/>
      <c r="I300" s="11">
        <v>0</v>
      </c>
      <c r="J300" s="10"/>
      <c r="K300" s="10"/>
      <c r="L300" s="12">
        <v>0</v>
      </c>
      <c r="M300" s="10"/>
      <c r="N300" s="10">
        <v>16500</v>
      </c>
      <c r="O300" s="11">
        <v>0</v>
      </c>
      <c r="P300" s="10"/>
      <c r="Q300" s="10"/>
      <c r="R300" s="11">
        <v>0</v>
      </c>
      <c r="S300" s="10"/>
      <c r="T300" s="10"/>
      <c r="U300" s="11">
        <v>0</v>
      </c>
      <c r="V300" s="10"/>
      <c r="W300" s="10"/>
      <c r="X300" s="11">
        <v>0</v>
      </c>
      <c r="Y300" s="10"/>
      <c r="Z300" s="10"/>
      <c r="AA300" s="11"/>
      <c r="AB300" s="10"/>
      <c r="AC300" s="10"/>
      <c r="AD300" s="11">
        <v>0</v>
      </c>
      <c r="AE300" s="10"/>
      <c r="AF300" s="10"/>
      <c r="AG300" s="11">
        <v>0</v>
      </c>
      <c r="AH300" s="10"/>
      <c r="AI300" s="10"/>
      <c r="AJ300" s="11">
        <v>0</v>
      </c>
      <c r="AK300" s="10"/>
      <c r="AL300" s="10"/>
      <c r="AM300" s="11">
        <v>0</v>
      </c>
      <c r="AN300" s="10"/>
      <c r="AO300" s="10"/>
      <c r="AP300" s="11">
        <v>0</v>
      </c>
      <c r="AQ300" s="10"/>
      <c r="AR300" s="10"/>
      <c r="AS300" s="11">
        <v>0</v>
      </c>
      <c r="AT300" s="10"/>
      <c r="AU300" s="10"/>
      <c r="AV300" s="11">
        <v>0</v>
      </c>
      <c r="AW300" s="10"/>
      <c r="AX300" s="10"/>
      <c r="AY300" s="11">
        <v>0</v>
      </c>
      <c r="AZ300" s="10"/>
      <c r="BA300" s="10"/>
      <c r="BB300" s="11">
        <v>0</v>
      </c>
      <c r="BC300" s="10"/>
      <c r="BD300" s="10"/>
      <c r="BE300" s="11">
        <v>0</v>
      </c>
      <c r="BF300" s="10"/>
      <c r="BG300" s="10"/>
      <c r="BH300" s="11">
        <v>0</v>
      </c>
      <c r="BI300" s="10"/>
      <c r="BJ300" s="10"/>
      <c r="BK300" s="11">
        <v>0</v>
      </c>
      <c r="BL300" s="10"/>
      <c r="BM300" s="10"/>
      <c r="BN300" s="11">
        <v>0</v>
      </c>
      <c r="BO300" s="10"/>
      <c r="BP300" s="10"/>
      <c r="BQ300" s="11">
        <v>0</v>
      </c>
      <c r="BR300" s="10">
        <v>100000</v>
      </c>
      <c r="BS300" s="10"/>
      <c r="BT300" s="11">
        <f t="shared" ref="BT300" si="511">BS300/BR300</f>
        <v>0</v>
      </c>
      <c r="BU300" s="10">
        <v>50000</v>
      </c>
      <c r="BV300" s="10"/>
      <c r="BW300" s="11">
        <f t="shared" ref="BW300" si="512">BV300/BU300</f>
        <v>0</v>
      </c>
      <c r="BX300" s="10"/>
      <c r="BY300" s="10"/>
      <c r="BZ300" s="11">
        <v>0</v>
      </c>
      <c r="CA300" s="10"/>
      <c r="CB300" s="10"/>
      <c r="CC300" s="11">
        <v>0</v>
      </c>
      <c r="CD300" s="10"/>
      <c r="CE300" s="10"/>
      <c r="CF300" s="11">
        <v>0</v>
      </c>
      <c r="CG300" s="10">
        <v>600000</v>
      </c>
      <c r="CH300" s="10">
        <v>48540</v>
      </c>
      <c r="CI300" s="11">
        <f t="shared" ref="CI300:CI306" si="513">CH300/CG300</f>
        <v>8.09E-2</v>
      </c>
      <c r="CJ300" s="10"/>
      <c r="CK300" s="10"/>
      <c r="CL300" s="11">
        <v>0</v>
      </c>
      <c r="CM300" s="10"/>
      <c r="CN300" s="10"/>
      <c r="CO300" s="11">
        <v>0</v>
      </c>
      <c r="CP300" s="10"/>
      <c r="CQ300" s="10"/>
      <c r="CR300" s="11">
        <v>0</v>
      </c>
      <c r="CS300" s="10"/>
      <c r="CT300" s="10"/>
      <c r="CU300" s="11">
        <v>0</v>
      </c>
      <c r="CV300" s="10"/>
      <c r="CW300" s="10"/>
      <c r="CX300" s="11">
        <v>0</v>
      </c>
      <c r="CY300" s="10"/>
      <c r="CZ300" s="10"/>
      <c r="DA300" s="11">
        <v>0</v>
      </c>
      <c r="DB300" s="10">
        <v>750000</v>
      </c>
      <c r="DC300" s="10">
        <f t="shared" si="507"/>
        <v>65040</v>
      </c>
      <c r="DD300" s="13">
        <f t="shared" si="508"/>
        <v>8.6720000000000005E-2</v>
      </c>
      <c r="DE300" s="14"/>
    </row>
    <row r="301" spans="1:109" x14ac:dyDescent="0.35">
      <c r="A301" s="8" t="s">
        <v>663</v>
      </c>
      <c r="B301" s="9" t="s">
        <v>51</v>
      </c>
      <c r="C301" s="9" t="s">
        <v>52</v>
      </c>
      <c r="D301" s="9" t="s">
        <v>664</v>
      </c>
      <c r="E301" s="9" t="s">
        <v>54</v>
      </c>
      <c r="F301" s="9" t="s">
        <v>55</v>
      </c>
      <c r="G301" s="10"/>
      <c r="H301" s="10"/>
      <c r="I301" s="11">
        <v>0</v>
      </c>
      <c r="J301" s="10"/>
      <c r="K301" s="10"/>
      <c r="L301" s="12">
        <v>0</v>
      </c>
      <c r="M301" s="10"/>
      <c r="N301" s="10"/>
      <c r="O301" s="11">
        <v>0</v>
      </c>
      <c r="P301" s="10"/>
      <c r="Q301" s="10"/>
      <c r="R301" s="11">
        <v>0</v>
      </c>
      <c r="S301" s="10"/>
      <c r="T301" s="10"/>
      <c r="U301" s="11">
        <v>0</v>
      </c>
      <c r="V301" s="10"/>
      <c r="W301" s="10"/>
      <c r="X301" s="11">
        <v>0</v>
      </c>
      <c r="Y301" s="10"/>
      <c r="Z301" s="10"/>
      <c r="AA301" s="11"/>
      <c r="AB301" s="10"/>
      <c r="AC301" s="10"/>
      <c r="AD301" s="11">
        <v>0</v>
      </c>
      <c r="AE301" s="10"/>
      <c r="AF301" s="10"/>
      <c r="AG301" s="11">
        <v>0</v>
      </c>
      <c r="AH301" s="10"/>
      <c r="AI301" s="10"/>
      <c r="AJ301" s="11">
        <v>0</v>
      </c>
      <c r="AK301" s="10"/>
      <c r="AL301" s="10"/>
      <c r="AM301" s="11">
        <v>0</v>
      </c>
      <c r="AN301" s="10"/>
      <c r="AO301" s="10"/>
      <c r="AP301" s="11">
        <v>0</v>
      </c>
      <c r="AQ301" s="10"/>
      <c r="AR301" s="10"/>
      <c r="AS301" s="11">
        <v>0</v>
      </c>
      <c r="AT301" s="10"/>
      <c r="AU301" s="10"/>
      <c r="AV301" s="11">
        <v>0</v>
      </c>
      <c r="AW301" s="10"/>
      <c r="AX301" s="10"/>
      <c r="AY301" s="11">
        <v>0</v>
      </c>
      <c r="AZ301" s="10"/>
      <c r="BA301" s="10"/>
      <c r="BB301" s="11">
        <v>0</v>
      </c>
      <c r="BC301" s="10"/>
      <c r="BD301" s="10"/>
      <c r="BE301" s="11">
        <v>0</v>
      </c>
      <c r="BF301" s="10"/>
      <c r="BG301" s="10"/>
      <c r="BH301" s="11">
        <v>0</v>
      </c>
      <c r="BI301" s="10"/>
      <c r="BJ301" s="10"/>
      <c r="BK301" s="11">
        <v>0</v>
      </c>
      <c r="BL301" s="10"/>
      <c r="BM301" s="10"/>
      <c r="BN301" s="11">
        <v>0</v>
      </c>
      <c r="BO301" s="10"/>
      <c r="BP301" s="10"/>
      <c r="BQ301" s="11">
        <v>0</v>
      </c>
      <c r="BR301" s="10"/>
      <c r="BS301" s="10"/>
      <c r="BT301" s="11">
        <v>0</v>
      </c>
      <c r="BU301" s="10"/>
      <c r="BV301" s="10"/>
      <c r="BW301" s="11">
        <v>0</v>
      </c>
      <c r="BX301" s="10"/>
      <c r="BY301" s="10"/>
      <c r="BZ301" s="11">
        <v>0</v>
      </c>
      <c r="CA301" s="10"/>
      <c r="CB301" s="10"/>
      <c r="CC301" s="11">
        <v>0</v>
      </c>
      <c r="CD301" s="10"/>
      <c r="CE301" s="10"/>
      <c r="CF301" s="11">
        <v>0</v>
      </c>
      <c r="CG301" s="10"/>
      <c r="CH301" s="10"/>
      <c r="CI301" s="11">
        <v>0</v>
      </c>
      <c r="CJ301" s="10"/>
      <c r="CK301" s="10"/>
      <c r="CL301" s="11">
        <v>0</v>
      </c>
      <c r="CM301" s="10"/>
      <c r="CN301" s="10"/>
      <c r="CO301" s="11">
        <v>0</v>
      </c>
      <c r="CP301" s="10"/>
      <c r="CQ301" s="10"/>
      <c r="CR301" s="11">
        <v>0</v>
      </c>
      <c r="CS301" s="10"/>
      <c r="CT301" s="10"/>
      <c r="CU301" s="11">
        <v>0</v>
      </c>
      <c r="CV301" s="10"/>
      <c r="CW301" s="10"/>
      <c r="CX301" s="11">
        <v>0</v>
      </c>
      <c r="CY301" s="10"/>
      <c r="CZ301" s="10"/>
      <c r="DA301" s="11">
        <v>0</v>
      </c>
      <c r="DB301" s="10"/>
      <c r="DC301" s="10"/>
      <c r="DD301" s="13">
        <v>0</v>
      </c>
      <c r="DE301" s="14"/>
    </row>
    <row r="302" spans="1:109" x14ac:dyDescent="0.35">
      <c r="A302" s="8" t="s">
        <v>665</v>
      </c>
      <c r="B302" s="9" t="s">
        <v>59</v>
      </c>
      <c r="C302" s="9" t="s">
        <v>43</v>
      </c>
      <c r="D302" s="9" t="s">
        <v>666</v>
      </c>
      <c r="E302" s="9" t="s">
        <v>61</v>
      </c>
      <c r="F302" s="9" t="s">
        <v>62</v>
      </c>
      <c r="G302" s="10"/>
      <c r="H302" s="10"/>
      <c r="I302" s="11">
        <v>0</v>
      </c>
      <c r="J302" s="10"/>
      <c r="K302" s="10"/>
      <c r="L302" s="12">
        <v>0</v>
      </c>
      <c r="M302" s="10"/>
      <c r="N302" s="10"/>
      <c r="O302" s="11">
        <v>0</v>
      </c>
      <c r="P302" s="10"/>
      <c r="Q302" s="10"/>
      <c r="R302" s="11">
        <v>0</v>
      </c>
      <c r="S302" s="10"/>
      <c r="T302" s="10"/>
      <c r="U302" s="11">
        <v>0</v>
      </c>
      <c r="V302" s="10">
        <v>700000</v>
      </c>
      <c r="W302" s="10">
        <v>204850</v>
      </c>
      <c r="X302" s="11">
        <v>0.29264285714285715</v>
      </c>
      <c r="Y302" s="10"/>
      <c r="Z302" s="10"/>
      <c r="AA302" s="11"/>
      <c r="AB302" s="10"/>
      <c r="AC302" s="10"/>
      <c r="AD302" s="11">
        <v>0</v>
      </c>
      <c r="AE302" s="10"/>
      <c r="AF302" s="10"/>
      <c r="AG302" s="11">
        <v>0</v>
      </c>
      <c r="AH302" s="10"/>
      <c r="AI302" s="10"/>
      <c r="AJ302" s="11">
        <v>0</v>
      </c>
      <c r="AK302" s="10">
        <v>500000</v>
      </c>
      <c r="AL302" s="10"/>
      <c r="AM302" s="11">
        <f t="shared" ref="AM302" si="514">AL302/AK302</f>
        <v>0</v>
      </c>
      <c r="AN302" s="10">
        <v>50000</v>
      </c>
      <c r="AO302" s="10"/>
      <c r="AP302" s="11">
        <f t="shared" si="510"/>
        <v>0</v>
      </c>
      <c r="AQ302" s="10"/>
      <c r="AR302" s="10"/>
      <c r="AS302" s="11">
        <v>0</v>
      </c>
      <c r="AT302" s="10"/>
      <c r="AU302" s="10"/>
      <c r="AV302" s="11">
        <v>0</v>
      </c>
      <c r="AW302" s="10"/>
      <c r="AX302" s="10"/>
      <c r="AY302" s="11">
        <v>0</v>
      </c>
      <c r="AZ302" s="10"/>
      <c r="BA302" s="10"/>
      <c r="BB302" s="11">
        <v>0</v>
      </c>
      <c r="BC302" s="10"/>
      <c r="BD302" s="10"/>
      <c r="BE302" s="11">
        <v>0</v>
      </c>
      <c r="BF302" s="10"/>
      <c r="BG302" s="10"/>
      <c r="BH302" s="11">
        <v>0</v>
      </c>
      <c r="BI302" s="10"/>
      <c r="BJ302" s="10"/>
      <c r="BK302" s="11">
        <v>0</v>
      </c>
      <c r="BL302" s="10"/>
      <c r="BM302" s="10"/>
      <c r="BN302" s="11">
        <v>0</v>
      </c>
      <c r="BO302" s="10"/>
      <c r="BP302" s="10"/>
      <c r="BQ302" s="11">
        <v>0</v>
      </c>
      <c r="BR302" s="10"/>
      <c r="BS302" s="10"/>
      <c r="BT302" s="11">
        <v>0</v>
      </c>
      <c r="BU302" s="10"/>
      <c r="BV302" s="10"/>
      <c r="BW302" s="11">
        <v>0</v>
      </c>
      <c r="BX302" s="10"/>
      <c r="BY302" s="10"/>
      <c r="BZ302" s="11">
        <v>0</v>
      </c>
      <c r="CA302" s="10"/>
      <c r="CB302" s="10"/>
      <c r="CC302" s="11">
        <v>0</v>
      </c>
      <c r="CD302" s="10"/>
      <c r="CE302" s="10"/>
      <c r="CF302" s="11">
        <v>0</v>
      </c>
      <c r="CG302" s="10"/>
      <c r="CH302" s="10"/>
      <c r="CI302" s="11">
        <v>0</v>
      </c>
      <c r="CJ302" s="10"/>
      <c r="CK302" s="10"/>
      <c r="CL302" s="11">
        <v>0</v>
      </c>
      <c r="CM302" s="10"/>
      <c r="CN302" s="10"/>
      <c r="CO302" s="11">
        <v>0</v>
      </c>
      <c r="CP302" s="10"/>
      <c r="CQ302" s="10"/>
      <c r="CR302" s="11">
        <v>0</v>
      </c>
      <c r="CS302" s="10"/>
      <c r="CT302" s="10"/>
      <c r="CU302" s="11">
        <v>0</v>
      </c>
      <c r="CV302" s="10"/>
      <c r="CW302" s="10"/>
      <c r="CX302" s="11">
        <v>0</v>
      </c>
      <c r="CY302" s="10"/>
      <c r="CZ302" s="10"/>
      <c r="DA302" s="11">
        <v>0</v>
      </c>
      <c r="DB302" s="10">
        <v>1250000</v>
      </c>
      <c r="DC302" s="10">
        <f t="shared" si="507"/>
        <v>204850</v>
      </c>
      <c r="DD302" s="13">
        <f t="shared" si="508"/>
        <v>0.16388</v>
      </c>
      <c r="DE302" s="14"/>
    </row>
    <row r="303" spans="1:109" x14ac:dyDescent="0.35">
      <c r="A303" s="8" t="s">
        <v>667</v>
      </c>
      <c r="B303" s="9" t="s">
        <v>118</v>
      </c>
      <c r="C303" s="9" t="s">
        <v>43</v>
      </c>
      <c r="D303" s="9" t="s">
        <v>668</v>
      </c>
      <c r="E303" s="9" t="s">
        <v>61</v>
      </c>
      <c r="F303" s="9" t="s">
        <v>62</v>
      </c>
      <c r="G303" s="10"/>
      <c r="H303" s="10"/>
      <c r="I303" s="11">
        <v>0</v>
      </c>
      <c r="J303" s="10"/>
      <c r="K303" s="10"/>
      <c r="L303" s="12">
        <v>0</v>
      </c>
      <c r="M303" s="10"/>
      <c r="N303" s="10"/>
      <c r="O303" s="11">
        <v>0</v>
      </c>
      <c r="P303" s="10"/>
      <c r="Q303" s="10"/>
      <c r="R303" s="11">
        <v>0</v>
      </c>
      <c r="S303" s="10"/>
      <c r="T303" s="10"/>
      <c r="U303" s="11">
        <v>0</v>
      </c>
      <c r="V303" s="10">
        <v>1500000</v>
      </c>
      <c r="W303" s="10">
        <v>362600</v>
      </c>
      <c r="X303" s="11">
        <v>0.24173333333333333</v>
      </c>
      <c r="Y303" s="10"/>
      <c r="Z303" s="10"/>
      <c r="AA303" s="11"/>
      <c r="AB303" s="10"/>
      <c r="AC303" s="10"/>
      <c r="AD303" s="11">
        <v>0</v>
      </c>
      <c r="AE303" s="10"/>
      <c r="AF303" s="10"/>
      <c r="AG303" s="11">
        <v>0</v>
      </c>
      <c r="AH303" s="10"/>
      <c r="AI303" s="10"/>
      <c r="AJ303" s="11">
        <v>0</v>
      </c>
      <c r="AK303" s="10"/>
      <c r="AL303" s="10"/>
      <c r="AM303" s="11">
        <v>0</v>
      </c>
      <c r="AN303" s="10"/>
      <c r="AO303" s="10"/>
      <c r="AP303" s="11">
        <v>0</v>
      </c>
      <c r="AQ303" s="10"/>
      <c r="AR303" s="10"/>
      <c r="AS303" s="11">
        <v>0</v>
      </c>
      <c r="AT303" s="10"/>
      <c r="AU303" s="10"/>
      <c r="AV303" s="11">
        <v>0</v>
      </c>
      <c r="AW303" s="10"/>
      <c r="AX303" s="10"/>
      <c r="AY303" s="11">
        <v>0</v>
      </c>
      <c r="AZ303" s="10"/>
      <c r="BA303" s="10"/>
      <c r="BB303" s="11">
        <v>0</v>
      </c>
      <c r="BC303" s="10"/>
      <c r="BD303" s="10"/>
      <c r="BE303" s="11">
        <v>0</v>
      </c>
      <c r="BF303" s="10"/>
      <c r="BG303" s="10"/>
      <c r="BH303" s="11">
        <v>0</v>
      </c>
      <c r="BI303" s="10"/>
      <c r="BJ303" s="10"/>
      <c r="BK303" s="11">
        <v>0</v>
      </c>
      <c r="BL303" s="10"/>
      <c r="BM303" s="10"/>
      <c r="BN303" s="11">
        <v>0</v>
      </c>
      <c r="BO303" s="10"/>
      <c r="BP303" s="10"/>
      <c r="BQ303" s="11">
        <v>0</v>
      </c>
      <c r="BR303" s="10"/>
      <c r="BS303" s="10"/>
      <c r="BT303" s="11">
        <v>0</v>
      </c>
      <c r="BU303" s="10"/>
      <c r="BV303" s="10"/>
      <c r="BW303" s="11">
        <v>0</v>
      </c>
      <c r="BX303" s="10"/>
      <c r="BY303" s="10"/>
      <c r="BZ303" s="11">
        <v>0</v>
      </c>
      <c r="CA303" s="10"/>
      <c r="CB303" s="10"/>
      <c r="CC303" s="11">
        <v>0</v>
      </c>
      <c r="CD303" s="10"/>
      <c r="CE303" s="10"/>
      <c r="CF303" s="11">
        <v>0</v>
      </c>
      <c r="CG303" s="10"/>
      <c r="CH303" s="10"/>
      <c r="CI303" s="11">
        <v>0</v>
      </c>
      <c r="CJ303" s="10"/>
      <c r="CK303" s="10"/>
      <c r="CL303" s="11">
        <v>0</v>
      </c>
      <c r="CM303" s="10"/>
      <c r="CN303" s="10"/>
      <c r="CO303" s="11">
        <v>0</v>
      </c>
      <c r="CP303" s="10"/>
      <c r="CQ303" s="10"/>
      <c r="CR303" s="11">
        <v>0</v>
      </c>
      <c r="CS303" s="10"/>
      <c r="CT303" s="10"/>
      <c r="CU303" s="11">
        <v>0</v>
      </c>
      <c r="CV303" s="10"/>
      <c r="CW303" s="10"/>
      <c r="CX303" s="11">
        <v>0</v>
      </c>
      <c r="CY303" s="10"/>
      <c r="CZ303" s="10"/>
      <c r="DA303" s="11">
        <v>0</v>
      </c>
      <c r="DB303" s="10">
        <v>1500000</v>
      </c>
      <c r="DC303" s="10">
        <f t="shared" si="507"/>
        <v>362600</v>
      </c>
      <c r="DD303" s="13">
        <f t="shared" si="508"/>
        <v>0.24173333333333333</v>
      </c>
      <c r="DE303" s="14"/>
    </row>
    <row r="304" spans="1:109" x14ac:dyDescent="0.35">
      <c r="A304" s="8" t="s">
        <v>669</v>
      </c>
      <c r="B304" s="9" t="s">
        <v>118</v>
      </c>
      <c r="C304" s="9" t="s">
        <v>43</v>
      </c>
      <c r="D304" s="9" t="s">
        <v>670</v>
      </c>
      <c r="E304" s="9" t="s">
        <v>61</v>
      </c>
      <c r="F304" s="9" t="s">
        <v>62</v>
      </c>
      <c r="G304" s="10"/>
      <c r="H304" s="10"/>
      <c r="I304" s="11">
        <v>0</v>
      </c>
      <c r="J304" s="10"/>
      <c r="K304" s="10"/>
      <c r="L304" s="12">
        <v>0</v>
      </c>
      <c r="M304" s="10"/>
      <c r="N304" s="10"/>
      <c r="O304" s="11">
        <v>0</v>
      </c>
      <c r="P304" s="10"/>
      <c r="Q304" s="10"/>
      <c r="R304" s="11">
        <v>0</v>
      </c>
      <c r="S304" s="10"/>
      <c r="T304" s="10"/>
      <c r="U304" s="11">
        <v>0</v>
      </c>
      <c r="V304" s="10"/>
      <c r="W304" s="10"/>
      <c r="X304" s="11">
        <v>0</v>
      </c>
      <c r="Y304" s="10"/>
      <c r="Z304" s="10"/>
      <c r="AA304" s="11"/>
      <c r="AB304" s="10"/>
      <c r="AC304" s="10"/>
      <c r="AD304" s="11">
        <v>0</v>
      </c>
      <c r="AE304" s="10"/>
      <c r="AF304" s="10"/>
      <c r="AG304" s="11">
        <v>0</v>
      </c>
      <c r="AH304" s="10"/>
      <c r="AI304" s="10"/>
      <c r="AJ304" s="11">
        <v>0</v>
      </c>
      <c r="AK304" s="10"/>
      <c r="AL304" s="10"/>
      <c r="AM304" s="11">
        <v>0</v>
      </c>
      <c r="AN304" s="10"/>
      <c r="AO304" s="10"/>
      <c r="AP304" s="11">
        <v>0</v>
      </c>
      <c r="AQ304" s="10"/>
      <c r="AR304" s="10"/>
      <c r="AS304" s="11">
        <v>0</v>
      </c>
      <c r="AT304" s="10"/>
      <c r="AU304" s="10"/>
      <c r="AV304" s="11">
        <v>0</v>
      </c>
      <c r="AW304" s="10"/>
      <c r="AX304" s="10"/>
      <c r="AY304" s="11">
        <v>0</v>
      </c>
      <c r="AZ304" s="10"/>
      <c r="BA304" s="10"/>
      <c r="BB304" s="11">
        <v>0</v>
      </c>
      <c r="BC304" s="10"/>
      <c r="BD304" s="10"/>
      <c r="BE304" s="11">
        <v>0</v>
      </c>
      <c r="BF304" s="10"/>
      <c r="BG304" s="10"/>
      <c r="BH304" s="11">
        <v>0</v>
      </c>
      <c r="BI304" s="10"/>
      <c r="BJ304" s="10"/>
      <c r="BK304" s="11">
        <v>0</v>
      </c>
      <c r="BL304" s="10"/>
      <c r="BM304" s="10"/>
      <c r="BN304" s="11">
        <v>0</v>
      </c>
      <c r="BO304" s="10"/>
      <c r="BP304" s="10"/>
      <c r="BQ304" s="11">
        <v>0</v>
      </c>
      <c r="BR304" s="10"/>
      <c r="BS304" s="10"/>
      <c r="BT304" s="11">
        <v>0</v>
      </c>
      <c r="BU304" s="10"/>
      <c r="BV304" s="10"/>
      <c r="BW304" s="11">
        <v>0</v>
      </c>
      <c r="BX304" s="10"/>
      <c r="BY304" s="10"/>
      <c r="BZ304" s="11">
        <v>0</v>
      </c>
      <c r="CA304" s="10"/>
      <c r="CB304" s="10"/>
      <c r="CC304" s="11">
        <v>0</v>
      </c>
      <c r="CD304" s="10"/>
      <c r="CE304" s="10"/>
      <c r="CF304" s="11">
        <v>0</v>
      </c>
      <c r="CG304" s="10"/>
      <c r="CH304" s="10"/>
      <c r="CI304" s="11">
        <v>0</v>
      </c>
      <c r="CJ304" s="10"/>
      <c r="CK304" s="10"/>
      <c r="CL304" s="11">
        <v>0</v>
      </c>
      <c r="CM304" s="10"/>
      <c r="CN304" s="10"/>
      <c r="CO304" s="11">
        <v>0</v>
      </c>
      <c r="CP304" s="10"/>
      <c r="CQ304" s="10"/>
      <c r="CR304" s="11">
        <v>0</v>
      </c>
      <c r="CS304" s="10"/>
      <c r="CT304" s="10"/>
      <c r="CU304" s="11">
        <v>0</v>
      </c>
      <c r="CV304" s="10"/>
      <c r="CW304" s="10"/>
      <c r="CX304" s="11">
        <v>0</v>
      </c>
      <c r="CY304" s="10"/>
      <c r="CZ304" s="10"/>
      <c r="DA304" s="11">
        <v>0</v>
      </c>
      <c r="DB304" s="10"/>
      <c r="DC304" s="10"/>
      <c r="DD304" s="13">
        <v>0</v>
      </c>
      <c r="DE304" s="14"/>
    </row>
    <row r="305" spans="1:109" x14ac:dyDescent="0.35">
      <c r="A305" s="8" t="s">
        <v>671</v>
      </c>
      <c r="B305" s="9" t="s">
        <v>51</v>
      </c>
      <c r="C305" s="9" t="s">
        <v>52</v>
      </c>
      <c r="D305" s="9" t="s">
        <v>672</v>
      </c>
      <c r="E305" s="9" t="s">
        <v>54</v>
      </c>
      <c r="F305" s="9" t="s">
        <v>55</v>
      </c>
      <c r="G305" s="10"/>
      <c r="H305" s="10"/>
      <c r="I305" s="11">
        <v>0</v>
      </c>
      <c r="J305" s="10"/>
      <c r="K305" s="10"/>
      <c r="L305" s="12">
        <v>0</v>
      </c>
      <c r="M305" s="10"/>
      <c r="N305" s="10"/>
      <c r="O305" s="11">
        <v>0</v>
      </c>
      <c r="P305" s="10"/>
      <c r="Q305" s="10"/>
      <c r="R305" s="11">
        <v>0</v>
      </c>
      <c r="S305" s="10"/>
      <c r="T305" s="10"/>
      <c r="U305" s="11">
        <v>0</v>
      </c>
      <c r="V305" s="10"/>
      <c r="W305" s="10"/>
      <c r="X305" s="11">
        <v>0</v>
      </c>
      <c r="Y305" s="10"/>
      <c r="Z305" s="10"/>
      <c r="AA305" s="11"/>
      <c r="AB305" s="10"/>
      <c r="AC305" s="10"/>
      <c r="AD305" s="11">
        <v>0</v>
      </c>
      <c r="AE305" s="10"/>
      <c r="AF305" s="10"/>
      <c r="AG305" s="11">
        <v>0</v>
      </c>
      <c r="AH305" s="10"/>
      <c r="AI305" s="10"/>
      <c r="AJ305" s="11">
        <v>0</v>
      </c>
      <c r="AK305" s="10"/>
      <c r="AL305" s="10"/>
      <c r="AM305" s="11">
        <v>0</v>
      </c>
      <c r="AN305" s="10"/>
      <c r="AO305" s="10"/>
      <c r="AP305" s="11">
        <v>0</v>
      </c>
      <c r="AQ305" s="10"/>
      <c r="AR305" s="10"/>
      <c r="AS305" s="11">
        <v>0</v>
      </c>
      <c r="AT305" s="10"/>
      <c r="AU305" s="10"/>
      <c r="AV305" s="11">
        <v>0</v>
      </c>
      <c r="AW305" s="10"/>
      <c r="AX305" s="10"/>
      <c r="AY305" s="11">
        <v>0</v>
      </c>
      <c r="AZ305" s="10"/>
      <c r="BA305" s="10"/>
      <c r="BB305" s="11">
        <v>0</v>
      </c>
      <c r="BC305" s="10"/>
      <c r="BD305" s="10"/>
      <c r="BE305" s="11">
        <v>0</v>
      </c>
      <c r="BF305" s="10"/>
      <c r="BG305" s="10"/>
      <c r="BH305" s="11">
        <v>0</v>
      </c>
      <c r="BI305" s="10"/>
      <c r="BJ305" s="10"/>
      <c r="BK305" s="11">
        <v>0</v>
      </c>
      <c r="BL305" s="10"/>
      <c r="BM305" s="10"/>
      <c r="BN305" s="11">
        <v>0</v>
      </c>
      <c r="BO305" s="10"/>
      <c r="BP305" s="10"/>
      <c r="BQ305" s="11">
        <v>0</v>
      </c>
      <c r="BR305" s="10"/>
      <c r="BS305" s="10"/>
      <c r="BT305" s="11">
        <v>0</v>
      </c>
      <c r="BU305" s="10"/>
      <c r="BV305" s="10"/>
      <c r="BW305" s="11">
        <v>0</v>
      </c>
      <c r="BX305" s="10"/>
      <c r="BY305" s="10"/>
      <c r="BZ305" s="11">
        <v>0</v>
      </c>
      <c r="CA305" s="10"/>
      <c r="CB305" s="10"/>
      <c r="CC305" s="11">
        <v>0</v>
      </c>
      <c r="CD305" s="10"/>
      <c r="CE305" s="10"/>
      <c r="CF305" s="11">
        <v>0</v>
      </c>
      <c r="CG305" s="10"/>
      <c r="CH305" s="10"/>
      <c r="CI305" s="11">
        <v>0</v>
      </c>
      <c r="CJ305" s="10"/>
      <c r="CK305" s="10"/>
      <c r="CL305" s="11">
        <v>0</v>
      </c>
      <c r="CM305" s="10"/>
      <c r="CN305" s="10"/>
      <c r="CO305" s="11">
        <v>0</v>
      </c>
      <c r="CP305" s="10"/>
      <c r="CQ305" s="10"/>
      <c r="CR305" s="11">
        <v>0</v>
      </c>
      <c r="CS305" s="10"/>
      <c r="CT305" s="10"/>
      <c r="CU305" s="11">
        <v>0</v>
      </c>
      <c r="CV305" s="10"/>
      <c r="CW305" s="10"/>
      <c r="CX305" s="11">
        <v>0</v>
      </c>
      <c r="CY305" s="10"/>
      <c r="CZ305" s="10"/>
      <c r="DA305" s="11">
        <v>0</v>
      </c>
      <c r="DB305" s="10"/>
      <c r="DC305" s="10"/>
      <c r="DD305" s="13">
        <v>0</v>
      </c>
      <c r="DE305" s="14"/>
    </row>
    <row r="306" spans="1:109" x14ac:dyDescent="0.35">
      <c r="A306" s="8" t="s">
        <v>673</v>
      </c>
      <c r="B306" s="9" t="s">
        <v>48</v>
      </c>
      <c r="C306" s="9" t="s">
        <v>43</v>
      </c>
      <c r="D306" s="9" t="s">
        <v>674</v>
      </c>
      <c r="E306" s="9" t="s">
        <v>45</v>
      </c>
      <c r="F306" s="9" t="s">
        <v>46</v>
      </c>
      <c r="G306" s="10"/>
      <c r="H306" s="10"/>
      <c r="I306" s="11">
        <v>0</v>
      </c>
      <c r="J306" s="10"/>
      <c r="K306" s="10">
        <v>21000</v>
      </c>
      <c r="L306" s="12">
        <v>0</v>
      </c>
      <c r="M306" s="10"/>
      <c r="N306" s="10"/>
      <c r="O306" s="11">
        <v>0</v>
      </c>
      <c r="P306" s="10"/>
      <c r="Q306" s="10"/>
      <c r="R306" s="11">
        <v>0</v>
      </c>
      <c r="S306" s="10"/>
      <c r="T306" s="10"/>
      <c r="U306" s="11">
        <v>0</v>
      </c>
      <c r="V306" s="10"/>
      <c r="W306" s="10"/>
      <c r="X306" s="11">
        <v>0</v>
      </c>
      <c r="Y306" s="10"/>
      <c r="Z306" s="10"/>
      <c r="AA306" s="11"/>
      <c r="AB306" s="10"/>
      <c r="AC306" s="10"/>
      <c r="AD306" s="11">
        <v>0</v>
      </c>
      <c r="AE306" s="10"/>
      <c r="AF306" s="10"/>
      <c r="AG306" s="11">
        <v>0</v>
      </c>
      <c r="AH306" s="10"/>
      <c r="AI306" s="10"/>
      <c r="AJ306" s="11">
        <v>0</v>
      </c>
      <c r="AK306" s="10"/>
      <c r="AL306" s="10"/>
      <c r="AM306" s="11">
        <v>0</v>
      </c>
      <c r="AN306" s="10"/>
      <c r="AO306" s="10"/>
      <c r="AP306" s="11">
        <v>0</v>
      </c>
      <c r="AQ306" s="10"/>
      <c r="AR306" s="10"/>
      <c r="AS306" s="11">
        <v>0</v>
      </c>
      <c r="AT306" s="10"/>
      <c r="AU306" s="10"/>
      <c r="AV306" s="11">
        <v>0</v>
      </c>
      <c r="AW306" s="10"/>
      <c r="AX306" s="10"/>
      <c r="AY306" s="11">
        <v>0</v>
      </c>
      <c r="AZ306" s="10"/>
      <c r="BA306" s="10"/>
      <c r="BB306" s="11">
        <v>0</v>
      </c>
      <c r="BC306" s="10"/>
      <c r="BD306" s="10"/>
      <c r="BE306" s="11">
        <v>0</v>
      </c>
      <c r="BF306" s="10"/>
      <c r="BG306" s="10"/>
      <c r="BH306" s="11">
        <v>0</v>
      </c>
      <c r="BI306" s="10"/>
      <c r="BJ306" s="10"/>
      <c r="BK306" s="11">
        <v>0</v>
      </c>
      <c r="BL306" s="10"/>
      <c r="BM306" s="10"/>
      <c r="BN306" s="11">
        <v>0</v>
      </c>
      <c r="BO306" s="10"/>
      <c r="BP306" s="10"/>
      <c r="BQ306" s="11">
        <v>0</v>
      </c>
      <c r="BR306" s="10"/>
      <c r="BS306" s="10"/>
      <c r="BT306" s="11">
        <v>0</v>
      </c>
      <c r="BU306" s="10"/>
      <c r="BV306" s="10"/>
      <c r="BW306" s="11">
        <v>0</v>
      </c>
      <c r="BX306" s="10"/>
      <c r="BY306" s="10"/>
      <c r="BZ306" s="11">
        <v>0</v>
      </c>
      <c r="CA306" s="10"/>
      <c r="CB306" s="10"/>
      <c r="CC306" s="11">
        <v>0</v>
      </c>
      <c r="CD306" s="10"/>
      <c r="CE306" s="10"/>
      <c r="CF306" s="11">
        <v>0</v>
      </c>
      <c r="CG306" s="10">
        <v>100000</v>
      </c>
      <c r="CH306" s="10"/>
      <c r="CI306" s="11">
        <f t="shared" si="513"/>
        <v>0</v>
      </c>
      <c r="CJ306" s="10"/>
      <c r="CK306" s="10"/>
      <c r="CL306" s="11">
        <v>0</v>
      </c>
      <c r="CM306" s="10"/>
      <c r="CN306" s="10"/>
      <c r="CO306" s="11">
        <v>0</v>
      </c>
      <c r="CP306" s="10"/>
      <c r="CQ306" s="10"/>
      <c r="CR306" s="11">
        <v>0</v>
      </c>
      <c r="CS306" s="10"/>
      <c r="CT306" s="10"/>
      <c r="CU306" s="11">
        <v>0</v>
      </c>
      <c r="CV306" s="10"/>
      <c r="CW306" s="10"/>
      <c r="CX306" s="11">
        <v>0</v>
      </c>
      <c r="CY306" s="10"/>
      <c r="CZ306" s="10">
        <v>143500</v>
      </c>
      <c r="DA306" s="11">
        <v>0</v>
      </c>
      <c r="DB306" s="10">
        <v>100000</v>
      </c>
      <c r="DC306" s="10">
        <f t="shared" si="507"/>
        <v>164500</v>
      </c>
      <c r="DD306" s="13">
        <f t="shared" si="508"/>
        <v>1.645</v>
      </c>
      <c r="DE306" s="14"/>
    </row>
    <row r="307" spans="1:109" x14ac:dyDescent="0.35">
      <c r="A307" s="8" t="s">
        <v>675</v>
      </c>
      <c r="B307" s="9" t="s">
        <v>48</v>
      </c>
      <c r="C307" s="9" t="s">
        <v>43</v>
      </c>
      <c r="D307" s="9" t="s">
        <v>676</v>
      </c>
      <c r="E307" s="9" t="s">
        <v>45</v>
      </c>
      <c r="F307" s="9" t="s">
        <v>46</v>
      </c>
      <c r="G307" s="10"/>
      <c r="H307" s="10"/>
      <c r="I307" s="11">
        <v>0</v>
      </c>
      <c r="J307" s="10"/>
      <c r="K307" s="10"/>
      <c r="L307" s="12">
        <v>0</v>
      </c>
      <c r="M307" s="10"/>
      <c r="N307" s="10"/>
      <c r="O307" s="11">
        <v>0</v>
      </c>
      <c r="P307" s="10"/>
      <c r="Q307" s="10"/>
      <c r="R307" s="11">
        <v>0</v>
      </c>
      <c r="S307" s="10"/>
      <c r="T307" s="10"/>
      <c r="U307" s="11">
        <v>0</v>
      </c>
      <c r="V307" s="10"/>
      <c r="W307" s="10"/>
      <c r="X307" s="11">
        <v>0</v>
      </c>
      <c r="Y307" s="10"/>
      <c r="Z307" s="10"/>
      <c r="AA307" s="11"/>
      <c r="AB307" s="10"/>
      <c r="AC307" s="10"/>
      <c r="AD307" s="11">
        <v>0</v>
      </c>
      <c r="AE307" s="10"/>
      <c r="AF307" s="10"/>
      <c r="AG307" s="11">
        <v>0</v>
      </c>
      <c r="AH307" s="10"/>
      <c r="AI307" s="10"/>
      <c r="AJ307" s="11">
        <v>0</v>
      </c>
      <c r="AK307" s="10"/>
      <c r="AL307" s="10"/>
      <c r="AM307" s="11">
        <v>0</v>
      </c>
      <c r="AN307" s="10"/>
      <c r="AO307" s="10"/>
      <c r="AP307" s="11">
        <v>0</v>
      </c>
      <c r="AQ307" s="10"/>
      <c r="AR307" s="10"/>
      <c r="AS307" s="11">
        <v>0</v>
      </c>
      <c r="AT307" s="10"/>
      <c r="AU307" s="10"/>
      <c r="AV307" s="11">
        <v>0</v>
      </c>
      <c r="AW307" s="10"/>
      <c r="AX307" s="10"/>
      <c r="AY307" s="11">
        <v>0</v>
      </c>
      <c r="AZ307" s="10"/>
      <c r="BA307" s="10"/>
      <c r="BB307" s="11">
        <v>0</v>
      </c>
      <c r="BC307" s="10"/>
      <c r="BD307" s="10"/>
      <c r="BE307" s="11">
        <v>0</v>
      </c>
      <c r="BF307" s="10"/>
      <c r="BG307" s="10"/>
      <c r="BH307" s="11">
        <v>0</v>
      </c>
      <c r="BI307" s="10"/>
      <c r="BJ307" s="10"/>
      <c r="BK307" s="11">
        <v>0</v>
      </c>
      <c r="BL307" s="10"/>
      <c r="BM307" s="10"/>
      <c r="BN307" s="11">
        <v>0</v>
      </c>
      <c r="BO307" s="10"/>
      <c r="BP307" s="10"/>
      <c r="BQ307" s="11">
        <v>0</v>
      </c>
      <c r="BR307" s="10"/>
      <c r="BS307" s="10"/>
      <c r="BT307" s="11">
        <v>0</v>
      </c>
      <c r="BU307" s="10"/>
      <c r="BV307" s="10"/>
      <c r="BW307" s="11">
        <v>0</v>
      </c>
      <c r="BX307" s="10"/>
      <c r="BY307" s="10"/>
      <c r="BZ307" s="11">
        <v>0</v>
      </c>
      <c r="CA307" s="10"/>
      <c r="CB307" s="10"/>
      <c r="CC307" s="11">
        <v>0</v>
      </c>
      <c r="CD307" s="10"/>
      <c r="CE307" s="10"/>
      <c r="CF307" s="11">
        <v>0</v>
      </c>
      <c r="CG307" s="10"/>
      <c r="CH307" s="10"/>
      <c r="CI307" s="11">
        <v>0</v>
      </c>
      <c r="CJ307" s="10"/>
      <c r="CK307" s="10"/>
      <c r="CL307" s="11">
        <v>0</v>
      </c>
      <c r="CM307" s="10"/>
      <c r="CN307" s="10"/>
      <c r="CO307" s="11">
        <v>0</v>
      </c>
      <c r="CP307" s="10"/>
      <c r="CQ307" s="10"/>
      <c r="CR307" s="11">
        <v>0</v>
      </c>
      <c r="CS307" s="10"/>
      <c r="CT307" s="10"/>
      <c r="CU307" s="11">
        <v>0</v>
      </c>
      <c r="CV307" s="10"/>
      <c r="CW307" s="10"/>
      <c r="CX307" s="11">
        <v>0</v>
      </c>
      <c r="CY307" s="10"/>
      <c r="CZ307" s="10"/>
      <c r="DA307" s="11">
        <v>0</v>
      </c>
      <c r="DB307" s="10"/>
      <c r="DC307" s="10"/>
      <c r="DD307" s="13">
        <v>0</v>
      </c>
      <c r="DE307" s="14"/>
    </row>
    <row r="308" spans="1:109" x14ac:dyDescent="0.35">
      <c r="A308" s="8" t="s">
        <v>677</v>
      </c>
      <c r="B308" s="9" t="s">
        <v>140</v>
      </c>
      <c r="C308" s="9" t="s">
        <v>43</v>
      </c>
      <c r="D308" s="9" t="s">
        <v>678</v>
      </c>
      <c r="E308" s="9" t="s">
        <v>45</v>
      </c>
      <c r="F308" s="9" t="s">
        <v>46</v>
      </c>
      <c r="G308" s="10"/>
      <c r="H308" s="10"/>
      <c r="I308" s="11">
        <v>0</v>
      </c>
      <c r="J308" s="10"/>
      <c r="K308" s="10"/>
      <c r="L308" s="12">
        <v>0</v>
      </c>
      <c r="M308" s="10"/>
      <c r="N308" s="10"/>
      <c r="O308" s="11">
        <v>0</v>
      </c>
      <c r="P308" s="10"/>
      <c r="Q308" s="10"/>
      <c r="R308" s="11">
        <v>0</v>
      </c>
      <c r="S308" s="10"/>
      <c r="T308" s="10"/>
      <c r="U308" s="11">
        <v>0</v>
      </c>
      <c r="V308" s="10"/>
      <c r="W308" s="10"/>
      <c r="X308" s="11">
        <v>0</v>
      </c>
      <c r="Y308" s="10"/>
      <c r="Z308" s="10"/>
      <c r="AA308" s="11"/>
      <c r="AB308" s="10"/>
      <c r="AC308" s="10"/>
      <c r="AD308" s="11">
        <v>0</v>
      </c>
      <c r="AE308" s="10"/>
      <c r="AF308" s="10"/>
      <c r="AG308" s="11">
        <v>0</v>
      </c>
      <c r="AH308" s="10"/>
      <c r="AI308" s="10"/>
      <c r="AJ308" s="11">
        <v>0</v>
      </c>
      <c r="AK308" s="10"/>
      <c r="AL308" s="10"/>
      <c r="AM308" s="11">
        <v>0</v>
      </c>
      <c r="AN308" s="10"/>
      <c r="AO308" s="10"/>
      <c r="AP308" s="11">
        <v>0</v>
      </c>
      <c r="AQ308" s="10"/>
      <c r="AR308" s="10"/>
      <c r="AS308" s="11">
        <v>0</v>
      </c>
      <c r="AT308" s="10"/>
      <c r="AU308" s="10"/>
      <c r="AV308" s="11">
        <v>0</v>
      </c>
      <c r="AW308" s="10"/>
      <c r="AX308" s="10"/>
      <c r="AY308" s="11">
        <v>0</v>
      </c>
      <c r="AZ308" s="10"/>
      <c r="BA308" s="10"/>
      <c r="BB308" s="11">
        <v>0</v>
      </c>
      <c r="BC308" s="10"/>
      <c r="BD308" s="10"/>
      <c r="BE308" s="11">
        <v>0</v>
      </c>
      <c r="BF308" s="10"/>
      <c r="BG308" s="10"/>
      <c r="BH308" s="11">
        <v>0</v>
      </c>
      <c r="BI308" s="10"/>
      <c r="BJ308" s="10"/>
      <c r="BK308" s="11">
        <v>0</v>
      </c>
      <c r="BL308" s="10"/>
      <c r="BM308" s="10"/>
      <c r="BN308" s="11">
        <v>0</v>
      </c>
      <c r="BO308" s="10"/>
      <c r="BP308" s="10"/>
      <c r="BQ308" s="11">
        <v>0</v>
      </c>
      <c r="BR308" s="10"/>
      <c r="BS308" s="10"/>
      <c r="BT308" s="11">
        <v>0</v>
      </c>
      <c r="BU308" s="10"/>
      <c r="BV308" s="10"/>
      <c r="BW308" s="11">
        <v>0</v>
      </c>
      <c r="BX308" s="10"/>
      <c r="BY308" s="10"/>
      <c r="BZ308" s="11">
        <v>0</v>
      </c>
      <c r="CA308" s="10"/>
      <c r="CB308" s="10"/>
      <c r="CC308" s="11">
        <v>0</v>
      </c>
      <c r="CD308" s="10"/>
      <c r="CE308" s="10"/>
      <c r="CF308" s="11">
        <v>0</v>
      </c>
      <c r="CG308" s="10"/>
      <c r="CH308" s="10"/>
      <c r="CI308" s="11">
        <v>0</v>
      </c>
      <c r="CJ308" s="10"/>
      <c r="CK308" s="10"/>
      <c r="CL308" s="11">
        <v>0</v>
      </c>
      <c r="CM308" s="10"/>
      <c r="CN308" s="10"/>
      <c r="CO308" s="11">
        <v>0</v>
      </c>
      <c r="CP308" s="10"/>
      <c r="CQ308" s="10"/>
      <c r="CR308" s="11">
        <v>0</v>
      </c>
      <c r="CS308" s="10"/>
      <c r="CT308" s="10"/>
      <c r="CU308" s="11">
        <v>0</v>
      </c>
      <c r="CV308" s="10"/>
      <c r="CW308" s="10"/>
      <c r="CX308" s="11">
        <v>0</v>
      </c>
      <c r="CY308" s="10"/>
      <c r="CZ308" s="10"/>
      <c r="DA308" s="11">
        <v>0</v>
      </c>
      <c r="DB308" s="10"/>
      <c r="DC308" s="10"/>
      <c r="DD308" s="13">
        <v>0</v>
      </c>
      <c r="DE308" s="14"/>
    </row>
    <row r="309" spans="1:109" x14ac:dyDescent="0.35">
      <c r="A309" s="8" t="s">
        <v>679</v>
      </c>
      <c r="B309" s="9" t="s">
        <v>51</v>
      </c>
      <c r="C309" s="9" t="s">
        <v>52</v>
      </c>
      <c r="D309" s="9" t="s">
        <v>680</v>
      </c>
      <c r="E309" s="9" t="s">
        <v>54</v>
      </c>
      <c r="F309" s="9" t="s">
        <v>55</v>
      </c>
      <c r="G309" s="10"/>
      <c r="H309" s="10"/>
      <c r="I309" s="11">
        <v>0</v>
      </c>
      <c r="J309" s="10"/>
      <c r="K309" s="10"/>
      <c r="L309" s="12">
        <v>0</v>
      </c>
      <c r="M309" s="10"/>
      <c r="N309" s="10"/>
      <c r="O309" s="11">
        <v>0</v>
      </c>
      <c r="P309" s="10"/>
      <c r="Q309" s="10"/>
      <c r="R309" s="11">
        <v>0</v>
      </c>
      <c r="S309" s="10"/>
      <c r="T309" s="10"/>
      <c r="U309" s="11">
        <v>0</v>
      </c>
      <c r="V309" s="10"/>
      <c r="W309" s="10"/>
      <c r="X309" s="11">
        <v>0</v>
      </c>
      <c r="Y309" s="10"/>
      <c r="Z309" s="10"/>
      <c r="AA309" s="11"/>
      <c r="AB309" s="10"/>
      <c r="AC309" s="10"/>
      <c r="AD309" s="11">
        <v>0</v>
      </c>
      <c r="AE309" s="10"/>
      <c r="AF309" s="10"/>
      <c r="AG309" s="11">
        <v>0</v>
      </c>
      <c r="AH309" s="10"/>
      <c r="AI309" s="10"/>
      <c r="AJ309" s="11">
        <v>0</v>
      </c>
      <c r="AK309" s="10"/>
      <c r="AL309" s="10"/>
      <c r="AM309" s="11">
        <v>0</v>
      </c>
      <c r="AN309" s="10"/>
      <c r="AO309" s="10"/>
      <c r="AP309" s="11">
        <v>0</v>
      </c>
      <c r="AQ309" s="10"/>
      <c r="AR309" s="10"/>
      <c r="AS309" s="11">
        <v>0</v>
      </c>
      <c r="AT309" s="10"/>
      <c r="AU309" s="10"/>
      <c r="AV309" s="11">
        <v>0</v>
      </c>
      <c r="AW309" s="10"/>
      <c r="AX309" s="10"/>
      <c r="AY309" s="11">
        <v>0</v>
      </c>
      <c r="AZ309" s="10"/>
      <c r="BA309" s="10"/>
      <c r="BB309" s="11">
        <v>0</v>
      </c>
      <c r="BC309" s="10"/>
      <c r="BD309" s="10"/>
      <c r="BE309" s="11">
        <v>0</v>
      </c>
      <c r="BF309" s="10"/>
      <c r="BG309" s="10"/>
      <c r="BH309" s="11">
        <v>0</v>
      </c>
      <c r="BI309" s="10"/>
      <c r="BJ309" s="10"/>
      <c r="BK309" s="11">
        <v>0</v>
      </c>
      <c r="BL309" s="10"/>
      <c r="BM309" s="10"/>
      <c r="BN309" s="11">
        <v>0</v>
      </c>
      <c r="BO309" s="10"/>
      <c r="BP309" s="10"/>
      <c r="BQ309" s="11">
        <v>0</v>
      </c>
      <c r="BR309" s="10"/>
      <c r="BS309" s="10"/>
      <c r="BT309" s="11">
        <v>0</v>
      </c>
      <c r="BU309" s="10"/>
      <c r="BV309" s="10"/>
      <c r="BW309" s="11">
        <v>0</v>
      </c>
      <c r="BX309" s="10"/>
      <c r="BY309" s="10"/>
      <c r="BZ309" s="11">
        <v>0</v>
      </c>
      <c r="CA309" s="10"/>
      <c r="CB309" s="10"/>
      <c r="CC309" s="11">
        <v>0</v>
      </c>
      <c r="CD309" s="10"/>
      <c r="CE309" s="10"/>
      <c r="CF309" s="11">
        <v>0</v>
      </c>
      <c r="CG309" s="10"/>
      <c r="CH309" s="10"/>
      <c r="CI309" s="11">
        <v>0</v>
      </c>
      <c r="CJ309" s="10"/>
      <c r="CK309" s="10"/>
      <c r="CL309" s="11">
        <v>0</v>
      </c>
      <c r="CM309" s="10"/>
      <c r="CN309" s="10"/>
      <c r="CO309" s="11">
        <v>0</v>
      </c>
      <c r="CP309" s="10"/>
      <c r="CQ309" s="10"/>
      <c r="CR309" s="11">
        <v>0</v>
      </c>
      <c r="CS309" s="10"/>
      <c r="CT309" s="10"/>
      <c r="CU309" s="11">
        <v>0</v>
      </c>
      <c r="CV309" s="10"/>
      <c r="CW309" s="10"/>
      <c r="CX309" s="11">
        <v>0</v>
      </c>
      <c r="CY309" s="10"/>
      <c r="CZ309" s="10"/>
      <c r="DA309" s="11">
        <v>0</v>
      </c>
      <c r="DB309" s="10"/>
      <c r="DC309" s="10"/>
      <c r="DD309" s="13">
        <v>0</v>
      </c>
      <c r="DE309" s="14"/>
    </row>
    <row r="310" spans="1:109" x14ac:dyDescent="0.35">
      <c r="A310" s="8" t="s">
        <v>681</v>
      </c>
      <c r="B310" s="9" t="s">
        <v>59</v>
      </c>
      <c r="C310" s="9" t="s">
        <v>43</v>
      </c>
      <c r="D310" s="9" t="s">
        <v>682</v>
      </c>
      <c r="E310" s="9" t="s">
        <v>61</v>
      </c>
      <c r="F310" s="9" t="s">
        <v>62</v>
      </c>
      <c r="G310" s="10"/>
      <c r="H310" s="10"/>
      <c r="I310" s="11">
        <v>0</v>
      </c>
      <c r="J310" s="10"/>
      <c r="K310" s="10"/>
      <c r="L310" s="12">
        <v>0</v>
      </c>
      <c r="M310" s="10"/>
      <c r="N310" s="10"/>
      <c r="O310" s="11">
        <v>0</v>
      </c>
      <c r="P310" s="10"/>
      <c r="Q310" s="10"/>
      <c r="R310" s="11">
        <v>0</v>
      </c>
      <c r="S310" s="10"/>
      <c r="T310" s="10"/>
      <c r="U310" s="11">
        <v>0</v>
      </c>
      <c r="V310" s="10"/>
      <c r="W310" s="10"/>
      <c r="X310" s="11">
        <v>0</v>
      </c>
      <c r="Y310" s="10"/>
      <c r="Z310" s="10"/>
      <c r="AA310" s="11"/>
      <c r="AB310" s="10"/>
      <c r="AC310" s="10"/>
      <c r="AD310" s="11">
        <v>0</v>
      </c>
      <c r="AE310" s="10"/>
      <c r="AF310" s="10"/>
      <c r="AG310" s="11">
        <v>0</v>
      </c>
      <c r="AH310" s="10"/>
      <c r="AI310" s="10"/>
      <c r="AJ310" s="11">
        <v>0</v>
      </c>
      <c r="AK310" s="10"/>
      <c r="AL310" s="10"/>
      <c r="AM310" s="11">
        <v>0</v>
      </c>
      <c r="AN310" s="10"/>
      <c r="AO310" s="10"/>
      <c r="AP310" s="11">
        <v>0</v>
      </c>
      <c r="AQ310" s="10"/>
      <c r="AR310" s="10"/>
      <c r="AS310" s="11">
        <v>0</v>
      </c>
      <c r="AT310" s="10"/>
      <c r="AU310" s="10"/>
      <c r="AV310" s="11">
        <v>0</v>
      </c>
      <c r="AW310" s="10"/>
      <c r="AX310" s="10"/>
      <c r="AY310" s="11">
        <v>0</v>
      </c>
      <c r="AZ310" s="10"/>
      <c r="BA310" s="10"/>
      <c r="BB310" s="11">
        <v>0</v>
      </c>
      <c r="BC310" s="10"/>
      <c r="BD310" s="10"/>
      <c r="BE310" s="11">
        <v>0</v>
      </c>
      <c r="BF310" s="10"/>
      <c r="BG310" s="10"/>
      <c r="BH310" s="11">
        <v>0</v>
      </c>
      <c r="BI310" s="10"/>
      <c r="BJ310" s="10"/>
      <c r="BK310" s="11">
        <v>0</v>
      </c>
      <c r="BL310" s="10"/>
      <c r="BM310" s="10"/>
      <c r="BN310" s="11">
        <v>0</v>
      </c>
      <c r="BO310" s="10"/>
      <c r="BP310" s="10"/>
      <c r="BQ310" s="11">
        <v>0</v>
      </c>
      <c r="BR310" s="10"/>
      <c r="BS310" s="10"/>
      <c r="BT310" s="11">
        <v>0</v>
      </c>
      <c r="BU310" s="10"/>
      <c r="BV310" s="10"/>
      <c r="BW310" s="11">
        <v>0</v>
      </c>
      <c r="BX310" s="10"/>
      <c r="BY310" s="10"/>
      <c r="BZ310" s="11">
        <v>0</v>
      </c>
      <c r="CA310" s="10"/>
      <c r="CB310" s="10"/>
      <c r="CC310" s="11">
        <v>0</v>
      </c>
      <c r="CD310" s="10"/>
      <c r="CE310" s="10"/>
      <c r="CF310" s="11">
        <v>0</v>
      </c>
      <c r="CG310" s="10"/>
      <c r="CH310" s="10"/>
      <c r="CI310" s="11">
        <v>0</v>
      </c>
      <c r="CJ310" s="10"/>
      <c r="CK310" s="10"/>
      <c r="CL310" s="11">
        <v>0</v>
      </c>
      <c r="CM310" s="10"/>
      <c r="CN310" s="10"/>
      <c r="CO310" s="11">
        <v>0</v>
      </c>
      <c r="CP310" s="10"/>
      <c r="CQ310" s="10"/>
      <c r="CR310" s="11">
        <v>0</v>
      </c>
      <c r="CS310" s="10"/>
      <c r="CT310" s="10"/>
      <c r="CU310" s="11">
        <v>0</v>
      </c>
      <c r="CV310" s="10"/>
      <c r="CW310" s="10"/>
      <c r="CX310" s="11">
        <v>0</v>
      </c>
      <c r="CY310" s="10"/>
      <c r="CZ310" s="10"/>
      <c r="DA310" s="11">
        <v>0</v>
      </c>
      <c r="DB310" s="10"/>
      <c r="DC310" s="10"/>
      <c r="DD310" s="13">
        <v>0</v>
      </c>
      <c r="DE310" s="14"/>
    </row>
    <row r="311" spans="1:109" x14ac:dyDescent="0.35">
      <c r="A311" s="8" t="s">
        <v>683</v>
      </c>
      <c r="B311" s="9" t="s">
        <v>51</v>
      </c>
      <c r="C311" s="9" t="s">
        <v>52</v>
      </c>
      <c r="D311" s="9" t="s">
        <v>684</v>
      </c>
      <c r="E311" s="9" t="s">
        <v>54</v>
      </c>
      <c r="F311" s="9" t="s">
        <v>55</v>
      </c>
      <c r="G311" s="10"/>
      <c r="H311" s="10"/>
      <c r="I311" s="11">
        <v>0</v>
      </c>
      <c r="J311" s="10"/>
      <c r="K311" s="10"/>
      <c r="L311" s="12">
        <v>0</v>
      </c>
      <c r="M311" s="10"/>
      <c r="N311" s="10"/>
      <c r="O311" s="11">
        <v>0</v>
      </c>
      <c r="P311" s="10"/>
      <c r="Q311" s="10"/>
      <c r="R311" s="11">
        <v>0</v>
      </c>
      <c r="S311" s="10"/>
      <c r="T311" s="10"/>
      <c r="U311" s="11">
        <v>0</v>
      </c>
      <c r="V311" s="10"/>
      <c r="W311" s="10"/>
      <c r="X311" s="11">
        <v>0</v>
      </c>
      <c r="Y311" s="10"/>
      <c r="Z311" s="10"/>
      <c r="AA311" s="11"/>
      <c r="AB311" s="10"/>
      <c r="AC311" s="10"/>
      <c r="AD311" s="11">
        <v>0</v>
      </c>
      <c r="AE311" s="10"/>
      <c r="AF311" s="10"/>
      <c r="AG311" s="11">
        <v>0</v>
      </c>
      <c r="AH311" s="10"/>
      <c r="AI311" s="10"/>
      <c r="AJ311" s="11">
        <v>0</v>
      </c>
      <c r="AK311" s="10"/>
      <c r="AL311" s="10"/>
      <c r="AM311" s="11">
        <v>0</v>
      </c>
      <c r="AN311" s="10"/>
      <c r="AO311" s="10"/>
      <c r="AP311" s="11">
        <v>0</v>
      </c>
      <c r="AQ311" s="10"/>
      <c r="AR311" s="10"/>
      <c r="AS311" s="11">
        <v>0</v>
      </c>
      <c r="AT311" s="10"/>
      <c r="AU311" s="10"/>
      <c r="AV311" s="11">
        <v>0</v>
      </c>
      <c r="AW311" s="10"/>
      <c r="AX311" s="10"/>
      <c r="AY311" s="11">
        <v>0</v>
      </c>
      <c r="AZ311" s="10"/>
      <c r="BA311" s="10"/>
      <c r="BB311" s="11">
        <v>0</v>
      </c>
      <c r="BC311" s="10">
        <v>11966</v>
      </c>
      <c r="BD311" s="10"/>
      <c r="BE311" s="11">
        <f t="shared" ref="BE311" si="515">BD311/BC311</f>
        <v>0</v>
      </c>
      <c r="BF311" s="10"/>
      <c r="BG311" s="10"/>
      <c r="BH311" s="11">
        <v>0</v>
      </c>
      <c r="BI311" s="10"/>
      <c r="BJ311" s="10"/>
      <c r="BK311" s="11">
        <v>0</v>
      </c>
      <c r="BL311" s="10"/>
      <c r="BM311" s="10"/>
      <c r="BN311" s="11">
        <v>0</v>
      </c>
      <c r="BO311" s="10"/>
      <c r="BP311" s="10"/>
      <c r="BQ311" s="11">
        <v>0</v>
      </c>
      <c r="BR311" s="10"/>
      <c r="BS311" s="10"/>
      <c r="BT311" s="11">
        <v>0</v>
      </c>
      <c r="BU311" s="10"/>
      <c r="BV311" s="10"/>
      <c r="BW311" s="11">
        <v>0</v>
      </c>
      <c r="BX311" s="10">
        <v>41340</v>
      </c>
      <c r="BY311" s="10"/>
      <c r="BZ311" s="11">
        <f t="shared" ref="BZ311" si="516">BY311/BX311</f>
        <v>0</v>
      </c>
      <c r="CA311" s="10"/>
      <c r="CB311" s="10"/>
      <c r="CC311" s="11">
        <v>0</v>
      </c>
      <c r="CD311" s="10"/>
      <c r="CE311" s="10"/>
      <c r="CF311" s="11">
        <v>0</v>
      </c>
      <c r="CG311" s="10"/>
      <c r="CH311" s="10"/>
      <c r="CI311" s="11">
        <v>0</v>
      </c>
      <c r="CJ311" s="10"/>
      <c r="CK311" s="10"/>
      <c r="CL311" s="11">
        <v>0</v>
      </c>
      <c r="CM311" s="10"/>
      <c r="CN311" s="10"/>
      <c r="CO311" s="11">
        <v>0</v>
      </c>
      <c r="CP311" s="10"/>
      <c r="CQ311" s="10"/>
      <c r="CR311" s="11">
        <v>0</v>
      </c>
      <c r="CS311" s="10"/>
      <c r="CT311" s="10"/>
      <c r="CU311" s="11">
        <v>0</v>
      </c>
      <c r="CV311" s="10"/>
      <c r="CW311" s="10"/>
      <c r="CX311" s="11">
        <v>0</v>
      </c>
      <c r="CY311" s="10"/>
      <c r="CZ311" s="10"/>
      <c r="DA311" s="11">
        <v>0</v>
      </c>
      <c r="DB311" s="10">
        <v>53306</v>
      </c>
      <c r="DC311" s="10"/>
      <c r="DD311" s="15">
        <f t="shared" ref="DD311:DD318" si="517">DC311/DB311</f>
        <v>0</v>
      </c>
      <c r="DE311" s="16"/>
    </row>
    <row r="312" spans="1:109" x14ac:dyDescent="0.35">
      <c r="A312" s="8" t="s">
        <v>685</v>
      </c>
      <c r="B312" s="9" t="s">
        <v>111</v>
      </c>
      <c r="C312" s="9" t="s">
        <v>52</v>
      </c>
      <c r="D312" s="9" t="s">
        <v>686</v>
      </c>
      <c r="E312" s="9" t="s">
        <v>54</v>
      </c>
      <c r="F312" s="9" t="s">
        <v>55</v>
      </c>
      <c r="G312" s="10"/>
      <c r="H312" s="10">
        <v>101250</v>
      </c>
      <c r="I312" s="11">
        <v>0</v>
      </c>
      <c r="J312" s="10"/>
      <c r="K312" s="10"/>
      <c r="L312" s="12">
        <v>0</v>
      </c>
      <c r="M312" s="10">
        <v>100000</v>
      </c>
      <c r="N312" s="10"/>
      <c r="O312" s="11">
        <f t="shared" ref="O312" si="518">N312/M312</f>
        <v>0</v>
      </c>
      <c r="P312" s="10"/>
      <c r="Q312" s="10"/>
      <c r="R312" s="11">
        <v>0</v>
      </c>
      <c r="S312" s="10"/>
      <c r="T312" s="10"/>
      <c r="U312" s="11">
        <v>0</v>
      </c>
      <c r="V312" s="10"/>
      <c r="W312" s="10"/>
      <c r="X312" s="11">
        <v>0</v>
      </c>
      <c r="Y312" s="10">
        <v>100000</v>
      </c>
      <c r="Z312" s="10">
        <v>76800</v>
      </c>
      <c r="AA312" s="11">
        <f t="shared" ref="AA312:AA318" si="519">Z312/Y312</f>
        <v>0.76800000000000002</v>
      </c>
      <c r="AB312" s="10">
        <v>50000</v>
      </c>
      <c r="AC312" s="10">
        <v>18500</v>
      </c>
      <c r="AD312" s="11">
        <v>0.37</v>
      </c>
      <c r="AE312" s="10"/>
      <c r="AF312" s="10"/>
      <c r="AG312" s="11">
        <v>0</v>
      </c>
      <c r="AH312" s="10"/>
      <c r="AI312" s="10"/>
      <c r="AJ312" s="11">
        <v>0</v>
      </c>
      <c r="AK312" s="10"/>
      <c r="AL312" s="10"/>
      <c r="AM312" s="11">
        <v>0</v>
      </c>
      <c r="AN312" s="10"/>
      <c r="AO312" s="10"/>
      <c r="AP312" s="11">
        <v>0</v>
      </c>
      <c r="AQ312" s="10"/>
      <c r="AR312" s="10"/>
      <c r="AS312" s="11">
        <v>0</v>
      </c>
      <c r="AT312" s="10"/>
      <c r="AU312" s="10">
        <v>34780</v>
      </c>
      <c r="AV312" s="11">
        <v>0</v>
      </c>
      <c r="AW312" s="10"/>
      <c r="AX312" s="10"/>
      <c r="AY312" s="11">
        <v>0</v>
      </c>
      <c r="AZ312" s="10"/>
      <c r="BA312" s="10"/>
      <c r="BB312" s="11">
        <v>0</v>
      </c>
      <c r="BC312" s="10"/>
      <c r="BD312" s="10"/>
      <c r="BE312" s="11">
        <v>0</v>
      </c>
      <c r="BF312" s="10">
        <v>400000</v>
      </c>
      <c r="BG312" s="10">
        <f>VLOOKUP(A:A,'[1]2026 Customer Brand Sales'!$A:$BA,53,0)</f>
        <v>124650</v>
      </c>
      <c r="BH312" s="11">
        <f t="shared" ref="BH312" si="520">BG312/BF312</f>
        <v>0.31162499999999999</v>
      </c>
      <c r="BI312" s="10"/>
      <c r="BJ312" s="10"/>
      <c r="BK312" s="11">
        <v>0</v>
      </c>
      <c r="BL312" s="10"/>
      <c r="BM312" s="10">
        <v>18065</v>
      </c>
      <c r="BN312" s="11">
        <v>0</v>
      </c>
      <c r="BO312" s="10"/>
      <c r="BP312" s="10"/>
      <c r="BQ312" s="11">
        <v>0</v>
      </c>
      <c r="BR312" s="10"/>
      <c r="BS312" s="10"/>
      <c r="BT312" s="11">
        <v>0</v>
      </c>
      <c r="BU312" s="10"/>
      <c r="BV312" s="10"/>
      <c r="BW312" s="11">
        <v>0</v>
      </c>
      <c r="BX312" s="10"/>
      <c r="BY312" s="10"/>
      <c r="BZ312" s="11">
        <v>0</v>
      </c>
      <c r="CA312" s="10"/>
      <c r="CB312" s="10"/>
      <c r="CC312" s="11">
        <v>0</v>
      </c>
      <c r="CD312" s="10"/>
      <c r="CE312" s="10"/>
      <c r="CF312" s="11">
        <v>0</v>
      </c>
      <c r="CG312" s="10">
        <v>80000</v>
      </c>
      <c r="CH312" s="10"/>
      <c r="CI312" s="11">
        <f t="shared" ref="CI312:CI314" si="521">CH312/CG312</f>
        <v>0</v>
      </c>
      <c r="CJ312" s="10"/>
      <c r="CK312" s="10"/>
      <c r="CL312" s="11">
        <v>0</v>
      </c>
      <c r="CM312" s="10"/>
      <c r="CN312" s="10"/>
      <c r="CO312" s="11">
        <v>0</v>
      </c>
      <c r="CP312" s="10"/>
      <c r="CQ312" s="10"/>
      <c r="CR312" s="11">
        <v>0</v>
      </c>
      <c r="CS312" s="10"/>
      <c r="CT312" s="10"/>
      <c r="CU312" s="11">
        <v>0</v>
      </c>
      <c r="CV312" s="10"/>
      <c r="CW312" s="10"/>
      <c r="CX312" s="11">
        <v>0</v>
      </c>
      <c r="CY312" s="10"/>
      <c r="CZ312" s="10"/>
      <c r="DA312" s="11">
        <v>0</v>
      </c>
      <c r="DB312" s="10">
        <v>730000</v>
      </c>
      <c r="DC312" s="10">
        <f t="shared" ref="DC312:DC318" si="522">SUM(H312,K312,N312,Q312,T312,W312,Z312,AC312,AF312,AI312,AL312,AO312,AR312,AU312,AX312,BA312,BD312,BG312,BJ312,BM312,BP312,BS312,BV312,BY312,CB312,CE312,CH312,CK312,CN312,CQ312,CT312,CW312,CZ312)</f>
        <v>374045</v>
      </c>
      <c r="DD312" s="13">
        <f t="shared" si="517"/>
        <v>0.51239041095890414</v>
      </c>
      <c r="DE312" s="14"/>
    </row>
    <row r="313" spans="1:109" x14ac:dyDescent="0.35">
      <c r="A313" s="8" t="s">
        <v>687</v>
      </c>
      <c r="B313" s="9" t="s">
        <v>77</v>
      </c>
      <c r="C313" s="9" t="s">
        <v>43</v>
      </c>
      <c r="D313" s="9" t="s">
        <v>688</v>
      </c>
      <c r="E313" s="9" t="s">
        <v>61</v>
      </c>
      <c r="F313" s="9" t="s">
        <v>62</v>
      </c>
      <c r="G313" s="10"/>
      <c r="H313" s="10"/>
      <c r="I313" s="11">
        <v>0</v>
      </c>
      <c r="J313" s="10"/>
      <c r="K313" s="10"/>
      <c r="L313" s="12">
        <v>0</v>
      </c>
      <c r="M313" s="10"/>
      <c r="N313" s="10"/>
      <c r="O313" s="11">
        <v>0</v>
      </c>
      <c r="P313" s="10"/>
      <c r="Q313" s="10"/>
      <c r="R313" s="11">
        <v>0</v>
      </c>
      <c r="S313" s="10"/>
      <c r="T313" s="10"/>
      <c r="U313" s="11">
        <v>0</v>
      </c>
      <c r="V313" s="10">
        <v>1500000</v>
      </c>
      <c r="W313" s="10">
        <v>557300</v>
      </c>
      <c r="X313" s="11">
        <v>0.37153333333333333</v>
      </c>
      <c r="Y313" s="10"/>
      <c r="Z313" s="10"/>
      <c r="AA313" s="11"/>
      <c r="AB313" s="10"/>
      <c r="AC313" s="10"/>
      <c r="AD313" s="11">
        <v>0</v>
      </c>
      <c r="AE313" s="10"/>
      <c r="AF313" s="10"/>
      <c r="AG313" s="11">
        <v>0</v>
      </c>
      <c r="AH313" s="10"/>
      <c r="AI313" s="10"/>
      <c r="AJ313" s="11">
        <v>0</v>
      </c>
      <c r="AK313" s="10"/>
      <c r="AL313" s="10"/>
      <c r="AM313" s="11">
        <v>0</v>
      </c>
      <c r="AN313" s="10"/>
      <c r="AO313" s="10"/>
      <c r="AP313" s="11">
        <v>0</v>
      </c>
      <c r="AQ313" s="10"/>
      <c r="AR313" s="10"/>
      <c r="AS313" s="11">
        <v>0</v>
      </c>
      <c r="AT313" s="10"/>
      <c r="AU313" s="10"/>
      <c r="AV313" s="11">
        <v>0</v>
      </c>
      <c r="AW313" s="10"/>
      <c r="AX313" s="10"/>
      <c r="AY313" s="11">
        <v>0</v>
      </c>
      <c r="AZ313" s="10"/>
      <c r="BA313" s="10"/>
      <c r="BB313" s="11">
        <v>0</v>
      </c>
      <c r="BC313" s="10"/>
      <c r="BD313" s="10"/>
      <c r="BE313" s="11">
        <v>0</v>
      </c>
      <c r="BF313" s="10"/>
      <c r="BG313" s="10"/>
      <c r="BH313" s="11">
        <v>0</v>
      </c>
      <c r="BI313" s="10"/>
      <c r="BJ313" s="10"/>
      <c r="BK313" s="11">
        <v>0</v>
      </c>
      <c r="BL313" s="10"/>
      <c r="BM313" s="10"/>
      <c r="BN313" s="11">
        <v>0</v>
      </c>
      <c r="BO313" s="10"/>
      <c r="BP313" s="10"/>
      <c r="BQ313" s="11">
        <v>0</v>
      </c>
      <c r="BR313" s="10"/>
      <c r="BS313" s="10"/>
      <c r="BT313" s="11">
        <v>0</v>
      </c>
      <c r="BU313" s="10"/>
      <c r="BV313" s="10"/>
      <c r="BW313" s="11">
        <v>0</v>
      </c>
      <c r="BX313" s="10"/>
      <c r="BY313" s="10"/>
      <c r="BZ313" s="11">
        <v>0</v>
      </c>
      <c r="CA313" s="10"/>
      <c r="CB313" s="10"/>
      <c r="CC313" s="11">
        <v>0</v>
      </c>
      <c r="CD313" s="10"/>
      <c r="CE313" s="10"/>
      <c r="CF313" s="11">
        <v>0</v>
      </c>
      <c r="CG313" s="10"/>
      <c r="CH313" s="10"/>
      <c r="CI313" s="11">
        <v>0</v>
      </c>
      <c r="CJ313" s="10"/>
      <c r="CK313" s="10"/>
      <c r="CL313" s="11">
        <v>0</v>
      </c>
      <c r="CM313" s="10"/>
      <c r="CN313" s="10"/>
      <c r="CO313" s="11">
        <v>0</v>
      </c>
      <c r="CP313" s="10"/>
      <c r="CQ313" s="10"/>
      <c r="CR313" s="11">
        <v>0</v>
      </c>
      <c r="CS313" s="10"/>
      <c r="CT313" s="10"/>
      <c r="CU313" s="11">
        <v>0</v>
      </c>
      <c r="CV313" s="10"/>
      <c r="CW313" s="10"/>
      <c r="CX313" s="11">
        <v>0</v>
      </c>
      <c r="CY313" s="10"/>
      <c r="CZ313" s="10"/>
      <c r="DA313" s="11">
        <v>0</v>
      </c>
      <c r="DB313" s="10">
        <v>1500000</v>
      </c>
      <c r="DC313" s="10">
        <f t="shared" si="522"/>
        <v>557300</v>
      </c>
      <c r="DD313" s="13">
        <f t="shared" si="517"/>
        <v>0.37153333333333333</v>
      </c>
      <c r="DE313" s="14"/>
    </row>
    <row r="314" spans="1:109" x14ac:dyDescent="0.35">
      <c r="A314" s="8" t="s">
        <v>689</v>
      </c>
      <c r="B314" s="9" t="s">
        <v>42</v>
      </c>
      <c r="C314" s="9" t="s">
        <v>43</v>
      </c>
      <c r="D314" s="9" t="s">
        <v>690</v>
      </c>
      <c r="E314" s="9" t="s">
        <v>45</v>
      </c>
      <c r="F314" s="9" t="s">
        <v>46</v>
      </c>
      <c r="G314" s="10"/>
      <c r="H314" s="10"/>
      <c r="I314" s="11">
        <v>0</v>
      </c>
      <c r="J314" s="10"/>
      <c r="K314" s="10"/>
      <c r="L314" s="12">
        <v>0</v>
      </c>
      <c r="M314" s="10"/>
      <c r="N314" s="10"/>
      <c r="O314" s="11">
        <v>0</v>
      </c>
      <c r="P314" s="10"/>
      <c r="Q314" s="10"/>
      <c r="R314" s="11">
        <v>0</v>
      </c>
      <c r="S314" s="10"/>
      <c r="T314" s="10"/>
      <c r="U314" s="11">
        <v>0</v>
      </c>
      <c r="V314" s="10"/>
      <c r="W314" s="10"/>
      <c r="X314" s="11">
        <v>0</v>
      </c>
      <c r="Y314" s="10"/>
      <c r="Z314" s="10">
        <v>16000</v>
      </c>
      <c r="AA314" s="11"/>
      <c r="AB314" s="10"/>
      <c r="AC314" s="10"/>
      <c r="AD314" s="11">
        <v>0</v>
      </c>
      <c r="AE314" s="10"/>
      <c r="AF314" s="10"/>
      <c r="AG314" s="11">
        <v>0</v>
      </c>
      <c r="AH314" s="10"/>
      <c r="AI314" s="10"/>
      <c r="AJ314" s="11">
        <v>0</v>
      </c>
      <c r="AK314" s="10"/>
      <c r="AL314" s="10"/>
      <c r="AM314" s="11">
        <v>0</v>
      </c>
      <c r="AN314" s="10"/>
      <c r="AO314" s="10"/>
      <c r="AP314" s="11">
        <v>0</v>
      </c>
      <c r="AQ314" s="10"/>
      <c r="AR314" s="10"/>
      <c r="AS314" s="11">
        <v>0</v>
      </c>
      <c r="AT314" s="10"/>
      <c r="AU314" s="10"/>
      <c r="AV314" s="11">
        <v>0</v>
      </c>
      <c r="AW314" s="10"/>
      <c r="AX314" s="10"/>
      <c r="AY314" s="11">
        <v>0</v>
      </c>
      <c r="AZ314" s="10"/>
      <c r="BA314" s="10"/>
      <c r="BB314" s="11">
        <v>0</v>
      </c>
      <c r="BC314" s="10"/>
      <c r="BD314" s="10"/>
      <c r="BE314" s="11">
        <v>0</v>
      </c>
      <c r="BF314" s="10"/>
      <c r="BG314" s="10"/>
      <c r="BH314" s="11">
        <v>0</v>
      </c>
      <c r="BI314" s="10"/>
      <c r="BJ314" s="10"/>
      <c r="BK314" s="11">
        <v>0</v>
      </c>
      <c r="BL314" s="10"/>
      <c r="BM314" s="10"/>
      <c r="BN314" s="11">
        <v>0</v>
      </c>
      <c r="BO314" s="10"/>
      <c r="BP314" s="10"/>
      <c r="BQ314" s="11">
        <v>0</v>
      </c>
      <c r="BR314" s="10"/>
      <c r="BS314" s="10"/>
      <c r="BT314" s="11">
        <v>0</v>
      </c>
      <c r="BU314" s="10"/>
      <c r="BV314" s="10"/>
      <c r="BW314" s="11">
        <v>0</v>
      </c>
      <c r="BX314" s="10"/>
      <c r="BY314" s="10"/>
      <c r="BZ314" s="11">
        <v>0</v>
      </c>
      <c r="CA314" s="10"/>
      <c r="CB314" s="10"/>
      <c r="CC314" s="11">
        <v>0</v>
      </c>
      <c r="CD314" s="10"/>
      <c r="CE314" s="10"/>
      <c r="CF314" s="11">
        <v>0</v>
      </c>
      <c r="CG314" s="10">
        <v>700000</v>
      </c>
      <c r="CH314" s="10">
        <v>612500</v>
      </c>
      <c r="CI314" s="11">
        <f t="shared" si="521"/>
        <v>0.875</v>
      </c>
      <c r="CJ314" s="10"/>
      <c r="CK314" s="10"/>
      <c r="CL314" s="11">
        <v>0</v>
      </c>
      <c r="CM314" s="10"/>
      <c r="CN314" s="10"/>
      <c r="CO314" s="11">
        <v>0</v>
      </c>
      <c r="CP314" s="10"/>
      <c r="CQ314" s="10"/>
      <c r="CR314" s="11">
        <v>0</v>
      </c>
      <c r="CS314" s="10"/>
      <c r="CT314" s="10"/>
      <c r="CU314" s="11">
        <v>0</v>
      </c>
      <c r="CV314" s="10"/>
      <c r="CW314" s="10"/>
      <c r="CX314" s="11">
        <v>0</v>
      </c>
      <c r="CY314" s="10"/>
      <c r="CZ314" s="10"/>
      <c r="DA314" s="11">
        <v>0</v>
      </c>
      <c r="DB314" s="10">
        <v>700000</v>
      </c>
      <c r="DC314" s="10">
        <f t="shared" si="522"/>
        <v>628500</v>
      </c>
      <c r="DD314" s="13">
        <f t="shared" si="517"/>
        <v>0.89785714285714291</v>
      </c>
      <c r="DE314" s="14"/>
    </row>
    <row r="315" spans="1:109" x14ac:dyDescent="0.35">
      <c r="A315" s="8" t="s">
        <v>691</v>
      </c>
      <c r="B315" s="9" t="s">
        <v>48</v>
      </c>
      <c r="C315" s="9" t="s">
        <v>43</v>
      </c>
      <c r="D315" s="9" t="s">
        <v>692</v>
      </c>
      <c r="E315" s="9" t="s">
        <v>45</v>
      </c>
      <c r="F315" s="9" t="s">
        <v>46</v>
      </c>
      <c r="G315" s="10"/>
      <c r="H315" s="10"/>
      <c r="I315" s="11">
        <v>0</v>
      </c>
      <c r="J315" s="10"/>
      <c r="K315" s="10"/>
      <c r="L315" s="12">
        <v>0</v>
      </c>
      <c r="M315" s="10"/>
      <c r="N315" s="10"/>
      <c r="O315" s="11">
        <v>0</v>
      </c>
      <c r="P315" s="10"/>
      <c r="Q315" s="10"/>
      <c r="R315" s="11">
        <v>0</v>
      </c>
      <c r="S315" s="10"/>
      <c r="T315" s="10"/>
      <c r="U315" s="11">
        <v>0</v>
      </c>
      <c r="V315" s="10"/>
      <c r="W315" s="10"/>
      <c r="X315" s="11">
        <v>0</v>
      </c>
      <c r="Y315" s="10"/>
      <c r="Z315" s="10"/>
      <c r="AA315" s="11"/>
      <c r="AB315" s="10"/>
      <c r="AC315" s="10"/>
      <c r="AD315" s="11">
        <v>0</v>
      </c>
      <c r="AE315" s="10"/>
      <c r="AF315" s="10"/>
      <c r="AG315" s="11">
        <v>0</v>
      </c>
      <c r="AH315" s="10"/>
      <c r="AI315" s="10"/>
      <c r="AJ315" s="11">
        <v>0</v>
      </c>
      <c r="AK315" s="10"/>
      <c r="AL315" s="10"/>
      <c r="AM315" s="11">
        <v>0</v>
      </c>
      <c r="AN315" s="10"/>
      <c r="AO315" s="10"/>
      <c r="AP315" s="11">
        <v>0</v>
      </c>
      <c r="AQ315" s="10"/>
      <c r="AR315" s="10"/>
      <c r="AS315" s="11">
        <v>0</v>
      </c>
      <c r="AT315" s="10"/>
      <c r="AU315" s="10"/>
      <c r="AV315" s="11">
        <v>0</v>
      </c>
      <c r="AW315" s="10"/>
      <c r="AX315" s="10"/>
      <c r="AY315" s="11">
        <v>0</v>
      </c>
      <c r="AZ315" s="10"/>
      <c r="BA315" s="10"/>
      <c r="BB315" s="11">
        <v>0</v>
      </c>
      <c r="BC315" s="10"/>
      <c r="BD315" s="10"/>
      <c r="BE315" s="11">
        <v>0</v>
      </c>
      <c r="BF315" s="10"/>
      <c r="BG315" s="10"/>
      <c r="BH315" s="11">
        <v>0</v>
      </c>
      <c r="BI315" s="10"/>
      <c r="BJ315" s="10"/>
      <c r="BK315" s="11">
        <v>0</v>
      </c>
      <c r="BL315" s="10"/>
      <c r="BM315" s="10"/>
      <c r="BN315" s="11">
        <v>0</v>
      </c>
      <c r="BO315" s="10"/>
      <c r="BP315" s="10"/>
      <c r="BQ315" s="11">
        <v>0</v>
      </c>
      <c r="BR315" s="10"/>
      <c r="BS315" s="10"/>
      <c r="BT315" s="11">
        <v>0</v>
      </c>
      <c r="BU315" s="10"/>
      <c r="BV315" s="10"/>
      <c r="BW315" s="11">
        <v>0</v>
      </c>
      <c r="BX315" s="10"/>
      <c r="BY315" s="10"/>
      <c r="BZ315" s="11">
        <v>0</v>
      </c>
      <c r="CA315" s="10"/>
      <c r="CB315" s="10"/>
      <c r="CC315" s="11">
        <v>0</v>
      </c>
      <c r="CD315" s="10"/>
      <c r="CE315" s="10"/>
      <c r="CF315" s="11">
        <v>0</v>
      </c>
      <c r="CG315" s="10"/>
      <c r="CH315" s="10"/>
      <c r="CI315" s="11">
        <v>0</v>
      </c>
      <c r="CJ315" s="10"/>
      <c r="CK315" s="10"/>
      <c r="CL315" s="11">
        <v>0</v>
      </c>
      <c r="CM315" s="10"/>
      <c r="CN315" s="10"/>
      <c r="CO315" s="11">
        <v>0</v>
      </c>
      <c r="CP315" s="10"/>
      <c r="CQ315" s="10"/>
      <c r="CR315" s="11">
        <v>0</v>
      </c>
      <c r="CS315" s="10"/>
      <c r="CT315" s="10"/>
      <c r="CU315" s="11">
        <v>0</v>
      </c>
      <c r="CV315" s="10"/>
      <c r="CW315" s="10"/>
      <c r="CX315" s="11">
        <v>0</v>
      </c>
      <c r="CY315" s="10"/>
      <c r="CZ315" s="10"/>
      <c r="DA315" s="11">
        <v>0</v>
      </c>
      <c r="DB315" s="10"/>
      <c r="DC315" s="10"/>
      <c r="DD315" s="13">
        <v>0</v>
      </c>
      <c r="DE315" s="14"/>
    </row>
    <row r="316" spans="1:109" x14ac:dyDescent="0.35">
      <c r="A316" s="8" t="s">
        <v>693</v>
      </c>
      <c r="B316" s="9" t="s">
        <v>59</v>
      </c>
      <c r="C316" s="9" t="s">
        <v>43</v>
      </c>
      <c r="D316" s="9" t="s">
        <v>694</v>
      </c>
      <c r="E316" s="9" t="s">
        <v>61</v>
      </c>
      <c r="F316" s="9" t="s">
        <v>62</v>
      </c>
      <c r="G316" s="10"/>
      <c r="H316" s="10"/>
      <c r="I316" s="11">
        <v>0</v>
      </c>
      <c r="J316" s="10"/>
      <c r="K316" s="10"/>
      <c r="L316" s="12">
        <v>0</v>
      </c>
      <c r="M316" s="10"/>
      <c r="N316" s="10"/>
      <c r="O316" s="11">
        <v>0</v>
      </c>
      <c r="P316" s="10"/>
      <c r="Q316" s="10"/>
      <c r="R316" s="11">
        <v>0</v>
      </c>
      <c r="S316" s="10"/>
      <c r="T316" s="10"/>
      <c r="U316" s="11">
        <v>0</v>
      </c>
      <c r="V316" s="10"/>
      <c r="W316" s="10"/>
      <c r="X316" s="11">
        <v>0</v>
      </c>
      <c r="Y316" s="10"/>
      <c r="Z316" s="10"/>
      <c r="AA316" s="11"/>
      <c r="AB316" s="10">
        <v>50000</v>
      </c>
      <c r="AC316" s="10"/>
      <c r="AD316" s="11">
        <v>0</v>
      </c>
      <c r="AE316" s="10"/>
      <c r="AF316" s="10"/>
      <c r="AG316" s="11">
        <v>0</v>
      </c>
      <c r="AH316" s="10"/>
      <c r="AI316" s="10"/>
      <c r="AJ316" s="11">
        <v>0</v>
      </c>
      <c r="AK316" s="10"/>
      <c r="AL316" s="10"/>
      <c r="AM316" s="11">
        <v>0</v>
      </c>
      <c r="AN316" s="10"/>
      <c r="AO316" s="10"/>
      <c r="AP316" s="11">
        <v>0</v>
      </c>
      <c r="AQ316" s="10"/>
      <c r="AR316" s="10"/>
      <c r="AS316" s="11">
        <v>0</v>
      </c>
      <c r="AT316" s="10"/>
      <c r="AU316" s="10"/>
      <c r="AV316" s="11">
        <v>0</v>
      </c>
      <c r="AW316" s="10"/>
      <c r="AX316" s="10"/>
      <c r="AY316" s="11">
        <v>0</v>
      </c>
      <c r="AZ316" s="10"/>
      <c r="BA316" s="10"/>
      <c r="BB316" s="11">
        <v>0</v>
      </c>
      <c r="BC316" s="10"/>
      <c r="BD316" s="10"/>
      <c r="BE316" s="11">
        <v>0</v>
      </c>
      <c r="BF316" s="10"/>
      <c r="BG316" s="10"/>
      <c r="BH316" s="11">
        <v>0</v>
      </c>
      <c r="BI316" s="10"/>
      <c r="BJ316" s="10"/>
      <c r="BK316" s="11">
        <v>0</v>
      </c>
      <c r="BL316" s="10"/>
      <c r="BM316" s="10"/>
      <c r="BN316" s="11">
        <v>0</v>
      </c>
      <c r="BO316" s="10"/>
      <c r="BP316" s="10"/>
      <c r="BQ316" s="11">
        <v>0</v>
      </c>
      <c r="BR316" s="10"/>
      <c r="BS316" s="10"/>
      <c r="BT316" s="11">
        <v>0</v>
      </c>
      <c r="BU316" s="10"/>
      <c r="BV316" s="10"/>
      <c r="BW316" s="11">
        <v>0</v>
      </c>
      <c r="BX316" s="10"/>
      <c r="BY316" s="10"/>
      <c r="BZ316" s="11">
        <v>0</v>
      </c>
      <c r="CA316" s="10"/>
      <c r="CB316" s="10"/>
      <c r="CC316" s="11">
        <v>0</v>
      </c>
      <c r="CD316" s="10"/>
      <c r="CE316" s="10"/>
      <c r="CF316" s="11">
        <v>0</v>
      </c>
      <c r="CG316" s="10"/>
      <c r="CH316" s="10"/>
      <c r="CI316" s="11">
        <v>0</v>
      </c>
      <c r="CJ316" s="10"/>
      <c r="CK316" s="10"/>
      <c r="CL316" s="11">
        <v>0</v>
      </c>
      <c r="CM316" s="10"/>
      <c r="CN316" s="10"/>
      <c r="CO316" s="11">
        <v>0</v>
      </c>
      <c r="CP316" s="10"/>
      <c r="CQ316" s="10"/>
      <c r="CR316" s="11">
        <v>0</v>
      </c>
      <c r="CS316" s="10"/>
      <c r="CT316" s="10"/>
      <c r="CU316" s="11">
        <v>0</v>
      </c>
      <c r="CV316" s="10"/>
      <c r="CW316" s="10"/>
      <c r="CX316" s="11">
        <v>0</v>
      </c>
      <c r="CY316" s="10"/>
      <c r="CZ316" s="10"/>
      <c r="DA316" s="11">
        <v>0</v>
      </c>
      <c r="DB316" s="10">
        <v>50000</v>
      </c>
      <c r="DC316" s="10"/>
      <c r="DD316" s="15">
        <f t="shared" si="517"/>
        <v>0</v>
      </c>
      <c r="DE316" s="16"/>
    </row>
    <row r="317" spans="1:109" x14ac:dyDescent="0.35">
      <c r="A317" s="8" t="s">
        <v>695</v>
      </c>
      <c r="B317" s="9" t="s">
        <v>108</v>
      </c>
      <c r="C317" s="9" t="s">
        <v>52</v>
      </c>
      <c r="D317" s="9" t="s">
        <v>696</v>
      </c>
      <c r="E317" s="9" t="s">
        <v>126</v>
      </c>
      <c r="F317" s="9" t="s">
        <v>55</v>
      </c>
      <c r="G317" s="10"/>
      <c r="H317" s="10"/>
      <c r="I317" s="11">
        <v>0</v>
      </c>
      <c r="J317" s="10"/>
      <c r="K317" s="10"/>
      <c r="L317" s="12">
        <v>0</v>
      </c>
      <c r="M317" s="10"/>
      <c r="N317" s="10"/>
      <c r="O317" s="11">
        <v>0</v>
      </c>
      <c r="P317" s="10"/>
      <c r="Q317" s="10"/>
      <c r="R317" s="11">
        <v>0</v>
      </c>
      <c r="S317" s="10"/>
      <c r="T317" s="10"/>
      <c r="U317" s="11">
        <v>0</v>
      </c>
      <c r="V317" s="10"/>
      <c r="W317" s="10"/>
      <c r="X317" s="11">
        <v>0</v>
      </c>
      <c r="Y317" s="10"/>
      <c r="Z317" s="10"/>
      <c r="AA317" s="11"/>
      <c r="AB317" s="10"/>
      <c r="AC317" s="10"/>
      <c r="AD317" s="11">
        <v>0</v>
      </c>
      <c r="AE317" s="10"/>
      <c r="AF317" s="10"/>
      <c r="AG317" s="11">
        <v>0</v>
      </c>
      <c r="AH317" s="10"/>
      <c r="AI317" s="10"/>
      <c r="AJ317" s="11">
        <v>0</v>
      </c>
      <c r="AK317" s="10"/>
      <c r="AL317" s="10"/>
      <c r="AM317" s="11">
        <v>0</v>
      </c>
      <c r="AN317" s="10"/>
      <c r="AO317" s="10"/>
      <c r="AP317" s="11">
        <v>0</v>
      </c>
      <c r="AQ317" s="10"/>
      <c r="AR317" s="10"/>
      <c r="AS317" s="11">
        <v>0</v>
      </c>
      <c r="AT317" s="10"/>
      <c r="AU317" s="10"/>
      <c r="AV317" s="11">
        <v>0</v>
      </c>
      <c r="AW317" s="10"/>
      <c r="AX317" s="10"/>
      <c r="AY317" s="11">
        <v>0</v>
      </c>
      <c r="AZ317" s="10"/>
      <c r="BA317" s="10"/>
      <c r="BB317" s="11">
        <v>0</v>
      </c>
      <c r="BC317" s="10"/>
      <c r="BD317" s="10"/>
      <c r="BE317" s="11">
        <v>0</v>
      </c>
      <c r="BF317" s="10"/>
      <c r="BG317" s="10"/>
      <c r="BH317" s="11">
        <v>0</v>
      </c>
      <c r="BI317" s="10"/>
      <c r="BJ317" s="10"/>
      <c r="BK317" s="11">
        <v>0</v>
      </c>
      <c r="BL317" s="10"/>
      <c r="BM317" s="10"/>
      <c r="BN317" s="11">
        <v>0</v>
      </c>
      <c r="BO317" s="10"/>
      <c r="BP317" s="10"/>
      <c r="BQ317" s="11">
        <v>0</v>
      </c>
      <c r="BR317" s="10"/>
      <c r="BS317" s="10"/>
      <c r="BT317" s="11">
        <v>0</v>
      </c>
      <c r="BU317" s="10"/>
      <c r="BV317" s="10"/>
      <c r="BW317" s="11">
        <v>0</v>
      </c>
      <c r="BX317" s="10"/>
      <c r="BY317" s="10"/>
      <c r="BZ317" s="11">
        <v>0</v>
      </c>
      <c r="CA317" s="10"/>
      <c r="CB317" s="10"/>
      <c r="CC317" s="11">
        <v>0</v>
      </c>
      <c r="CD317" s="10"/>
      <c r="CE317" s="10"/>
      <c r="CF317" s="11">
        <v>0</v>
      </c>
      <c r="CG317" s="10"/>
      <c r="CH317" s="10"/>
      <c r="CI317" s="11">
        <v>0</v>
      </c>
      <c r="CJ317" s="10"/>
      <c r="CK317" s="10"/>
      <c r="CL317" s="11">
        <v>0</v>
      </c>
      <c r="CM317" s="10"/>
      <c r="CN317" s="10"/>
      <c r="CO317" s="11">
        <v>0</v>
      </c>
      <c r="CP317" s="10"/>
      <c r="CQ317" s="10"/>
      <c r="CR317" s="11">
        <v>0</v>
      </c>
      <c r="CS317" s="10"/>
      <c r="CT317" s="10"/>
      <c r="CU317" s="11">
        <v>0</v>
      </c>
      <c r="CV317" s="10"/>
      <c r="CW317" s="10"/>
      <c r="CX317" s="11">
        <v>0</v>
      </c>
      <c r="CY317" s="10"/>
      <c r="CZ317" s="10"/>
      <c r="DA317" s="11">
        <v>0</v>
      </c>
      <c r="DB317" s="10"/>
      <c r="DC317" s="10"/>
      <c r="DD317" s="13">
        <v>0</v>
      </c>
      <c r="DE317" s="14"/>
    </row>
    <row r="318" spans="1:109" x14ac:dyDescent="0.35">
      <c r="A318" s="8" t="s">
        <v>697</v>
      </c>
      <c r="B318" s="9" t="s">
        <v>42</v>
      </c>
      <c r="C318" s="9" t="s">
        <v>43</v>
      </c>
      <c r="D318" s="9" t="s">
        <v>698</v>
      </c>
      <c r="E318" s="9" t="s">
        <v>45</v>
      </c>
      <c r="F318" s="9" t="s">
        <v>46</v>
      </c>
      <c r="G318" s="10"/>
      <c r="H318" s="10">
        <v>72800</v>
      </c>
      <c r="I318" s="11">
        <v>0</v>
      </c>
      <c r="J318" s="10"/>
      <c r="K318" s="10"/>
      <c r="L318" s="12">
        <v>0</v>
      </c>
      <c r="M318" s="10"/>
      <c r="N318" s="10"/>
      <c r="O318" s="11">
        <v>0</v>
      </c>
      <c r="P318" s="10"/>
      <c r="Q318" s="10"/>
      <c r="R318" s="11">
        <v>0</v>
      </c>
      <c r="S318" s="10"/>
      <c r="T318" s="10"/>
      <c r="U318" s="11">
        <v>0</v>
      </c>
      <c r="V318" s="10"/>
      <c r="W318" s="10"/>
      <c r="X318" s="11">
        <v>0</v>
      </c>
      <c r="Y318" s="10">
        <v>100000</v>
      </c>
      <c r="Z318" s="10"/>
      <c r="AA318" s="11">
        <f t="shared" si="519"/>
        <v>0</v>
      </c>
      <c r="AB318" s="10"/>
      <c r="AC318" s="10"/>
      <c r="AD318" s="11">
        <v>0</v>
      </c>
      <c r="AE318" s="10"/>
      <c r="AF318" s="10"/>
      <c r="AG318" s="11">
        <v>0</v>
      </c>
      <c r="AH318" s="10"/>
      <c r="AI318" s="10"/>
      <c r="AJ318" s="11">
        <v>0</v>
      </c>
      <c r="AK318" s="10"/>
      <c r="AL318" s="10"/>
      <c r="AM318" s="11">
        <v>0</v>
      </c>
      <c r="AN318" s="10"/>
      <c r="AO318" s="10"/>
      <c r="AP318" s="11">
        <v>0</v>
      </c>
      <c r="AQ318" s="10"/>
      <c r="AR318" s="10"/>
      <c r="AS318" s="11">
        <v>0</v>
      </c>
      <c r="AT318" s="10"/>
      <c r="AU318" s="10"/>
      <c r="AV318" s="11">
        <v>0</v>
      </c>
      <c r="AW318" s="10"/>
      <c r="AX318" s="10"/>
      <c r="AY318" s="11">
        <v>0</v>
      </c>
      <c r="AZ318" s="10"/>
      <c r="BA318" s="10"/>
      <c r="BB318" s="11">
        <v>0</v>
      </c>
      <c r="BC318" s="10"/>
      <c r="BD318" s="10"/>
      <c r="BE318" s="11">
        <v>0</v>
      </c>
      <c r="BF318" s="10"/>
      <c r="BG318" s="10"/>
      <c r="BH318" s="11">
        <v>0</v>
      </c>
      <c r="BI318" s="10"/>
      <c r="BJ318" s="10"/>
      <c r="BK318" s="11">
        <v>0</v>
      </c>
      <c r="BL318" s="10"/>
      <c r="BM318" s="10"/>
      <c r="BN318" s="11">
        <v>0</v>
      </c>
      <c r="BO318" s="10"/>
      <c r="BP318" s="10"/>
      <c r="BQ318" s="11">
        <v>0</v>
      </c>
      <c r="BR318" s="10"/>
      <c r="BS318" s="10"/>
      <c r="BT318" s="11">
        <v>0</v>
      </c>
      <c r="BU318" s="10"/>
      <c r="BV318" s="10"/>
      <c r="BW318" s="11">
        <v>0</v>
      </c>
      <c r="BX318" s="10"/>
      <c r="BY318" s="10"/>
      <c r="BZ318" s="11">
        <v>0</v>
      </c>
      <c r="CA318" s="10"/>
      <c r="CB318" s="10"/>
      <c r="CC318" s="11">
        <v>0</v>
      </c>
      <c r="CD318" s="10"/>
      <c r="CE318" s="10"/>
      <c r="CF318" s="11">
        <v>0</v>
      </c>
      <c r="CG318" s="10"/>
      <c r="CH318" s="10">
        <v>22500</v>
      </c>
      <c r="CI318" s="11">
        <v>0</v>
      </c>
      <c r="CJ318" s="10"/>
      <c r="CK318" s="10"/>
      <c r="CL318" s="11">
        <v>0</v>
      </c>
      <c r="CM318" s="10"/>
      <c r="CN318" s="10"/>
      <c r="CO318" s="11">
        <v>0</v>
      </c>
      <c r="CP318" s="10"/>
      <c r="CQ318" s="10"/>
      <c r="CR318" s="11">
        <v>0</v>
      </c>
      <c r="CS318" s="10"/>
      <c r="CT318" s="10">
        <v>15000</v>
      </c>
      <c r="CU318" s="11">
        <v>0</v>
      </c>
      <c r="CV318" s="10"/>
      <c r="CW318" s="10"/>
      <c r="CX318" s="11">
        <v>0</v>
      </c>
      <c r="CY318" s="10"/>
      <c r="CZ318" s="10"/>
      <c r="DA318" s="11">
        <v>0</v>
      </c>
      <c r="DB318" s="10">
        <v>100000</v>
      </c>
      <c r="DC318" s="10">
        <f t="shared" si="522"/>
        <v>110300</v>
      </c>
      <c r="DD318" s="13">
        <f t="shared" si="517"/>
        <v>1.103</v>
      </c>
      <c r="DE318" s="14"/>
    </row>
    <row r="319" spans="1:109" x14ac:dyDescent="0.35">
      <c r="A319" s="8" t="s">
        <v>699</v>
      </c>
      <c r="B319" s="9" t="s">
        <v>48</v>
      </c>
      <c r="C319" s="9" t="s">
        <v>43</v>
      </c>
      <c r="D319" s="9" t="s">
        <v>700</v>
      </c>
      <c r="E319" s="9" t="s">
        <v>45</v>
      </c>
      <c r="F319" s="9" t="s">
        <v>46</v>
      </c>
      <c r="G319" s="10"/>
      <c r="H319" s="10"/>
      <c r="I319" s="11">
        <v>0</v>
      </c>
      <c r="J319" s="10"/>
      <c r="K319" s="10"/>
      <c r="L319" s="12">
        <v>0</v>
      </c>
      <c r="M319" s="10">
        <v>1000000</v>
      </c>
      <c r="N319" s="10"/>
      <c r="O319" s="11">
        <f t="shared" ref="O319:O320" si="523">N319/M319</f>
        <v>0</v>
      </c>
      <c r="P319" s="10"/>
      <c r="Q319" s="10"/>
      <c r="R319" s="11">
        <v>0</v>
      </c>
      <c r="S319" s="10"/>
      <c r="T319" s="10"/>
      <c r="U319" s="11">
        <v>0</v>
      </c>
      <c r="V319" s="10"/>
      <c r="W319" s="10"/>
      <c r="X319" s="11">
        <v>0</v>
      </c>
      <c r="Y319" s="10"/>
      <c r="Z319" s="10"/>
      <c r="AA319" s="11"/>
      <c r="AB319" s="10"/>
      <c r="AC319" s="10"/>
      <c r="AD319" s="11">
        <v>0</v>
      </c>
      <c r="AE319" s="10"/>
      <c r="AF319" s="10"/>
      <c r="AG319" s="11">
        <v>0</v>
      </c>
      <c r="AH319" s="10"/>
      <c r="AI319" s="10"/>
      <c r="AJ319" s="11">
        <v>0</v>
      </c>
      <c r="AK319" s="10"/>
      <c r="AL319" s="10"/>
      <c r="AM319" s="11">
        <v>0</v>
      </c>
      <c r="AN319" s="10"/>
      <c r="AO319" s="10"/>
      <c r="AP319" s="11">
        <v>0</v>
      </c>
      <c r="AQ319" s="10"/>
      <c r="AR319" s="10"/>
      <c r="AS319" s="11">
        <v>0</v>
      </c>
      <c r="AT319" s="10"/>
      <c r="AU319" s="10"/>
      <c r="AV319" s="11">
        <v>0</v>
      </c>
      <c r="AW319" s="10"/>
      <c r="AX319" s="10"/>
      <c r="AY319" s="11">
        <v>0</v>
      </c>
      <c r="AZ319" s="10"/>
      <c r="BA319" s="10"/>
      <c r="BB319" s="11">
        <v>0</v>
      </c>
      <c r="BC319" s="10"/>
      <c r="BD319" s="10"/>
      <c r="BE319" s="11">
        <v>0</v>
      </c>
      <c r="BF319" s="10"/>
      <c r="BG319" s="10"/>
      <c r="BH319" s="11">
        <v>0</v>
      </c>
      <c r="BI319" s="10"/>
      <c r="BJ319" s="10"/>
      <c r="BK319" s="11">
        <v>0</v>
      </c>
      <c r="BL319" s="10"/>
      <c r="BM319" s="10"/>
      <c r="BN319" s="11">
        <v>0</v>
      </c>
      <c r="BO319" s="10"/>
      <c r="BP319" s="10"/>
      <c r="BQ319" s="11">
        <v>0</v>
      </c>
      <c r="BR319" s="10"/>
      <c r="BS319" s="10"/>
      <c r="BT319" s="11">
        <v>0</v>
      </c>
      <c r="BU319" s="10"/>
      <c r="BV319" s="10"/>
      <c r="BW319" s="11">
        <v>0</v>
      </c>
      <c r="BX319" s="10"/>
      <c r="BY319" s="10"/>
      <c r="BZ319" s="11">
        <v>0</v>
      </c>
      <c r="CA319" s="10"/>
      <c r="CB319" s="10"/>
      <c r="CC319" s="11">
        <v>0</v>
      </c>
      <c r="CD319" s="10"/>
      <c r="CE319" s="10"/>
      <c r="CF319" s="11">
        <v>0</v>
      </c>
      <c r="CG319" s="10"/>
      <c r="CH319" s="10"/>
      <c r="CI319" s="11">
        <v>0</v>
      </c>
      <c r="CJ319" s="10"/>
      <c r="CK319" s="10"/>
      <c r="CL319" s="11">
        <v>0</v>
      </c>
      <c r="CM319" s="10"/>
      <c r="CN319" s="10"/>
      <c r="CO319" s="11">
        <v>0</v>
      </c>
      <c r="CP319" s="10"/>
      <c r="CQ319" s="10"/>
      <c r="CR319" s="11">
        <v>0</v>
      </c>
      <c r="CS319" s="10"/>
      <c r="CT319" s="10"/>
      <c r="CU319" s="11">
        <v>0</v>
      </c>
      <c r="CV319" s="10"/>
      <c r="CW319" s="10"/>
      <c r="CX319" s="11">
        <v>0</v>
      </c>
      <c r="CY319" s="10"/>
      <c r="CZ319" s="10"/>
      <c r="DA319" s="11">
        <v>0</v>
      </c>
      <c r="DB319" s="10">
        <v>1000000</v>
      </c>
      <c r="DC319" s="10"/>
      <c r="DD319" s="15">
        <f t="shared" ref="DD319:DD322" si="524">DC319/DB319</f>
        <v>0</v>
      </c>
      <c r="DE319" s="16"/>
    </row>
    <row r="320" spans="1:109" x14ac:dyDescent="0.35">
      <c r="A320" s="8" t="s">
        <v>701</v>
      </c>
      <c r="B320" s="9" t="s">
        <v>51</v>
      </c>
      <c r="C320" s="9" t="s">
        <v>52</v>
      </c>
      <c r="D320" s="9" t="s">
        <v>702</v>
      </c>
      <c r="E320" s="9" t="s">
        <v>54</v>
      </c>
      <c r="F320" s="9" t="s">
        <v>55</v>
      </c>
      <c r="G320" s="10"/>
      <c r="H320" s="10"/>
      <c r="I320" s="11">
        <v>0</v>
      </c>
      <c r="J320" s="10"/>
      <c r="K320" s="10"/>
      <c r="L320" s="12">
        <v>0</v>
      </c>
      <c r="M320" s="10">
        <v>560000</v>
      </c>
      <c r="N320" s="10"/>
      <c r="O320" s="11">
        <f t="shared" si="523"/>
        <v>0</v>
      </c>
      <c r="P320" s="10"/>
      <c r="Q320" s="10"/>
      <c r="R320" s="11">
        <v>0</v>
      </c>
      <c r="S320" s="10"/>
      <c r="T320" s="10"/>
      <c r="U320" s="11">
        <v>0</v>
      </c>
      <c r="V320" s="10"/>
      <c r="W320" s="10"/>
      <c r="X320" s="11">
        <v>0</v>
      </c>
      <c r="Y320" s="10"/>
      <c r="Z320" s="10"/>
      <c r="AA320" s="11"/>
      <c r="AB320" s="10"/>
      <c r="AC320" s="10"/>
      <c r="AD320" s="11">
        <v>0</v>
      </c>
      <c r="AE320" s="10"/>
      <c r="AF320" s="10"/>
      <c r="AG320" s="11">
        <v>0</v>
      </c>
      <c r="AH320" s="10"/>
      <c r="AI320" s="10"/>
      <c r="AJ320" s="11">
        <v>0</v>
      </c>
      <c r="AK320" s="10"/>
      <c r="AL320" s="10"/>
      <c r="AM320" s="11">
        <v>0</v>
      </c>
      <c r="AN320" s="10"/>
      <c r="AO320" s="10"/>
      <c r="AP320" s="11">
        <v>0</v>
      </c>
      <c r="AQ320" s="10"/>
      <c r="AR320" s="10"/>
      <c r="AS320" s="11">
        <v>0</v>
      </c>
      <c r="AT320" s="10"/>
      <c r="AU320" s="10"/>
      <c r="AV320" s="11">
        <v>0</v>
      </c>
      <c r="AW320" s="10"/>
      <c r="AX320" s="10"/>
      <c r="AY320" s="11">
        <v>0</v>
      </c>
      <c r="AZ320" s="10"/>
      <c r="BA320" s="10"/>
      <c r="BB320" s="11">
        <v>0</v>
      </c>
      <c r="BC320" s="10"/>
      <c r="BD320" s="10"/>
      <c r="BE320" s="11">
        <v>0</v>
      </c>
      <c r="BF320" s="10"/>
      <c r="BG320" s="10"/>
      <c r="BH320" s="11">
        <v>0</v>
      </c>
      <c r="BI320" s="10"/>
      <c r="BJ320" s="10"/>
      <c r="BK320" s="11">
        <v>0</v>
      </c>
      <c r="BL320" s="10"/>
      <c r="BM320" s="10"/>
      <c r="BN320" s="11">
        <v>0</v>
      </c>
      <c r="BO320" s="10"/>
      <c r="BP320" s="10"/>
      <c r="BQ320" s="11">
        <v>0</v>
      </c>
      <c r="BR320" s="10">
        <v>20000</v>
      </c>
      <c r="BS320" s="10"/>
      <c r="BT320" s="11">
        <f t="shared" ref="BT320" si="525">BS320/BR320</f>
        <v>0</v>
      </c>
      <c r="BU320" s="10"/>
      <c r="BV320" s="10"/>
      <c r="BW320" s="11">
        <v>0</v>
      </c>
      <c r="BX320" s="10"/>
      <c r="BY320" s="10"/>
      <c r="BZ320" s="11">
        <v>0</v>
      </c>
      <c r="CA320" s="10">
        <v>317000</v>
      </c>
      <c r="CB320" s="10"/>
      <c r="CC320" s="11">
        <f t="shared" ref="CC320" si="526">CB320/CA320</f>
        <v>0</v>
      </c>
      <c r="CD320" s="10"/>
      <c r="CE320" s="10"/>
      <c r="CF320" s="11">
        <v>0</v>
      </c>
      <c r="CG320" s="10"/>
      <c r="CH320" s="10">
        <v>130000</v>
      </c>
      <c r="CI320" s="11">
        <v>0</v>
      </c>
      <c r="CJ320" s="10"/>
      <c r="CK320" s="10"/>
      <c r="CL320" s="11">
        <v>0</v>
      </c>
      <c r="CM320" s="10"/>
      <c r="CN320" s="10"/>
      <c r="CO320" s="11">
        <v>0</v>
      </c>
      <c r="CP320" s="10"/>
      <c r="CQ320" s="10"/>
      <c r="CR320" s="11">
        <v>0</v>
      </c>
      <c r="CS320" s="10"/>
      <c r="CT320" s="10">
        <v>33400</v>
      </c>
      <c r="CU320" s="11">
        <v>0</v>
      </c>
      <c r="CV320" s="10"/>
      <c r="CW320" s="10"/>
      <c r="CX320" s="11">
        <v>0</v>
      </c>
      <c r="CY320" s="10"/>
      <c r="CZ320" s="10"/>
      <c r="DA320" s="11">
        <v>0</v>
      </c>
      <c r="DB320" s="10">
        <v>897000</v>
      </c>
      <c r="DC320" s="10">
        <f t="shared" ref="DC320:DC324" si="527">SUM(H320,K320,N320,Q320,T320,W320,Z320,AC320,AF320,AI320,AL320,AO320,AR320,AU320,AX320,BA320,BD320,BG320,BJ320,BM320,BP320,BS320,BV320,BY320,CB320,CE320,CH320,CK320,CN320,CQ320,CT320,CW320,CZ320)</f>
        <v>163400</v>
      </c>
      <c r="DD320" s="13">
        <f t="shared" si="524"/>
        <v>0.18216276477146043</v>
      </c>
      <c r="DE320" s="14"/>
    </row>
    <row r="321" spans="1:109" x14ac:dyDescent="0.35">
      <c r="A321" s="8" t="s">
        <v>703</v>
      </c>
      <c r="B321" s="9" t="s">
        <v>118</v>
      </c>
      <c r="C321" s="9" t="s">
        <v>43</v>
      </c>
      <c r="D321" s="9" t="s">
        <v>704</v>
      </c>
      <c r="E321" s="9" t="s">
        <v>61</v>
      </c>
      <c r="F321" s="9" t="s">
        <v>62</v>
      </c>
      <c r="G321" s="10"/>
      <c r="H321" s="10"/>
      <c r="I321" s="11">
        <v>0</v>
      </c>
      <c r="J321" s="10"/>
      <c r="K321" s="10"/>
      <c r="L321" s="12">
        <v>0</v>
      </c>
      <c r="M321" s="10"/>
      <c r="N321" s="10"/>
      <c r="O321" s="11">
        <v>0</v>
      </c>
      <c r="P321" s="10"/>
      <c r="Q321" s="10"/>
      <c r="R321" s="11">
        <v>0</v>
      </c>
      <c r="S321" s="10"/>
      <c r="T321" s="10"/>
      <c r="U321" s="11">
        <v>0</v>
      </c>
      <c r="V321" s="10">
        <v>500000</v>
      </c>
      <c r="W321" s="10"/>
      <c r="X321" s="11">
        <v>0</v>
      </c>
      <c r="Y321" s="10"/>
      <c r="Z321" s="10"/>
      <c r="AA321" s="11"/>
      <c r="AB321" s="10"/>
      <c r="AC321" s="10"/>
      <c r="AD321" s="11">
        <v>0</v>
      </c>
      <c r="AE321" s="10"/>
      <c r="AF321" s="10"/>
      <c r="AG321" s="11">
        <v>0</v>
      </c>
      <c r="AH321" s="10"/>
      <c r="AI321" s="10"/>
      <c r="AJ321" s="11">
        <v>0</v>
      </c>
      <c r="AK321" s="10"/>
      <c r="AL321" s="10"/>
      <c r="AM321" s="11">
        <v>0</v>
      </c>
      <c r="AN321" s="10"/>
      <c r="AO321" s="10"/>
      <c r="AP321" s="11">
        <v>0</v>
      </c>
      <c r="AQ321" s="10"/>
      <c r="AR321" s="10"/>
      <c r="AS321" s="11">
        <v>0</v>
      </c>
      <c r="AT321" s="10"/>
      <c r="AU321" s="10"/>
      <c r="AV321" s="11">
        <v>0</v>
      </c>
      <c r="AW321" s="10"/>
      <c r="AX321" s="10"/>
      <c r="AY321" s="11">
        <v>0</v>
      </c>
      <c r="AZ321" s="10"/>
      <c r="BA321" s="10"/>
      <c r="BB321" s="11">
        <v>0</v>
      </c>
      <c r="BC321" s="10"/>
      <c r="BD321" s="10"/>
      <c r="BE321" s="11">
        <v>0</v>
      </c>
      <c r="BF321" s="10"/>
      <c r="BG321" s="10"/>
      <c r="BH321" s="11">
        <v>0</v>
      </c>
      <c r="BI321" s="10"/>
      <c r="BJ321" s="10"/>
      <c r="BK321" s="11">
        <v>0</v>
      </c>
      <c r="BL321" s="10"/>
      <c r="BM321" s="10"/>
      <c r="BN321" s="11">
        <v>0</v>
      </c>
      <c r="BO321" s="10"/>
      <c r="BP321" s="10"/>
      <c r="BQ321" s="11">
        <v>0</v>
      </c>
      <c r="BR321" s="10"/>
      <c r="BS321" s="10"/>
      <c r="BT321" s="11">
        <v>0</v>
      </c>
      <c r="BU321" s="10"/>
      <c r="BV321" s="10"/>
      <c r="BW321" s="11">
        <v>0</v>
      </c>
      <c r="BX321" s="10"/>
      <c r="BY321" s="10"/>
      <c r="BZ321" s="11">
        <v>0</v>
      </c>
      <c r="CA321" s="10"/>
      <c r="CB321" s="10"/>
      <c r="CC321" s="11">
        <v>0</v>
      </c>
      <c r="CD321" s="10"/>
      <c r="CE321" s="10"/>
      <c r="CF321" s="11">
        <v>0</v>
      </c>
      <c r="CG321" s="10"/>
      <c r="CH321" s="10"/>
      <c r="CI321" s="11">
        <v>0</v>
      </c>
      <c r="CJ321" s="10"/>
      <c r="CK321" s="10"/>
      <c r="CL321" s="11">
        <v>0</v>
      </c>
      <c r="CM321" s="10"/>
      <c r="CN321" s="10"/>
      <c r="CO321" s="11">
        <v>0</v>
      </c>
      <c r="CP321" s="10"/>
      <c r="CQ321" s="10"/>
      <c r="CR321" s="11">
        <v>0</v>
      </c>
      <c r="CS321" s="10"/>
      <c r="CT321" s="10"/>
      <c r="CU321" s="11">
        <v>0</v>
      </c>
      <c r="CV321" s="10"/>
      <c r="CW321" s="10"/>
      <c r="CX321" s="11">
        <v>0</v>
      </c>
      <c r="CY321" s="10"/>
      <c r="CZ321" s="10"/>
      <c r="DA321" s="11">
        <v>0</v>
      </c>
      <c r="DB321" s="10">
        <v>500000</v>
      </c>
      <c r="DC321" s="10"/>
      <c r="DD321" s="15">
        <f t="shared" si="524"/>
        <v>0</v>
      </c>
      <c r="DE321" s="16"/>
    </row>
    <row r="322" spans="1:109" x14ac:dyDescent="0.35">
      <c r="A322" s="8" t="s">
        <v>705</v>
      </c>
      <c r="B322" s="9" t="s">
        <v>48</v>
      </c>
      <c r="C322" s="9" t="s">
        <v>43</v>
      </c>
      <c r="D322" s="9" t="s">
        <v>706</v>
      </c>
      <c r="E322" s="9" t="s">
        <v>45</v>
      </c>
      <c r="F322" s="9" t="s">
        <v>46</v>
      </c>
      <c r="G322" s="10"/>
      <c r="H322" s="10"/>
      <c r="I322" s="11">
        <v>0</v>
      </c>
      <c r="J322" s="10"/>
      <c r="K322" s="10"/>
      <c r="L322" s="12">
        <v>0</v>
      </c>
      <c r="M322" s="10"/>
      <c r="N322" s="10"/>
      <c r="O322" s="11">
        <v>0</v>
      </c>
      <c r="P322" s="10"/>
      <c r="Q322" s="10"/>
      <c r="R322" s="11">
        <v>0</v>
      </c>
      <c r="S322" s="10"/>
      <c r="T322" s="10"/>
      <c r="U322" s="11">
        <v>0</v>
      </c>
      <c r="V322" s="10"/>
      <c r="W322" s="10"/>
      <c r="X322" s="11">
        <v>0</v>
      </c>
      <c r="Y322" s="10"/>
      <c r="Z322" s="10"/>
      <c r="AA322" s="11"/>
      <c r="AB322" s="10"/>
      <c r="AC322" s="10"/>
      <c r="AD322" s="11">
        <v>0</v>
      </c>
      <c r="AE322" s="10"/>
      <c r="AF322" s="10"/>
      <c r="AG322" s="11">
        <v>0</v>
      </c>
      <c r="AH322" s="10"/>
      <c r="AI322" s="10"/>
      <c r="AJ322" s="11">
        <v>0</v>
      </c>
      <c r="AK322" s="10"/>
      <c r="AL322" s="10"/>
      <c r="AM322" s="11">
        <v>0</v>
      </c>
      <c r="AN322" s="10"/>
      <c r="AO322" s="10"/>
      <c r="AP322" s="11">
        <v>0</v>
      </c>
      <c r="AQ322" s="10"/>
      <c r="AR322" s="10"/>
      <c r="AS322" s="11">
        <v>0</v>
      </c>
      <c r="AT322" s="10"/>
      <c r="AU322" s="10"/>
      <c r="AV322" s="11">
        <v>0</v>
      </c>
      <c r="AW322" s="10"/>
      <c r="AX322" s="10"/>
      <c r="AY322" s="11">
        <v>0</v>
      </c>
      <c r="AZ322" s="10"/>
      <c r="BA322" s="10"/>
      <c r="BB322" s="11">
        <v>0</v>
      </c>
      <c r="BC322" s="10"/>
      <c r="BD322" s="10"/>
      <c r="BE322" s="11">
        <v>0</v>
      </c>
      <c r="BF322" s="10"/>
      <c r="BG322" s="10"/>
      <c r="BH322" s="11">
        <v>0</v>
      </c>
      <c r="BI322" s="10"/>
      <c r="BJ322" s="10"/>
      <c r="BK322" s="11">
        <v>0</v>
      </c>
      <c r="BL322" s="10"/>
      <c r="BM322" s="10"/>
      <c r="BN322" s="11">
        <v>0</v>
      </c>
      <c r="BO322" s="10"/>
      <c r="BP322" s="10"/>
      <c r="BQ322" s="11">
        <v>0</v>
      </c>
      <c r="BR322" s="10"/>
      <c r="BS322" s="10"/>
      <c r="BT322" s="11">
        <v>0</v>
      </c>
      <c r="BU322" s="10"/>
      <c r="BV322" s="10"/>
      <c r="BW322" s="11">
        <v>0</v>
      </c>
      <c r="BX322" s="10"/>
      <c r="BY322" s="10"/>
      <c r="BZ322" s="11">
        <v>0</v>
      </c>
      <c r="CA322" s="10"/>
      <c r="CB322" s="10"/>
      <c r="CC322" s="11">
        <v>0</v>
      </c>
      <c r="CD322" s="10"/>
      <c r="CE322" s="10"/>
      <c r="CF322" s="11">
        <v>0</v>
      </c>
      <c r="CG322" s="10">
        <v>200000</v>
      </c>
      <c r="CH322" s="10"/>
      <c r="CI322" s="11">
        <f t="shared" ref="CI322" si="528">CH322/CG322</f>
        <v>0</v>
      </c>
      <c r="CJ322" s="10"/>
      <c r="CK322" s="10"/>
      <c r="CL322" s="11">
        <v>0</v>
      </c>
      <c r="CM322" s="10"/>
      <c r="CN322" s="10"/>
      <c r="CO322" s="11">
        <v>0</v>
      </c>
      <c r="CP322" s="10"/>
      <c r="CQ322" s="10"/>
      <c r="CR322" s="11">
        <v>0</v>
      </c>
      <c r="CS322" s="10"/>
      <c r="CT322" s="10"/>
      <c r="CU322" s="11">
        <v>0</v>
      </c>
      <c r="CV322" s="10"/>
      <c r="CW322" s="10"/>
      <c r="CX322" s="11">
        <v>0</v>
      </c>
      <c r="CY322" s="10"/>
      <c r="CZ322" s="10"/>
      <c r="DA322" s="11">
        <v>0</v>
      </c>
      <c r="DB322" s="10">
        <v>200000</v>
      </c>
      <c r="DC322" s="10"/>
      <c r="DD322" s="15">
        <f t="shared" si="524"/>
        <v>0</v>
      </c>
      <c r="DE322" s="16"/>
    </row>
    <row r="323" spans="1:109" x14ac:dyDescent="0.35">
      <c r="A323" s="8" t="s">
        <v>707</v>
      </c>
      <c r="B323" s="9" t="s">
        <v>140</v>
      </c>
      <c r="C323" s="9" t="s">
        <v>43</v>
      </c>
      <c r="D323" s="9" t="s">
        <v>708</v>
      </c>
      <c r="E323" s="9" t="s">
        <v>45</v>
      </c>
      <c r="F323" s="9" t="s">
        <v>46</v>
      </c>
      <c r="G323" s="10"/>
      <c r="H323" s="10"/>
      <c r="I323" s="11">
        <v>0</v>
      </c>
      <c r="J323" s="10"/>
      <c r="K323" s="10"/>
      <c r="L323" s="12">
        <v>0</v>
      </c>
      <c r="M323" s="10"/>
      <c r="N323" s="10"/>
      <c r="O323" s="11">
        <v>0</v>
      </c>
      <c r="P323" s="10"/>
      <c r="Q323" s="10"/>
      <c r="R323" s="11">
        <v>0</v>
      </c>
      <c r="S323" s="10"/>
      <c r="T323" s="10"/>
      <c r="U323" s="11">
        <v>0</v>
      </c>
      <c r="V323" s="10"/>
      <c r="W323" s="10"/>
      <c r="X323" s="11">
        <v>0</v>
      </c>
      <c r="Y323" s="10"/>
      <c r="Z323" s="10"/>
      <c r="AA323" s="11"/>
      <c r="AB323" s="10">
        <v>100000</v>
      </c>
      <c r="AC323" s="10">
        <v>15000</v>
      </c>
      <c r="AD323" s="11">
        <v>0.15</v>
      </c>
      <c r="AE323" s="10"/>
      <c r="AF323" s="10"/>
      <c r="AG323" s="11">
        <v>0</v>
      </c>
      <c r="AH323" s="10"/>
      <c r="AI323" s="10"/>
      <c r="AJ323" s="11">
        <v>0</v>
      </c>
      <c r="AK323" s="10"/>
      <c r="AL323" s="10"/>
      <c r="AM323" s="11">
        <v>0</v>
      </c>
      <c r="AN323" s="10"/>
      <c r="AO323" s="10"/>
      <c r="AP323" s="11">
        <v>0</v>
      </c>
      <c r="AQ323" s="10"/>
      <c r="AR323" s="10"/>
      <c r="AS323" s="11">
        <v>0</v>
      </c>
      <c r="AT323" s="10"/>
      <c r="AU323" s="10"/>
      <c r="AV323" s="11">
        <v>0</v>
      </c>
      <c r="AW323" s="10"/>
      <c r="AX323" s="10"/>
      <c r="AY323" s="11">
        <v>0</v>
      </c>
      <c r="AZ323" s="10"/>
      <c r="BA323" s="10"/>
      <c r="BB323" s="11">
        <v>0</v>
      </c>
      <c r="BC323" s="10"/>
      <c r="BD323" s="10"/>
      <c r="BE323" s="11">
        <v>0</v>
      </c>
      <c r="BF323" s="10"/>
      <c r="BG323" s="10"/>
      <c r="BH323" s="11">
        <v>0</v>
      </c>
      <c r="BI323" s="10"/>
      <c r="BJ323" s="10"/>
      <c r="BK323" s="11">
        <v>0</v>
      </c>
      <c r="BL323" s="10"/>
      <c r="BM323" s="10"/>
      <c r="BN323" s="11">
        <v>0</v>
      </c>
      <c r="BO323" s="10"/>
      <c r="BP323" s="10"/>
      <c r="BQ323" s="11">
        <v>0</v>
      </c>
      <c r="BR323" s="10"/>
      <c r="BS323" s="10"/>
      <c r="BT323" s="11">
        <v>0</v>
      </c>
      <c r="BU323" s="10"/>
      <c r="BV323" s="10"/>
      <c r="BW323" s="11">
        <v>0</v>
      </c>
      <c r="BX323" s="10"/>
      <c r="BY323" s="10"/>
      <c r="BZ323" s="11">
        <v>0</v>
      </c>
      <c r="CA323" s="10"/>
      <c r="CB323" s="10"/>
      <c r="CC323" s="11">
        <v>0</v>
      </c>
      <c r="CD323" s="10">
        <v>300000</v>
      </c>
      <c r="CE323" s="10">
        <v>22000</v>
      </c>
      <c r="CF323" s="11">
        <f t="shared" ref="CF323" si="529">CE323/CD323</f>
        <v>7.3333333333333334E-2</v>
      </c>
      <c r="CG323" s="10"/>
      <c r="CH323" s="10"/>
      <c r="CI323" s="11">
        <v>0</v>
      </c>
      <c r="CJ323" s="10"/>
      <c r="CK323" s="10"/>
      <c r="CL323" s="11">
        <v>0</v>
      </c>
      <c r="CM323" s="10"/>
      <c r="CN323" s="10"/>
      <c r="CO323" s="11">
        <v>0</v>
      </c>
      <c r="CP323" s="10"/>
      <c r="CQ323" s="10"/>
      <c r="CR323" s="11">
        <v>0</v>
      </c>
      <c r="CS323" s="10"/>
      <c r="CT323" s="10"/>
      <c r="CU323" s="11">
        <v>0</v>
      </c>
      <c r="CV323" s="10">
        <v>100000</v>
      </c>
      <c r="CW323" s="10"/>
      <c r="CX323" s="11">
        <f t="shared" ref="CX323" si="530">CW323/CV323</f>
        <v>0</v>
      </c>
      <c r="CY323" s="10"/>
      <c r="CZ323" s="10"/>
      <c r="DA323" s="11">
        <v>0</v>
      </c>
      <c r="DB323" s="10">
        <v>500000</v>
      </c>
      <c r="DC323" s="10">
        <f t="shared" si="527"/>
        <v>37000</v>
      </c>
      <c r="DD323" s="13">
        <f t="shared" ref="DD323:DD326" si="531">DC323/DB323</f>
        <v>7.3999999999999996E-2</v>
      </c>
      <c r="DE323" s="14"/>
    </row>
    <row r="324" spans="1:109" x14ac:dyDescent="0.35">
      <c r="A324" s="8" t="s">
        <v>709</v>
      </c>
      <c r="B324" s="9" t="s">
        <v>59</v>
      </c>
      <c r="C324" s="9" t="s">
        <v>43</v>
      </c>
      <c r="D324" s="9" t="s">
        <v>710</v>
      </c>
      <c r="E324" s="9" t="s">
        <v>61</v>
      </c>
      <c r="F324" s="9" t="s">
        <v>62</v>
      </c>
      <c r="G324" s="10"/>
      <c r="H324" s="10"/>
      <c r="I324" s="11">
        <v>0</v>
      </c>
      <c r="J324" s="10">
        <v>1300000</v>
      </c>
      <c r="K324" s="10">
        <v>649000</v>
      </c>
      <c r="L324" s="11">
        <f t="shared" ref="L324" si="532">K324/J324</f>
        <v>0.49923076923076926</v>
      </c>
      <c r="M324" s="10"/>
      <c r="N324" s="10"/>
      <c r="O324" s="11">
        <v>0</v>
      </c>
      <c r="P324" s="10"/>
      <c r="Q324" s="10"/>
      <c r="R324" s="11">
        <v>0</v>
      </c>
      <c r="S324" s="10"/>
      <c r="T324" s="10"/>
      <c r="U324" s="11">
        <v>0</v>
      </c>
      <c r="V324" s="10"/>
      <c r="W324" s="10"/>
      <c r="X324" s="11">
        <v>0</v>
      </c>
      <c r="Y324" s="10"/>
      <c r="Z324" s="10"/>
      <c r="AA324" s="11"/>
      <c r="AB324" s="10"/>
      <c r="AC324" s="10"/>
      <c r="AD324" s="11">
        <v>0</v>
      </c>
      <c r="AE324" s="10"/>
      <c r="AF324" s="10"/>
      <c r="AG324" s="11">
        <v>0</v>
      </c>
      <c r="AH324" s="10"/>
      <c r="AI324" s="10"/>
      <c r="AJ324" s="11">
        <v>0</v>
      </c>
      <c r="AK324" s="10"/>
      <c r="AL324" s="10"/>
      <c r="AM324" s="11">
        <v>0</v>
      </c>
      <c r="AN324" s="10"/>
      <c r="AO324" s="10"/>
      <c r="AP324" s="11">
        <v>0</v>
      </c>
      <c r="AQ324" s="10"/>
      <c r="AR324" s="10"/>
      <c r="AS324" s="11">
        <v>0</v>
      </c>
      <c r="AT324" s="10"/>
      <c r="AU324" s="10"/>
      <c r="AV324" s="11">
        <v>0</v>
      </c>
      <c r="AW324" s="10"/>
      <c r="AX324" s="10"/>
      <c r="AY324" s="11">
        <v>0</v>
      </c>
      <c r="AZ324" s="10"/>
      <c r="BA324" s="10"/>
      <c r="BB324" s="11">
        <v>0</v>
      </c>
      <c r="BC324" s="10"/>
      <c r="BD324" s="10"/>
      <c r="BE324" s="11">
        <v>0</v>
      </c>
      <c r="BF324" s="10"/>
      <c r="BG324" s="10"/>
      <c r="BH324" s="11">
        <v>0</v>
      </c>
      <c r="BI324" s="10"/>
      <c r="BJ324" s="10"/>
      <c r="BK324" s="11">
        <v>0</v>
      </c>
      <c r="BL324" s="10"/>
      <c r="BM324" s="10"/>
      <c r="BN324" s="11">
        <v>0</v>
      </c>
      <c r="BO324" s="10"/>
      <c r="BP324" s="10"/>
      <c r="BQ324" s="11">
        <v>0</v>
      </c>
      <c r="BR324" s="10"/>
      <c r="BS324" s="10"/>
      <c r="BT324" s="11">
        <v>0</v>
      </c>
      <c r="BU324" s="10"/>
      <c r="BV324" s="10"/>
      <c r="BW324" s="11">
        <v>0</v>
      </c>
      <c r="BX324" s="10"/>
      <c r="BY324" s="10"/>
      <c r="BZ324" s="11">
        <v>0</v>
      </c>
      <c r="CA324" s="10"/>
      <c r="CB324" s="10"/>
      <c r="CC324" s="11">
        <v>0</v>
      </c>
      <c r="CD324" s="10"/>
      <c r="CE324" s="10"/>
      <c r="CF324" s="11">
        <v>0</v>
      </c>
      <c r="CG324" s="10"/>
      <c r="CH324" s="10"/>
      <c r="CI324" s="11">
        <v>0</v>
      </c>
      <c r="CJ324" s="10"/>
      <c r="CK324" s="10"/>
      <c r="CL324" s="11">
        <v>0</v>
      </c>
      <c r="CM324" s="10"/>
      <c r="CN324" s="10"/>
      <c r="CO324" s="11">
        <v>0</v>
      </c>
      <c r="CP324" s="10"/>
      <c r="CQ324" s="10"/>
      <c r="CR324" s="11">
        <v>0</v>
      </c>
      <c r="CS324" s="10"/>
      <c r="CT324" s="10"/>
      <c r="CU324" s="11">
        <v>0</v>
      </c>
      <c r="CV324" s="10"/>
      <c r="CW324" s="10"/>
      <c r="CX324" s="11">
        <v>0</v>
      </c>
      <c r="CY324" s="10"/>
      <c r="CZ324" s="10"/>
      <c r="DA324" s="11">
        <v>0</v>
      </c>
      <c r="DB324" s="10">
        <v>1300000</v>
      </c>
      <c r="DC324" s="10">
        <f t="shared" si="527"/>
        <v>649000</v>
      </c>
      <c r="DD324" s="13">
        <f t="shared" si="531"/>
        <v>0.49923076923076926</v>
      </c>
      <c r="DE324" s="14"/>
    </row>
    <row r="325" spans="1:109" x14ac:dyDescent="0.35">
      <c r="A325" s="8" t="s">
        <v>711</v>
      </c>
      <c r="B325" s="9" t="s">
        <v>118</v>
      </c>
      <c r="C325" s="9" t="s">
        <v>43</v>
      </c>
      <c r="D325" s="9" t="s">
        <v>712</v>
      </c>
      <c r="E325" s="9" t="s">
        <v>61</v>
      </c>
      <c r="F325" s="9" t="s">
        <v>62</v>
      </c>
      <c r="G325" s="10"/>
      <c r="H325" s="10"/>
      <c r="I325" s="11">
        <v>0</v>
      </c>
      <c r="J325" s="10"/>
      <c r="K325" s="10"/>
      <c r="L325" s="12">
        <v>0</v>
      </c>
      <c r="M325" s="10"/>
      <c r="N325" s="10"/>
      <c r="O325" s="11">
        <v>0</v>
      </c>
      <c r="P325" s="10"/>
      <c r="Q325" s="10"/>
      <c r="R325" s="11">
        <v>0</v>
      </c>
      <c r="S325" s="10"/>
      <c r="T325" s="10"/>
      <c r="U325" s="11">
        <v>0</v>
      </c>
      <c r="V325" s="10"/>
      <c r="W325" s="10"/>
      <c r="X325" s="11">
        <v>0</v>
      </c>
      <c r="Y325" s="10"/>
      <c r="Z325" s="10"/>
      <c r="AA325" s="11"/>
      <c r="AB325" s="10"/>
      <c r="AC325" s="10"/>
      <c r="AD325" s="11">
        <v>0</v>
      </c>
      <c r="AE325" s="10"/>
      <c r="AF325" s="10"/>
      <c r="AG325" s="11">
        <v>0</v>
      </c>
      <c r="AH325" s="10"/>
      <c r="AI325" s="10"/>
      <c r="AJ325" s="11">
        <v>0</v>
      </c>
      <c r="AK325" s="10"/>
      <c r="AL325" s="10"/>
      <c r="AM325" s="11">
        <v>0</v>
      </c>
      <c r="AN325" s="10"/>
      <c r="AO325" s="10"/>
      <c r="AP325" s="11">
        <v>0</v>
      </c>
      <c r="AQ325" s="10"/>
      <c r="AR325" s="10"/>
      <c r="AS325" s="11">
        <v>0</v>
      </c>
      <c r="AT325" s="10"/>
      <c r="AU325" s="10"/>
      <c r="AV325" s="11">
        <v>0</v>
      </c>
      <c r="AW325" s="10"/>
      <c r="AX325" s="10"/>
      <c r="AY325" s="11">
        <v>0</v>
      </c>
      <c r="AZ325" s="10"/>
      <c r="BA325" s="10"/>
      <c r="BB325" s="11">
        <v>0</v>
      </c>
      <c r="BC325" s="10"/>
      <c r="BD325" s="10"/>
      <c r="BE325" s="11">
        <v>0</v>
      </c>
      <c r="BF325" s="10"/>
      <c r="BG325" s="10"/>
      <c r="BH325" s="11">
        <v>0</v>
      </c>
      <c r="BI325" s="10"/>
      <c r="BJ325" s="10"/>
      <c r="BK325" s="11">
        <v>0</v>
      </c>
      <c r="BL325" s="10"/>
      <c r="BM325" s="10"/>
      <c r="BN325" s="11">
        <v>0</v>
      </c>
      <c r="BO325" s="10"/>
      <c r="BP325" s="10">
        <v>661350</v>
      </c>
      <c r="BQ325" s="11">
        <v>0</v>
      </c>
      <c r="BR325" s="10"/>
      <c r="BS325" s="10"/>
      <c r="BT325" s="11">
        <v>0</v>
      </c>
      <c r="BU325" s="10"/>
      <c r="BV325" s="10"/>
      <c r="BW325" s="11">
        <v>0</v>
      </c>
      <c r="BX325" s="10"/>
      <c r="BY325" s="10"/>
      <c r="BZ325" s="11">
        <v>0</v>
      </c>
      <c r="CA325" s="10"/>
      <c r="CB325" s="10"/>
      <c r="CC325" s="11">
        <v>0</v>
      </c>
      <c r="CD325" s="10"/>
      <c r="CE325" s="10"/>
      <c r="CF325" s="11">
        <v>0</v>
      </c>
      <c r="CG325" s="10"/>
      <c r="CH325" s="10"/>
      <c r="CI325" s="11">
        <v>0</v>
      </c>
      <c r="CJ325" s="10"/>
      <c r="CK325" s="10"/>
      <c r="CL325" s="11">
        <v>0</v>
      </c>
      <c r="CM325" s="10"/>
      <c r="CN325" s="10"/>
      <c r="CO325" s="11">
        <v>0</v>
      </c>
      <c r="CP325" s="10"/>
      <c r="CQ325" s="10"/>
      <c r="CR325" s="11">
        <v>0</v>
      </c>
      <c r="CS325" s="10"/>
      <c r="CT325" s="10"/>
      <c r="CU325" s="11">
        <v>0</v>
      </c>
      <c r="CV325" s="10"/>
      <c r="CW325" s="10"/>
      <c r="CX325" s="11">
        <v>0</v>
      </c>
      <c r="CY325" s="10"/>
      <c r="CZ325" s="10"/>
      <c r="DA325" s="11">
        <v>0</v>
      </c>
      <c r="DB325" s="10"/>
      <c r="DC325" s="10">
        <f t="shared" ref="DC325:DC327" si="533">SUM(H325,K325,N325,Q325,T325,W325,Z325,AC325,AF325,AI325,AL325,AO325,AR325,AU325,AX325,BA325,BD325,BG325,BJ325,BM325,BP325,BS325,BV325,BY325,CB325,CE325,CH325,CK325,CN325,CQ325,CT325,CW325,CZ325)</f>
        <v>661350</v>
      </c>
      <c r="DD325" s="13">
        <v>0</v>
      </c>
      <c r="DE325" s="14"/>
    </row>
    <row r="326" spans="1:109" x14ac:dyDescent="0.35">
      <c r="A326" s="8" t="s">
        <v>713</v>
      </c>
      <c r="B326" s="9" t="s">
        <v>51</v>
      </c>
      <c r="C326" s="9" t="s">
        <v>52</v>
      </c>
      <c r="D326" s="9" t="s">
        <v>714</v>
      </c>
      <c r="E326" s="9" t="s">
        <v>54</v>
      </c>
      <c r="F326" s="9" t="s">
        <v>55</v>
      </c>
      <c r="G326" s="10"/>
      <c r="H326" s="10"/>
      <c r="I326" s="11">
        <v>0</v>
      </c>
      <c r="J326" s="10"/>
      <c r="K326" s="10"/>
      <c r="L326" s="12">
        <v>0</v>
      </c>
      <c r="M326" s="10"/>
      <c r="N326" s="10"/>
      <c r="O326" s="11">
        <v>0</v>
      </c>
      <c r="P326" s="10"/>
      <c r="Q326" s="10"/>
      <c r="R326" s="11">
        <v>0</v>
      </c>
      <c r="S326" s="10"/>
      <c r="T326" s="10"/>
      <c r="U326" s="11">
        <v>0</v>
      </c>
      <c r="V326" s="10">
        <v>25000</v>
      </c>
      <c r="W326" s="10"/>
      <c r="X326" s="11">
        <v>0</v>
      </c>
      <c r="Y326" s="10"/>
      <c r="Z326" s="10"/>
      <c r="AA326" s="11"/>
      <c r="AB326" s="10"/>
      <c r="AC326" s="10"/>
      <c r="AD326" s="11">
        <v>0</v>
      </c>
      <c r="AE326" s="10"/>
      <c r="AF326" s="10"/>
      <c r="AG326" s="11">
        <v>0</v>
      </c>
      <c r="AH326" s="10"/>
      <c r="AI326" s="10"/>
      <c r="AJ326" s="11">
        <v>0</v>
      </c>
      <c r="AK326" s="10"/>
      <c r="AL326" s="10"/>
      <c r="AM326" s="11">
        <v>0</v>
      </c>
      <c r="AN326" s="10"/>
      <c r="AO326" s="10"/>
      <c r="AP326" s="11">
        <v>0</v>
      </c>
      <c r="AQ326" s="10"/>
      <c r="AR326" s="10"/>
      <c r="AS326" s="11">
        <v>0</v>
      </c>
      <c r="AT326" s="10"/>
      <c r="AU326" s="10"/>
      <c r="AV326" s="11">
        <v>0</v>
      </c>
      <c r="AW326" s="10"/>
      <c r="AX326" s="10"/>
      <c r="AY326" s="11">
        <v>0</v>
      </c>
      <c r="AZ326" s="10"/>
      <c r="BA326" s="10"/>
      <c r="BB326" s="11">
        <v>0</v>
      </c>
      <c r="BC326" s="10"/>
      <c r="BD326" s="10"/>
      <c r="BE326" s="11">
        <v>0</v>
      </c>
      <c r="BF326" s="10"/>
      <c r="BG326" s="10"/>
      <c r="BH326" s="11">
        <v>0</v>
      </c>
      <c r="BI326" s="10"/>
      <c r="BJ326" s="10"/>
      <c r="BK326" s="11">
        <v>0</v>
      </c>
      <c r="BL326" s="10"/>
      <c r="BM326" s="10"/>
      <c r="BN326" s="11">
        <v>0</v>
      </c>
      <c r="BO326" s="10"/>
      <c r="BP326" s="10"/>
      <c r="BQ326" s="11">
        <v>0</v>
      </c>
      <c r="BR326" s="10"/>
      <c r="BS326" s="10"/>
      <c r="BT326" s="11">
        <v>0</v>
      </c>
      <c r="BU326" s="10"/>
      <c r="BV326" s="10"/>
      <c r="BW326" s="11">
        <v>0</v>
      </c>
      <c r="BX326" s="10"/>
      <c r="BY326" s="10"/>
      <c r="BZ326" s="11">
        <v>0</v>
      </c>
      <c r="CA326" s="10"/>
      <c r="CB326" s="10"/>
      <c r="CC326" s="11">
        <v>0</v>
      </c>
      <c r="CD326" s="10"/>
      <c r="CE326" s="10"/>
      <c r="CF326" s="11">
        <v>0</v>
      </c>
      <c r="CG326" s="10"/>
      <c r="CH326" s="10"/>
      <c r="CI326" s="11">
        <v>0</v>
      </c>
      <c r="CJ326" s="10"/>
      <c r="CK326" s="10"/>
      <c r="CL326" s="11">
        <v>0</v>
      </c>
      <c r="CM326" s="10"/>
      <c r="CN326" s="10"/>
      <c r="CO326" s="11">
        <v>0</v>
      </c>
      <c r="CP326" s="10"/>
      <c r="CQ326" s="10"/>
      <c r="CR326" s="11">
        <v>0</v>
      </c>
      <c r="CS326" s="10"/>
      <c r="CT326" s="10"/>
      <c r="CU326" s="11">
        <v>0</v>
      </c>
      <c r="CV326" s="10"/>
      <c r="CW326" s="10"/>
      <c r="CX326" s="11">
        <v>0</v>
      </c>
      <c r="CY326" s="10"/>
      <c r="CZ326" s="10"/>
      <c r="DA326" s="11">
        <v>0</v>
      </c>
      <c r="DB326" s="10">
        <v>25000</v>
      </c>
      <c r="DC326" s="10"/>
      <c r="DD326" s="15">
        <f t="shared" si="531"/>
        <v>0</v>
      </c>
      <c r="DE326" s="16"/>
    </row>
    <row r="327" spans="1:109" x14ac:dyDescent="0.35">
      <c r="A327" s="8" t="s">
        <v>715</v>
      </c>
      <c r="B327" s="9" t="s">
        <v>42</v>
      </c>
      <c r="C327" s="9" t="s">
        <v>43</v>
      </c>
      <c r="D327" s="9" t="s">
        <v>716</v>
      </c>
      <c r="E327" s="9" t="s">
        <v>45</v>
      </c>
      <c r="F327" s="9" t="s">
        <v>46</v>
      </c>
      <c r="G327" s="10"/>
      <c r="H327" s="10"/>
      <c r="I327" s="11">
        <v>0</v>
      </c>
      <c r="J327" s="10"/>
      <c r="K327" s="10"/>
      <c r="L327" s="12">
        <v>0</v>
      </c>
      <c r="M327" s="10"/>
      <c r="N327" s="10"/>
      <c r="O327" s="11">
        <v>0</v>
      </c>
      <c r="P327" s="10"/>
      <c r="Q327" s="10"/>
      <c r="R327" s="11">
        <v>0</v>
      </c>
      <c r="S327" s="10"/>
      <c r="T327" s="10">
        <v>501510</v>
      </c>
      <c r="U327" s="11">
        <v>0</v>
      </c>
      <c r="V327" s="10"/>
      <c r="W327" s="10"/>
      <c r="X327" s="11">
        <v>0</v>
      </c>
      <c r="Y327" s="10"/>
      <c r="Z327" s="10">
        <v>64300</v>
      </c>
      <c r="AA327" s="11"/>
      <c r="AB327" s="10"/>
      <c r="AC327" s="10"/>
      <c r="AD327" s="11">
        <v>0</v>
      </c>
      <c r="AE327" s="10"/>
      <c r="AF327" s="10"/>
      <c r="AG327" s="11">
        <v>0</v>
      </c>
      <c r="AH327" s="10"/>
      <c r="AI327" s="10"/>
      <c r="AJ327" s="11">
        <v>0</v>
      </c>
      <c r="AK327" s="10"/>
      <c r="AL327" s="10"/>
      <c r="AM327" s="11">
        <v>0</v>
      </c>
      <c r="AN327" s="10"/>
      <c r="AO327" s="10"/>
      <c r="AP327" s="11">
        <v>0</v>
      </c>
      <c r="AQ327" s="10"/>
      <c r="AR327" s="10"/>
      <c r="AS327" s="11">
        <v>0</v>
      </c>
      <c r="AT327" s="10"/>
      <c r="AU327" s="10"/>
      <c r="AV327" s="11">
        <v>0</v>
      </c>
      <c r="AW327" s="10"/>
      <c r="AX327" s="10"/>
      <c r="AY327" s="11">
        <v>0</v>
      </c>
      <c r="AZ327" s="10"/>
      <c r="BA327" s="10"/>
      <c r="BB327" s="11">
        <v>0</v>
      </c>
      <c r="BC327" s="10"/>
      <c r="BD327" s="10"/>
      <c r="BE327" s="11">
        <v>0</v>
      </c>
      <c r="BF327" s="10"/>
      <c r="BG327" s="10">
        <f>VLOOKUP(A:A,'[1]2026 Customer Brand Sales'!$A:$BA,53,0)</f>
        <v>9750</v>
      </c>
      <c r="BH327" s="11">
        <v>0</v>
      </c>
      <c r="BI327" s="10"/>
      <c r="BJ327" s="10"/>
      <c r="BK327" s="11">
        <v>0</v>
      </c>
      <c r="BL327" s="10"/>
      <c r="BM327" s="10"/>
      <c r="BN327" s="11">
        <v>0</v>
      </c>
      <c r="BO327" s="10"/>
      <c r="BP327" s="10"/>
      <c r="BQ327" s="11">
        <v>0</v>
      </c>
      <c r="BR327" s="10"/>
      <c r="BS327" s="10"/>
      <c r="BT327" s="11">
        <v>0</v>
      </c>
      <c r="BU327" s="10"/>
      <c r="BV327" s="10"/>
      <c r="BW327" s="11">
        <v>0</v>
      </c>
      <c r="BX327" s="10"/>
      <c r="BY327" s="10"/>
      <c r="BZ327" s="11">
        <v>0</v>
      </c>
      <c r="CA327" s="10"/>
      <c r="CB327" s="10"/>
      <c r="CC327" s="11">
        <v>0</v>
      </c>
      <c r="CD327" s="10"/>
      <c r="CE327" s="10"/>
      <c r="CF327" s="11">
        <v>0</v>
      </c>
      <c r="CG327" s="10"/>
      <c r="CH327" s="10"/>
      <c r="CI327" s="11">
        <v>0</v>
      </c>
      <c r="CJ327" s="10"/>
      <c r="CK327" s="10"/>
      <c r="CL327" s="11">
        <v>0</v>
      </c>
      <c r="CM327" s="10"/>
      <c r="CN327" s="10"/>
      <c r="CO327" s="11">
        <v>0</v>
      </c>
      <c r="CP327" s="10"/>
      <c r="CQ327" s="10"/>
      <c r="CR327" s="11">
        <v>0</v>
      </c>
      <c r="CS327" s="10"/>
      <c r="CT327" s="10"/>
      <c r="CU327" s="11">
        <v>0</v>
      </c>
      <c r="CV327" s="10"/>
      <c r="CW327" s="10"/>
      <c r="CX327" s="11">
        <v>0</v>
      </c>
      <c r="CY327" s="10"/>
      <c r="CZ327" s="10"/>
      <c r="DA327" s="11">
        <v>0</v>
      </c>
      <c r="DB327" s="10"/>
      <c r="DC327" s="10">
        <f t="shared" si="533"/>
        <v>575560</v>
      </c>
      <c r="DD327" s="13">
        <v>0</v>
      </c>
      <c r="DE327" s="14"/>
    </row>
    <row r="328" spans="1:109" x14ac:dyDescent="0.35">
      <c r="A328" s="8" t="s">
        <v>717</v>
      </c>
      <c r="B328" s="9" t="s">
        <v>140</v>
      </c>
      <c r="C328" s="9" t="s">
        <v>43</v>
      </c>
      <c r="D328" s="9" t="s">
        <v>718</v>
      </c>
      <c r="E328" s="9" t="s">
        <v>45</v>
      </c>
      <c r="F328" s="9" t="s">
        <v>46</v>
      </c>
      <c r="G328" s="10"/>
      <c r="H328" s="10"/>
      <c r="I328" s="11">
        <v>0</v>
      </c>
      <c r="J328" s="10"/>
      <c r="K328" s="10"/>
      <c r="L328" s="12">
        <v>0</v>
      </c>
      <c r="M328" s="10"/>
      <c r="N328" s="10">
        <v>786240</v>
      </c>
      <c r="O328" s="11">
        <v>0</v>
      </c>
      <c r="P328" s="10"/>
      <c r="Q328" s="10"/>
      <c r="R328" s="11">
        <v>0</v>
      </c>
      <c r="S328" s="10"/>
      <c r="T328" s="10"/>
      <c r="U328" s="11">
        <v>0</v>
      </c>
      <c r="V328" s="10"/>
      <c r="W328" s="10"/>
      <c r="X328" s="11">
        <v>0</v>
      </c>
      <c r="Y328" s="10"/>
      <c r="Z328" s="10"/>
      <c r="AA328" s="11"/>
      <c r="AB328" s="10"/>
      <c r="AC328" s="10"/>
      <c r="AD328" s="11">
        <v>0</v>
      </c>
      <c r="AE328" s="10">
        <v>200000</v>
      </c>
      <c r="AF328" s="10"/>
      <c r="AG328" s="11">
        <f t="shared" ref="AG328" si="534">AF328/AE328</f>
        <v>0</v>
      </c>
      <c r="AH328" s="10"/>
      <c r="AI328" s="10"/>
      <c r="AJ328" s="11">
        <v>0</v>
      </c>
      <c r="AK328" s="10"/>
      <c r="AL328" s="10"/>
      <c r="AM328" s="11">
        <v>0</v>
      </c>
      <c r="AN328" s="10"/>
      <c r="AO328" s="10"/>
      <c r="AP328" s="11">
        <v>0</v>
      </c>
      <c r="AQ328" s="10"/>
      <c r="AR328" s="10"/>
      <c r="AS328" s="11">
        <v>0</v>
      </c>
      <c r="AT328" s="10"/>
      <c r="AU328" s="10"/>
      <c r="AV328" s="11">
        <v>0</v>
      </c>
      <c r="AW328" s="10"/>
      <c r="AX328" s="10"/>
      <c r="AY328" s="11">
        <v>0</v>
      </c>
      <c r="AZ328" s="10"/>
      <c r="BA328" s="10"/>
      <c r="BB328" s="11">
        <v>0</v>
      </c>
      <c r="BC328" s="10"/>
      <c r="BD328" s="10"/>
      <c r="BE328" s="11">
        <v>0</v>
      </c>
      <c r="BF328" s="10"/>
      <c r="BG328" s="10"/>
      <c r="BH328" s="11">
        <v>0</v>
      </c>
      <c r="BI328" s="10"/>
      <c r="BJ328" s="10"/>
      <c r="BK328" s="11">
        <v>0</v>
      </c>
      <c r="BL328" s="10"/>
      <c r="BM328" s="10"/>
      <c r="BN328" s="11">
        <v>0</v>
      </c>
      <c r="BO328" s="10">
        <v>150000</v>
      </c>
      <c r="BP328" s="10"/>
      <c r="BQ328" s="11">
        <f t="shared" ref="BQ328" si="535">BP328/BO328</f>
        <v>0</v>
      </c>
      <c r="BR328" s="10"/>
      <c r="BS328" s="10"/>
      <c r="BT328" s="11">
        <v>0</v>
      </c>
      <c r="BU328" s="10"/>
      <c r="BV328" s="10"/>
      <c r="BW328" s="11">
        <v>0</v>
      </c>
      <c r="BX328" s="10"/>
      <c r="BY328" s="10"/>
      <c r="BZ328" s="11">
        <v>0</v>
      </c>
      <c r="CA328" s="10"/>
      <c r="CB328" s="10"/>
      <c r="CC328" s="11">
        <v>0</v>
      </c>
      <c r="CD328" s="10"/>
      <c r="CE328" s="10"/>
      <c r="CF328" s="11">
        <v>0</v>
      </c>
      <c r="CG328" s="10"/>
      <c r="CH328" s="10"/>
      <c r="CI328" s="11">
        <v>0</v>
      </c>
      <c r="CJ328" s="10"/>
      <c r="CK328" s="10"/>
      <c r="CL328" s="11">
        <v>0</v>
      </c>
      <c r="CM328" s="10"/>
      <c r="CN328" s="10"/>
      <c r="CO328" s="11">
        <v>0</v>
      </c>
      <c r="CP328" s="10"/>
      <c r="CQ328" s="10"/>
      <c r="CR328" s="11">
        <v>0</v>
      </c>
      <c r="CS328" s="10"/>
      <c r="CT328" s="10"/>
      <c r="CU328" s="11">
        <v>0</v>
      </c>
      <c r="CV328" s="10"/>
      <c r="CW328" s="10"/>
      <c r="CX328" s="11">
        <v>0</v>
      </c>
      <c r="CY328" s="10"/>
      <c r="CZ328" s="10"/>
      <c r="DA328" s="11">
        <v>0</v>
      </c>
      <c r="DB328" s="10">
        <v>350000</v>
      </c>
      <c r="DC328" s="10">
        <f t="shared" ref="DC328" si="536">SUM(H328,K328,N328,Q328,T328,W328,Z328,AC328,AF328,AI328,AL328,AO328,AR328,AU328,AX328,BA328,BD328,BG328,BJ328,BM328,BP328,BS328,BV328,BY328,CB328,CE328,CH328,CK328,CN328,CQ328,CT328,CW328,CZ328)</f>
        <v>786240</v>
      </c>
      <c r="DD328" s="13">
        <f t="shared" ref="DD328" si="537">DC328/DB328</f>
        <v>2.2464</v>
      </c>
      <c r="DE328" s="14"/>
    </row>
    <row r="329" spans="1:109" x14ac:dyDescent="0.35">
      <c r="A329" s="8" t="s">
        <v>719</v>
      </c>
      <c r="B329" s="9" t="s">
        <v>74</v>
      </c>
      <c r="C329" s="9" t="s">
        <v>52</v>
      </c>
      <c r="D329" s="9" t="s">
        <v>720</v>
      </c>
      <c r="E329" s="9" t="s">
        <v>54</v>
      </c>
      <c r="F329" s="9" t="s">
        <v>55</v>
      </c>
      <c r="G329" s="10"/>
      <c r="H329" s="10"/>
      <c r="I329" s="11">
        <v>0</v>
      </c>
      <c r="J329" s="10"/>
      <c r="K329" s="10"/>
      <c r="L329" s="12">
        <v>0</v>
      </c>
      <c r="M329" s="10"/>
      <c r="N329" s="10"/>
      <c r="O329" s="11">
        <v>0</v>
      </c>
      <c r="P329" s="10"/>
      <c r="Q329" s="10"/>
      <c r="R329" s="11">
        <v>0</v>
      </c>
      <c r="S329" s="10"/>
      <c r="T329" s="10"/>
      <c r="U329" s="11">
        <v>0</v>
      </c>
      <c r="V329" s="10"/>
      <c r="W329" s="10"/>
      <c r="X329" s="11">
        <v>0</v>
      </c>
      <c r="Y329" s="10"/>
      <c r="Z329" s="10"/>
      <c r="AA329" s="11"/>
      <c r="AB329" s="10"/>
      <c r="AC329" s="10"/>
      <c r="AD329" s="11">
        <v>0</v>
      </c>
      <c r="AE329" s="10"/>
      <c r="AF329" s="10"/>
      <c r="AG329" s="11">
        <v>0</v>
      </c>
      <c r="AH329" s="10"/>
      <c r="AI329" s="10"/>
      <c r="AJ329" s="11">
        <v>0</v>
      </c>
      <c r="AK329" s="10"/>
      <c r="AL329" s="10"/>
      <c r="AM329" s="11">
        <v>0</v>
      </c>
      <c r="AN329" s="10"/>
      <c r="AO329" s="10"/>
      <c r="AP329" s="11">
        <v>0</v>
      </c>
      <c r="AQ329" s="10"/>
      <c r="AR329" s="10"/>
      <c r="AS329" s="11">
        <v>0</v>
      </c>
      <c r="AT329" s="10"/>
      <c r="AU329" s="10"/>
      <c r="AV329" s="11">
        <v>0</v>
      </c>
      <c r="AW329" s="10"/>
      <c r="AX329" s="10"/>
      <c r="AY329" s="11">
        <v>0</v>
      </c>
      <c r="AZ329" s="10"/>
      <c r="BA329" s="10"/>
      <c r="BB329" s="11">
        <v>0</v>
      </c>
      <c r="BC329" s="10"/>
      <c r="BD329" s="10"/>
      <c r="BE329" s="11">
        <v>0</v>
      </c>
      <c r="BF329" s="10"/>
      <c r="BG329" s="10"/>
      <c r="BH329" s="11">
        <v>0</v>
      </c>
      <c r="BI329" s="10"/>
      <c r="BJ329" s="10"/>
      <c r="BK329" s="11">
        <v>0</v>
      </c>
      <c r="BL329" s="10"/>
      <c r="BM329" s="10"/>
      <c r="BN329" s="11">
        <v>0</v>
      </c>
      <c r="BO329" s="10"/>
      <c r="BP329" s="10"/>
      <c r="BQ329" s="11">
        <v>0</v>
      </c>
      <c r="BR329" s="10"/>
      <c r="BS329" s="10"/>
      <c r="BT329" s="11">
        <v>0</v>
      </c>
      <c r="BU329" s="10"/>
      <c r="BV329" s="10"/>
      <c r="BW329" s="11">
        <v>0</v>
      </c>
      <c r="BX329" s="10"/>
      <c r="BY329" s="10"/>
      <c r="BZ329" s="11">
        <v>0</v>
      </c>
      <c r="CA329" s="10"/>
      <c r="CB329" s="10"/>
      <c r="CC329" s="11">
        <v>0</v>
      </c>
      <c r="CD329" s="10"/>
      <c r="CE329" s="10"/>
      <c r="CF329" s="11">
        <v>0</v>
      </c>
      <c r="CG329" s="10"/>
      <c r="CH329" s="10"/>
      <c r="CI329" s="11">
        <v>0</v>
      </c>
      <c r="CJ329" s="10"/>
      <c r="CK329" s="10"/>
      <c r="CL329" s="11">
        <v>0</v>
      </c>
      <c r="CM329" s="10"/>
      <c r="CN329" s="10"/>
      <c r="CO329" s="11">
        <v>0</v>
      </c>
      <c r="CP329" s="10"/>
      <c r="CQ329" s="10"/>
      <c r="CR329" s="11">
        <v>0</v>
      </c>
      <c r="CS329" s="10"/>
      <c r="CT329" s="10"/>
      <c r="CU329" s="11">
        <v>0</v>
      </c>
      <c r="CV329" s="10"/>
      <c r="CW329" s="10"/>
      <c r="CX329" s="11">
        <v>0</v>
      </c>
      <c r="CY329" s="10"/>
      <c r="CZ329" s="10"/>
      <c r="DA329" s="11">
        <v>0</v>
      </c>
      <c r="DB329" s="10"/>
      <c r="DC329" s="10"/>
      <c r="DD329" s="13">
        <v>0</v>
      </c>
      <c r="DE329" s="14"/>
    </row>
    <row r="330" spans="1:109" x14ac:dyDescent="0.35">
      <c r="A330" s="8" t="s">
        <v>721</v>
      </c>
      <c r="B330" s="9" t="s">
        <v>48</v>
      </c>
      <c r="C330" s="9" t="s">
        <v>43</v>
      </c>
      <c r="D330" s="9" t="s">
        <v>722</v>
      </c>
      <c r="E330" s="9" t="s">
        <v>45</v>
      </c>
      <c r="F330" s="9" t="s">
        <v>46</v>
      </c>
      <c r="G330" s="10"/>
      <c r="H330" s="10"/>
      <c r="I330" s="11">
        <v>0</v>
      </c>
      <c r="J330" s="10"/>
      <c r="K330" s="10"/>
      <c r="L330" s="12">
        <v>0</v>
      </c>
      <c r="M330" s="10"/>
      <c r="N330" s="10"/>
      <c r="O330" s="11">
        <v>0</v>
      </c>
      <c r="P330" s="10"/>
      <c r="Q330" s="10"/>
      <c r="R330" s="11">
        <v>0</v>
      </c>
      <c r="S330" s="10"/>
      <c r="T330" s="10"/>
      <c r="U330" s="11">
        <v>0</v>
      </c>
      <c r="V330" s="10"/>
      <c r="W330" s="10"/>
      <c r="X330" s="11">
        <v>0</v>
      </c>
      <c r="Y330" s="10"/>
      <c r="Z330" s="10"/>
      <c r="AA330" s="11"/>
      <c r="AB330" s="10"/>
      <c r="AC330" s="10"/>
      <c r="AD330" s="11">
        <v>0</v>
      </c>
      <c r="AE330" s="10"/>
      <c r="AF330" s="10"/>
      <c r="AG330" s="11">
        <v>0</v>
      </c>
      <c r="AH330" s="10"/>
      <c r="AI330" s="10"/>
      <c r="AJ330" s="11">
        <v>0</v>
      </c>
      <c r="AK330" s="10"/>
      <c r="AL330" s="10"/>
      <c r="AM330" s="11">
        <v>0</v>
      </c>
      <c r="AN330" s="10"/>
      <c r="AO330" s="10"/>
      <c r="AP330" s="11">
        <v>0</v>
      </c>
      <c r="AQ330" s="10"/>
      <c r="AR330" s="10"/>
      <c r="AS330" s="11">
        <v>0</v>
      </c>
      <c r="AT330" s="10"/>
      <c r="AU330" s="10"/>
      <c r="AV330" s="11">
        <v>0</v>
      </c>
      <c r="AW330" s="10"/>
      <c r="AX330" s="10"/>
      <c r="AY330" s="11">
        <v>0</v>
      </c>
      <c r="AZ330" s="10"/>
      <c r="BA330" s="10"/>
      <c r="BB330" s="11">
        <v>0</v>
      </c>
      <c r="BC330" s="10"/>
      <c r="BD330" s="10"/>
      <c r="BE330" s="11">
        <v>0</v>
      </c>
      <c r="BF330" s="10"/>
      <c r="BG330" s="10"/>
      <c r="BH330" s="11">
        <v>0</v>
      </c>
      <c r="BI330" s="10"/>
      <c r="BJ330" s="10"/>
      <c r="BK330" s="11">
        <v>0</v>
      </c>
      <c r="BL330" s="10"/>
      <c r="BM330" s="10"/>
      <c r="BN330" s="11">
        <v>0</v>
      </c>
      <c r="BO330" s="10"/>
      <c r="BP330" s="10"/>
      <c r="BQ330" s="11">
        <v>0</v>
      </c>
      <c r="BR330" s="10"/>
      <c r="BS330" s="10"/>
      <c r="BT330" s="11">
        <v>0</v>
      </c>
      <c r="BU330" s="10"/>
      <c r="BV330" s="10"/>
      <c r="BW330" s="11">
        <v>0</v>
      </c>
      <c r="BX330" s="10"/>
      <c r="BY330" s="10"/>
      <c r="BZ330" s="11">
        <v>0</v>
      </c>
      <c r="CA330" s="10"/>
      <c r="CB330" s="10"/>
      <c r="CC330" s="11">
        <v>0</v>
      </c>
      <c r="CD330" s="10"/>
      <c r="CE330" s="10"/>
      <c r="CF330" s="11">
        <v>0</v>
      </c>
      <c r="CG330" s="10">
        <v>300000</v>
      </c>
      <c r="CH330" s="10"/>
      <c r="CI330" s="11">
        <f t="shared" ref="CI330:CI333" si="538">CH330/CG330</f>
        <v>0</v>
      </c>
      <c r="CJ330" s="10"/>
      <c r="CK330" s="10"/>
      <c r="CL330" s="11">
        <v>0</v>
      </c>
      <c r="CM330" s="10"/>
      <c r="CN330" s="10"/>
      <c r="CO330" s="11">
        <v>0</v>
      </c>
      <c r="CP330" s="10"/>
      <c r="CQ330" s="10"/>
      <c r="CR330" s="11">
        <v>0</v>
      </c>
      <c r="CS330" s="10"/>
      <c r="CT330" s="10"/>
      <c r="CU330" s="11">
        <v>0</v>
      </c>
      <c r="CV330" s="10"/>
      <c r="CW330" s="10"/>
      <c r="CX330" s="11">
        <v>0</v>
      </c>
      <c r="CY330" s="10"/>
      <c r="CZ330" s="10"/>
      <c r="DA330" s="11">
        <v>0</v>
      </c>
      <c r="DB330" s="10">
        <v>300000</v>
      </c>
      <c r="DC330" s="10"/>
      <c r="DD330" s="15">
        <f t="shared" ref="DD330:DD333" si="539">DC330/DB330</f>
        <v>0</v>
      </c>
      <c r="DE330" s="16"/>
    </row>
    <row r="331" spans="1:109" x14ac:dyDescent="0.35">
      <c r="A331" s="8" t="s">
        <v>723</v>
      </c>
      <c r="B331" s="9" t="s">
        <v>42</v>
      </c>
      <c r="C331" s="9" t="s">
        <v>43</v>
      </c>
      <c r="D331" s="9" t="s">
        <v>724</v>
      </c>
      <c r="E331" s="9" t="s">
        <v>45</v>
      </c>
      <c r="F331" s="9" t="s">
        <v>46</v>
      </c>
      <c r="G331" s="10"/>
      <c r="H331" s="10"/>
      <c r="I331" s="11">
        <v>0</v>
      </c>
      <c r="J331" s="10"/>
      <c r="K331" s="10"/>
      <c r="L331" s="12">
        <v>0</v>
      </c>
      <c r="M331" s="10"/>
      <c r="N331" s="10"/>
      <c r="O331" s="11">
        <v>0</v>
      </c>
      <c r="P331" s="10"/>
      <c r="Q331" s="10"/>
      <c r="R331" s="11">
        <v>0</v>
      </c>
      <c r="S331" s="10"/>
      <c r="T331" s="10"/>
      <c r="U331" s="11">
        <v>0</v>
      </c>
      <c r="V331" s="10"/>
      <c r="W331" s="10"/>
      <c r="X331" s="11">
        <v>0</v>
      </c>
      <c r="Y331" s="10"/>
      <c r="Z331" s="10"/>
      <c r="AA331" s="11"/>
      <c r="AB331" s="10"/>
      <c r="AC331" s="10"/>
      <c r="AD331" s="11">
        <v>0</v>
      </c>
      <c r="AE331" s="10"/>
      <c r="AF331" s="10"/>
      <c r="AG331" s="11">
        <v>0</v>
      </c>
      <c r="AH331" s="10"/>
      <c r="AI331" s="10"/>
      <c r="AJ331" s="11">
        <v>0</v>
      </c>
      <c r="AK331" s="10">
        <v>1300000</v>
      </c>
      <c r="AL331" s="10"/>
      <c r="AM331" s="11">
        <f t="shared" ref="AM331" si="540">AL331/AK331</f>
        <v>0</v>
      </c>
      <c r="AN331" s="10"/>
      <c r="AO331" s="10"/>
      <c r="AP331" s="11">
        <v>0</v>
      </c>
      <c r="AQ331" s="10"/>
      <c r="AR331" s="10"/>
      <c r="AS331" s="11">
        <v>0</v>
      </c>
      <c r="AT331" s="10"/>
      <c r="AU331" s="10"/>
      <c r="AV331" s="11">
        <v>0</v>
      </c>
      <c r="AW331" s="10"/>
      <c r="AX331" s="10"/>
      <c r="AY331" s="11">
        <v>0</v>
      </c>
      <c r="AZ331" s="10"/>
      <c r="BA331" s="10"/>
      <c r="BB331" s="11">
        <v>0</v>
      </c>
      <c r="BC331" s="10"/>
      <c r="BD331" s="10"/>
      <c r="BE331" s="11">
        <v>0</v>
      </c>
      <c r="BF331" s="10"/>
      <c r="BG331" s="10"/>
      <c r="BH331" s="11">
        <v>0</v>
      </c>
      <c r="BI331" s="10"/>
      <c r="BJ331" s="10"/>
      <c r="BK331" s="11">
        <v>0</v>
      </c>
      <c r="BL331" s="10"/>
      <c r="BM331" s="10"/>
      <c r="BN331" s="11">
        <v>0</v>
      </c>
      <c r="BO331" s="10"/>
      <c r="BP331" s="10"/>
      <c r="BQ331" s="11">
        <v>0</v>
      </c>
      <c r="BR331" s="10"/>
      <c r="BS331" s="10"/>
      <c r="BT331" s="11">
        <v>0</v>
      </c>
      <c r="BU331" s="10"/>
      <c r="BV331" s="10"/>
      <c r="BW331" s="11">
        <v>0</v>
      </c>
      <c r="BX331" s="10"/>
      <c r="BY331" s="10"/>
      <c r="BZ331" s="11">
        <v>0</v>
      </c>
      <c r="CA331" s="10"/>
      <c r="CB331" s="10"/>
      <c r="CC331" s="11">
        <v>0</v>
      </c>
      <c r="CD331" s="10"/>
      <c r="CE331" s="10"/>
      <c r="CF331" s="11">
        <v>0</v>
      </c>
      <c r="CG331" s="10"/>
      <c r="CH331" s="10"/>
      <c r="CI331" s="11">
        <v>0</v>
      </c>
      <c r="CJ331" s="10"/>
      <c r="CK331" s="10"/>
      <c r="CL331" s="11">
        <v>0</v>
      </c>
      <c r="CM331" s="10"/>
      <c r="CN331" s="10"/>
      <c r="CO331" s="11">
        <v>0</v>
      </c>
      <c r="CP331" s="10"/>
      <c r="CQ331" s="10"/>
      <c r="CR331" s="11">
        <v>0</v>
      </c>
      <c r="CS331" s="10"/>
      <c r="CT331" s="10"/>
      <c r="CU331" s="11">
        <v>0</v>
      </c>
      <c r="CV331" s="10"/>
      <c r="CW331" s="10"/>
      <c r="CX331" s="11">
        <v>0</v>
      </c>
      <c r="CY331" s="10"/>
      <c r="CZ331" s="10"/>
      <c r="DA331" s="11">
        <v>0</v>
      </c>
      <c r="DB331" s="10">
        <v>1300000</v>
      </c>
      <c r="DC331" s="10"/>
      <c r="DD331" s="15">
        <f t="shared" si="539"/>
        <v>0</v>
      </c>
      <c r="DE331" s="16"/>
    </row>
    <row r="332" spans="1:109" x14ac:dyDescent="0.35">
      <c r="A332" s="8" t="s">
        <v>725</v>
      </c>
      <c r="B332" s="9" t="s">
        <v>77</v>
      </c>
      <c r="C332" s="9" t="s">
        <v>43</v>
      </c>
      <c r="D332" s="9" t="s">
        <v>726</v>
      </c>
      <c r="E332" s="9" t="s">
        <v>61</v>
      </c>
      <c r="F332" s="9" t="s">
        <v>62</v>
      </c>
      <c r="G332" s="10"/>
      <c r="H332" s="10"/>
      <c r="I332" s="11">
        <v>0</v>
      </c>
      <c r="J332" s="10"/>
      <c r="K332" s="10"/>
      <c r="L332" s="12">
        <v>0</v>
      </c>
      <c r="M332" s="10"/>
      <c r="N332" s="10"/>
      <c r="O332" s="11">
        <v>0</v>
      </c>
      <c r="P332" s="10">
        <v>500000</v>
      </c>
      <c r="Q332" s="10">
        <v>604200</v>
      </c>
      <c r="R332" s="11">
        <f t="shared" ref="R332" si="541">Q332/P332</f>
        <v>1.2083999999999999</v>
      </c>
      <c r="S332" s="10"/>
      <c r="T332" s="10"/>
      <c r="U332" s="11">
        <v>0</v>
      </c>
      <c r="V332" s="10"/>
      <c r="W332" s="10"/>
      <c r="X332" s="11">
        <v>0</v>
      </c>
      <c r="Y332" s="10"/>
      <c r="Z332" s="10"/>
      <c r="AA332" s="11"/>
      <c r="AB332" s="10"/>
      <c r="AC332" s="10"/>
      <c r="AD332" s="11">
        <v>0</v>
      </c>
      <c r="AE332" s="10"/>
      <c r="AF332" s="10"/>
      <c r="AG332" s="11">
        <v>0</v>
      </c>
      <c r="AH332" s="10"/>
      <c r="AI332" s="10"/>
      <c r="AJ332" s="11">
        <v>0</v>
      </c>
      <c r="AK332" s="10"/>
      <c r="AL332" s="10"/>
      <c r="AM332" s="11">
        <v>0</v>
      </c>
      <c r="AN332" s="10"/>
      <c r="AO332" s="10"/>
      <c r="AP332" s="11">
        <v>0</v>
      </c>
      <c r="AQ332" s="10"/>
      <c r="AR332" s="10"/>
      <c r="AS332" s="11">
        <v>0</v>
      </c>
      <c r="AT332" s="10"/>
      <c r="AU332" s="10"/>
      <c r="AV332" s="11">
        <v>0</v>
      </c>
      <c r="AW332" s="10"/>
      <c r="AX332" s="10"/>
      <c r="AY332" s="11">
        <v>0</v>
      </c>
      <c r="AZ332" s="10"/>
      <c r="BA332" s="10"/>
      <c r="BB332" s="11">
        <v>0</v>
      </c>
      <c r="BC332" s="10"/>
      <c r="BD332" s="10"/>
      <c r="BE332" s="11">
        <v>0</v>
      </c>
      <c r="BF332" s="10"/>
      <c r="BG332" s="10"/>
      <c r="BH332" s="11">
        <v>0</v>
      </c>
      <c r="BI332" s="10"/>
      <c r="BJ332" s="10"/>
      <c r="BK332" s="11">
        <v>0</v>
      </c>
      <c r="BL332" s="10"/>
      <c r="BM332" s="10"/>
      <c r="BN332" s="11">
        <v>0</v>
      </c>
      <c r="BO332" s="10"/>
      <c r="BP332" s="10"/>
      <c r="BQ332" s="11">
        <v>0</v>
      </c>
      <c r="BR332" s="10"/>
      <c r="BS332" s="10"/>
      <c r="BT332" s="11">
        <v>0</v>
      </c>
      <c r="BU332" s="10"/>
      <c r="BV332" s="10"/>
      <c r="BW332" s="11">
        <v>0</v>
      </c>
      <c r="BX332" s="10"/>
      <c r="BY332" s="10"/>
      <c r="BZ332" s="11">
        <v>0</v>
      </c>
      <c r="CA332" s="10"/>
      <c r="CB332" s="10"/>
      <c r="CC332" s="11">
        <v>0</v>
      </c>
      <c r="CD332" s="10"/>
      <c r="CE332" s="10"/>
      <c r="CF332" s="11">
        <v>0</v>
      </c>
      <c r="CG332" s="10"/>
      <c r="CH332" s="10"/>
      <c r="CI332" s="11">
        <v>0</v>
      </c>
      <c r="CJ332" s="10"/>
      <c r="CK332" s="10"/>
      <c r="CL332" s="11">
        <v>0</v>
      </c>
      <c r="CM332" s="10"/>
      <c r="CN332" s="10"/>
      <c r="CO332" s="11">
        <v>0</v>
      </c>
      <c r="CP332" s="10"/>
      <c r="CQ332" s="10"/>
      <c r="CR332" s="11">
        <v>0</v>
      </c>
      <c r="CS332" s="10"/>
      <c r="CT332" s="10"/>
      <c r="CU332" s="11">
        <v>0</v>
      </c>
      <c r="CV332" s="10"/>
      <c r="CW332" s="10"/>
      <c r="CX332" s="11">
        <v>0</v>
      </c>
      <c r="CY332" s="10"/>
      <c r="CZ332" s="10"/>
      <c r="DA332" s="11">
        <v>0</v>
      </c>
      <c r="DB332" s="10">
        <v>500000</v>
      </c>
      <c r="DC332" s="10">
        <f t="shared" ref="DC332" si="542">SUM(H332,K332,N332,Q332,T332,W332,Z332,AC332,AF332,AI332,AL332,AO332,AR332,AU332,AX332,BA332,BD332,BG332,BJ332,BM332,BP332,BS332,BV332,BY332,CB332,CE332,CH332,CK332,CN332,CQ332,CT332,CW332,CZ332)</f>
        <v>604200</v>
      </c>
      <c r="DD332" s="13">
        <f t="shared" si="539"/>
        <v>1.2083999999999999</v>
      </c>
      <c r="DE332" s="14"/>
    </row>
    <row r="333" spans="1:109" x14ac:dyDescent="0.35">
      <c r="A333" s="8" t="s">
        <v>727</v>
      </c>
      <c r="B333" s="9" t="s">
        <v>42</v>
      </c>
      <c r="C333" s="9" t="s">
        <v>43</v>
      </c>
      <c r="D333" s="9" t="s">
        <v>728</v>
      </c>
      <c r="E333" s="9" t="s">
        <v>45</v>
      </c>
      <c r="F333" s="9" t="s">
        <v>46</v>
      </c>
      <c r="G333" s="10"/>
      <c r="H333" s="10"/>
      <c r="I333" s="11">
        <v>0</v>
      </c>
      <c r="J333" s="10"/>
      <c r="K333" s="10"/>
      <c r="L333" s="12">
        <v>0</v>
      </c>
      <c r="M333" s="10"/>
      <c r="N333" s="10"/>
      <c r="O333" s="11">
        <v>0</v>
      </c>
      <c r="P333" s="10"/>
      <c r="Q333" s="10"/>
      <c r="R333" s="11">
        <v>0</v>
      </c>
      <c r="S333" s="10"/>
      <c r="T333" s="10"/>
      <c r="U333" s="11">
        <v>0</v>
      </c>
      <c r="V333" s="10"/>
      <c r="W333" s="10"/>
      <c r="X333" s="11">
        <v>0</v>
      </c>
      <c r="Y333" s="10"/>
      <c r="Z333" s="10"/>
      <c r="AA333" s="11"/>
      <c r="AB333" s="10"/>
      <c r="AC333" s="10"/>
      <c r="AD333" s="11">
        <v>0</v>
      </c>
      <c r="AE333" s="10"/>
      <c r="AF333" s="10"/>
      <c r="AG333" s="11">
        <v>0</v>
      </c>
      <c r="AH333" s="10"/>
      <c r="AI333" s="10"/>
      <c r="AJ333" s="11">
        <v>0</v>
      </c>
      <c r="AK333" s="10"/>
      <c r="AL333" s="10"/>
      <c r="AM333" s="11">
        <v>0</v>
      </c>
      <c r="AN333" s="10"/>
      <c r="AO333" s="10"/>
      <c r="AP333" s="11">
        <v>0</v>
      </c>
      <c r="AQ333" s="10"/>
      <c r="AR333" s="10"/>
      <c r="AS333" s="11">
        <v>0</v>
      </c>
      <c r="AT333" s="10"/>
      <c r="AU333" s="10"/>
      <c r="AV333" s="11">
        <v>0</v>
      </c>
      <c r="AW333" s="10"/>
      <c r="AX333" s="10"/>
      <c r="AY333" s="11">
        <v>0</v>
      </c>
      <c r="AZ333" s="10"/>
      <c r="BA333" s="10"/>
      <c r="BB333" s="11">
        <v>0</v>
      </c>
      <c r="BC333" s="10"/>
      <c r="BD333" s="10"/>
      <c r="BE333" s="11">
        <v>0</v>
      </c>
      <c r="BF333" s="10"/>
      <c r="BG333" s="10"/>
      <c r="BH333" s="11">
        <v>0</v>
      </c>
      <c r="BI333" s="10"/>
      <c r="BJ333" s="10"/>
      <c r="BK333" s="11">
        <v>0</v>
      </c>
      <c r="BL333" s="10"/>
      <c r="BM333" s="10"/>
      <c r="BN333" s="11">
        <v>0</v>
      </c>
      <c r="BO333" s="10"/>
      <c r="BP333" s="10"/>
      <c r="BQ333" s="11">
        <v>0</v>
      </c>
      <c r="BR333" s="10">
        <v>100000</v>
      </c>
      <c r="BS333" s="10"/>
      <c r="BT333" s="11">
        <f t="shared" ref="BT333" si="543">BS333/BR333</f>
        <v>0</v>
      </c>
      <c r="BU333" s="10">
        <v>50000</v>
      </c>
      <c r="BV333" s="10"/>
      <c r="BW333" s="11">
        <f t="shared" ref="BW333" si="544">BV333/BU333</f>
        <v>0</v>
      </c>
      <c r="BX333" s="10"/>
      <c r="BY333" s="10"/>
      <c r="BZ333" s="11">
        <v>0</v>
      </c>
      <c r="CA333" s="10"/>
      <c r="CB333" s="10"/>
      <c r="CC333" s="11">
        <v>0</v>
      </c>
      <c r="CD333" s="10"/>
      <c r="CE333" s="10"/>
      <c r="CF333" s="11">
        <v>0</v>
      </c>
      <c r="CG333" s="10">
        <v>20000</v>
      </c>
      <c r="CH333" s="10"/>
      <c r="CI333" s="11">
        <f t="shared" si="538"/>
        <v>0</v>
      </c>
      <c r="CJ333" s="10"/>
      <c r="CK333" s="10"/>
      <c r="CL333" s="11">
        <v>0</v>
      </c>
      <c r="CM333" s="10"/>
      <c r="CN333" s="10"/>
      <c r="CO333" s="11">
        <v>0</v>
      </c>
      <c r="CP333" s="10"/>
      <c r="CQ333" s="10"/>
      <c r="CR333" s="11">
        <v>0</v>
      </c>
      <c r="CS333" s="10"/>
      <c r="CT333" s="10"/>
      <c r="CU333" s="11">
        <v>0</v>
      </c>
      <c r="CV333" s="10"/>
      <c r="CW333" s="10"/>
      <c r="CX333" s="11">
        <v>0</v>
      </c>
      <c r="CY333" s="10"/>
      <c r="CZ333" s="10"/>
      <c r="DA333" s="11">
        <v>0</v>
      </c>
      <c r="DB333" s="10">
        <v>170000</v>
      </c>
      <c r="DC333" s="10"/>
      <c r="DD333" s="15">
        <f t="shared" si="539"/>
        <v>0</v>
      </c>
      <c r="DE333" s="16"/>
    </row>
    <row r="334" spans="1:109" x14ac:dyDescent="0.35">
      <c r="A334" s="8" t="s">
        <v>729</v>
      </c>
      <c r="B334" s="9" t="s">
        <v>48</v>
      </c>
      <c r="C334" s="9" t="s">
        <v>43</v>
      </c>
      <c r="D334" s="9" t="s">
        <v>730</v>
      </c>
      <c r="E334" s="9" t="s">
        <v>45</v>
      </c>
      <c r="F334" s="9" t="s">
        <v>46</v>
      </c>
      <c r="G334" s="10"/>
      <c r="H334" s="10"/>
      <c r="I334" s="11">
        <v>0</v>
      </c>
      <c r="J334" s="10"/>
      <c r="K334" s="10"/>
      <c r="L334" s="12">
        <v>0</v>
      </c>
      <c r="M334" s="10"/>
      <c r="N334" s="10"/>
      <c r="O334" s="11">
        <v>0</v>
      </c>
      <c r="P334" s="10"/>
      <c r="Q334" s="10"/>
      <c r="R334" s="11">
        <v>0</v>
      </c>
      <c r="S334" s="10"/>
      <c r="T334" s="10"/>
      <c r="U334" s="11">
        <v>0</v>
      </c>
      <c r="V334" s="10"/>
      <c r="W334" s="10"/>
      <c r="X334" s="11">
        <v>0</v>
      </c>
      <c r="Y334" s="10"/>
      <c r="Z334" s="10"/>
      <c r="AA334" s="11"/>
      <c r="AB334" s="10"/>
      <c r="AC334" s="10"/>
      <c r="AD334" s="11">
        <v>0</v>
      </c>
      <c r="AE334" s="10"/>
      <c r="AF334" s="10"/>
      <c r="AG334" s="11">
        <v>0</v>
      </c>
      <c r="AH334" s="10"/>
      <c r="AI334" s="10"/>
      <c r="AJ334" s="11">
        <v>0</v>
      </c>
      <c r="AK334" s="10"/>
      <c r="AL334" s="10"/>
      <c r="AM334" s="11">
        <v>0</v>
      </c>
      <c r="AN334" s="10"/>
      <c r="AO334" s="10"/>
      <c r="AP334" s="11">
        <v>0</v>
      </c>
      <c r="AQ334" s="10"/>
      <c r="AR334" s="10"/>
      <c r="AS334" s="11">
        <v>0</v>
      </c>
      <c r="AT334" s="10"/>
      <c r="AU334" s="10"/>
      <c r="AV334" s="11">
        <v>0</v>
      </c>
      <c r="AW334" s="10"/>
      <c r="AX334" s="10"/>
      <c r="AY334" s="11">
        <v>0</v>
      </c>
      <c r="AZ334" s="10"/>
      <c r="BA334" s="10"/>
      <c r="BB334" s="11">
        <v>0</v>
      </c>
      <c r="BC334" s="10"/>
      <c r="BD334" s="10"/>
      <c r="BE334" s="11">
        <v>0</v>
      </c>
      <c r="BF334" s="10"/>
      <c r="BG334" s="10"/>
      <c r="BH334" s="11">
        <v>0</v>
      </c>
      <c r="BI334" s="10"/>
      <c r="BJ334" s="10"/>
      <c r="BK334" s="11">
        <v>0</v>
      </c>
      <c r="BL334" s="10"/>
      <c r="BM334" s="10"/>
      <c r="BN334" s="11">
        <v>0</v>
      </c>
      <c r="BO334" s="10"/>
      <c r="BP334" s="10"/>
      <c r="BQ334" s="11">
        <v>0</v>
      </c>
      <c r="BR334" s="10"/>
      <c r="BS334" s="10"/>
      <c r="BT334" s="11">
        <v>0</v>
      </c>
      <c r="BU334" s="10"/>
      <c r="BV334" s="10"/>
      <c r="BW334" s="11">
        <v>0</v>
      </c>
      <c r="BX334" s="10"/>
      <c r="BY334" s="10"/>
      <c r="BZ334" s="11">
        <v>0</v>
      </c>
      <c r="CA334" s="10"/>
      <c r="CB334" s="10"/>
      <c r="CC334" s="11">
        <v>0</v>
      </c>
      <c r="CD334" s="10"/>
      <c r="CE334" s="10"/>
      <c r="CF334" s="11">
        <v>0</v>
      </c>
      <c r="CG334" s="10"/>
      <c r="CH334" s="10"/>
      <c r="CI334" s="11">
        <v>0</v>
      </c>
      <c r="CJ334" s="10"/>
      <c r="CK334" s="10"/>
      <c r="CL334" s="11">
        <v>0</v>
      </c>
      <c r="CM334" s="10"/>
      <c r="CN334" s="10"/>
      <c r="CO334" s="11">
        <v>0</v>
      </c>
      <c r="CP334" s="10"/>
      <c r="CQ334" s="10"/>
      <c r="CR334" s="11">
        <v>0</v>
      </c>
      <c r="CS334" s="10"/>
      <c r="CT334" s="10"/>
      <c r="CU334" s="11">
        <v>0</v>
      </c>
      <c r="CV334" s="10"/>
      <c r="CW334" s="10"/>
      <c r="CX334" s="11">
        <v>0</v>
      </c>
      <c r="CY334" s="10"/>
      <c r="CZ334" s="10"/>
      <c r="DA334" s="11">
        <v>0</v>
      </c>
      <c r="DB334" s="10"/>
      <c r="DC334" s="10"/>
      <c r="DD334" s="13">
        <v>0</v>
      </c>
      <c r="DE334" s="14"/>
    </row>
    <row r="335" spans="1:109" x14ac:dyDescent="0.35">
      <c r="A335" s="8" t="s">
        <v>731</v>
      </c>
      <c r="B335" s="9" t="s">
        <v>77</v>
      </c>
      <c r="C335" s="9" t="s">
        <v>43</v>
      </c>
      <c r="D335" s="9" t="s">
        <v>732</v>
      </c>
      <c r="E335" s="9" t="s">
        <v>61</v>
      </c>
      <c r="F335" s="9" t="s">
        <v>62</v>
      </c>
      <c r="G335" s="10"/>
      <c r="H335" s="10"/>
      <c r="I335" s="11">
        <v>0</v>
      </c>
      <c r="J335" s="10"/>
      <c r="K335" s="10"/>
      <c r="L335" s="12">
        <v>0</v>
      </c>
      <c r="M335" s="10"/>
      <c r="N335" s="10"/>
      <c r="O335" s="11">
        <v>0</v>
      </c>
      <c r="P335" s="10"/>
      <c r="Q335" s="10"/>
      <c r="R335" s="11">
        <v>0</v>
      </c>
      <c r="S335" s="10"/>
      <c r="T335" s="10"/>
      <c r="U335" s="11">
        <v>0</v>
      </c>
      <c r="V335" s="10">
        <v>500000</v>
      </c>
      <c r="W335" s="10">
        <v>86400</v>
      </c>
      <c r="X335" s="11">
        <v>0.17280000000000001</v>
      </c>
      <c r="Y335" s="10"/>
      <c r="Z335" s="10"/>
      <c r="AA335" s="11"/>
      <c r="AB335" s="10"/>
      <c r="AC335" s="10"/>
      <c r="AD335" s="11">
        <v>0</v>
      </c>
      <c r="AE335" s="10"/>
      <c r="AF335" s="10"/>
      <c r="AG335" s="11">
        <v>0</v>
      </c>
      <c r="AH335" s="10"/>
      <c r="AI335" s="10"/>
      <c r="AJ335" s="11">
        <v>0</v>
      </c>
      <c r="AK335" s="10"/>
      <c r="AL335" s="10"/>
      <c r="AM335" s="11">
        <v>0</v>
      </c>
      <c r="AN335" s="10"/>
      <c r="AO335" s="10"/>
      <c r="AP335" s="11">
        <v>0</v>
      </c>
      <c r="AQ335" s="10"/>
      <c r="AR335" s="10"/>
      <c r="AS335" s="11">
        <v>0</v>
      </c>
      <c r="AT335" s="10"/>
      <c r="AU335" s="10"/>
      <c r="AV335" s="11">
        <v>0</v>
      </c>
      <c r="AW335" s="10"/>
      <c r="AX335" s="10"/>
      <c r="AY335" s="11">
        <v>0</v>
      </c>
      <c r="AZ335" s="10"/>
      <c r="BA335" s="10"/>
      <c r="BB335" s="11">
        <v>0</v>
      </c>
      <c r="BC335" s="10"/>
      <c r="BD335" s="10"/>
      <c r="BE335" s="11">
        <v>0</v>
      </c>
      <c r="BF335" s="10"/>
      <c r="BG335" s="10"/>
      <c r="BH335" s="11">
        <v>0</v>
      </c>
      <c r="BI335" s="10"/>
      <c r="BJ335" s="10"/>
      <c r="BK335" s="11">
        <v>0</v>
      </c>
      <c r="BL335" s="10"/>
      <c r="BM335" s="10"/>
      <c r="BN335" s="11">
        <v>0</v>
      </c>
      <c r="BO335" s="10"/>
      <c r="BP335" s="10"/>
      <c r="BQ335" s="11">
        <v>0</v>
      </c>
      <c r="BR335" s="10"/>
      <c r="BS335" s="10"/>
      <c r="BT335" s="11">
        <v>0</v>
      </c>
      <c r="BU335" s="10"/>
      <c r="BV335" s="10"/>
      <c r="BW335" s="11">
        <v>0</v>
      </c>
      <c r="BX335" s="10"/>
      <c r="BY335" s="10"/>
      <c r="BZ335" s="11">
        <v>0</v>
      </c>
      <c r="CA335" s="10"/>
      <c r="CB335" s="10"/>
      <c r="CC335" s="11">
        <v>0</v>
      </c>
      <c r="CD335" s="10"/>
      <c r="CE335" s="10"/>
      <c r="CF335" s="11">
        <v>0</v>
      </c>
      <c r="CG335" s="10"/>
      <c r="CH335" s="10"/>
      <c r="CI335" s="11">
        <v>0</v>
      </c>
      <c r="CJ335" s="10"/>
      <c r="CK335" s="10"/>
      <c r="CL335" s="11">
        <v>0</v>
      </c>
      <c r="CM335" s="10"/>
      <c r="CN335" s="10"/>
      <c r="CO335" s="11">
        <v>0</v>
      </c>
      <c r="CP335" s="10"/>
      <c r="CQ335" s="10"/>
      <c r="CR335" s="11">
        <v>0</v>
      </c>
      <c r="CS335" s="10"/>
      <c r="CT335" s="10"/>
      <c r="CU335" s="11">
        <v>0</v>
      </c>
      <c r="CV335" s="10"/>
      <c r="CW335" s="10"/>
      <c r="CX335" s="11">
        <v>0</v>
      </c>
      <c r="CY335" s="10"/>
      <c r="CZ335" s="10"/>
      <c r="DA335" s="11">
        <v>0</v>
      </c>
      <c r="DB335" s="10">
        <v>500000</v>
      </c>
      <c r="DC335" s="10">
        <f t="shared" ref="DC335:DC338" si="545">SUM(H335,K335,N335,Q335,T335,W335,Z335,AC335,AF335,AI335,AL335,AO335,AR335,AU335,AX335,BA335,BD335,BG335,BJ335,BM335,BP335,BS335,BV335,BY335,CB335,CE335,CH335,CK335,CN335,CQ335,CT335,CW335,CZ335)</f>
        <v>86400</v>
      </c>
      <c r="DD335" s="13">
        <f t="shared" ref="DD335:DD339" si="546">DC335/DB335</f>
        <v>0.17280000000000001</v>
      </c>
      <c r="DE335" s="14"/>
    </row>
    <row r="336" spans="1:109" x14ac:dyDescent="0.35">
      <c r="A336" s="8" t="s">
        <v>733</v>
      </c>
      <c r="B336" s="9" t="s">
        <v>48</v>
      </c>
      <c r="C336" s="9" t="s">
        <v>43</v>
      </c>
      <c r="D336" s="9" t="s">
        <v>734</v>
      </c>
      <c r="E336" s="9" t="s">
        <v>45</v>
      </c>
      <c r="F336" s="9" t="s">
        <v>46</v>
      </c>
      <c r="G336" s="10"/>
      <c r="H336" s="10"/>
      <c r="I336" s="11">
        <v>0</v>
      </c>
      <c r="J336" s="10"/>
      <c r="K336" s="10"/>
      <c r="L336" s="12">
        <v>0</v>
      </c>
      <c r="M336" s="10">
        <v>112000</v>
      </c>
      <c r="N336" s="10"/>
      <c r="O336" s="11">
        <f t="shared" ref="O336" si="547">N336/M336</f>
        <v>0</v>
      </c>
      <c r="P336" s="10"/>
      <c r="Q336" s="10"/>
      <c r="R336" s="11">
        <v>0</v>
      </c>
      <c r="S336" s="10"/>
      <c r="T336" s="10"/>
      <c r="U336" s="11">
        <v>0</v>
      </c>
      <c r="V336" s="10"/>
      <c r="W336" s="10"/>
      <c r="X336" s="11">
        <v>0</v>
      </c>
      <c r="Y336" s="10"/>
      <c r="Z336" s="10"/>
      <c r="AA336" s="11"/>
      <c r="AB336" s="10"/>
      <c r="AC336" s="10"/>
      <c r="AD336" s="11">
        <v>0</v>
      </c>
      <c r="AE336" s="10"/>
      <c r="AF336" s="10"/>
      <c r="AG336" s="11">
        <v>0</v>
      </c>
      <c r="AH336" s="10"/>
      <c r="AI336" s="10"/>
      <c r="AJ336" s="11">
        <v>0</v>
      </c>
      <c r="AK336" s="10"/>
      <c r="AL336" s="10"/>
      <c r="AM336" s="11">
        <v>0</v>
      </c>
      <c r="AN336" s="10"/>
      <c r="AO336" s="10"/>
      <c r="AP336" s="11">
        <v>0</v>
      </c>
      <c r="AQ336" s="10"/>
      <c r="AR336" s="10"/>
      <c r="AS336" s="11">
        <v>0</v>
      </c>
      <c r="AT336" s="10"/>
      <c r="AU336" s="10"/>
      <c r="AV336" s="11">
        <v>0</v>
      </c>
      <c r="AW336" s="10"/>
      <c r="AX336" s="10"/>
      <c r="AY336" s="11">
        <v>0</v>
      </c>
      <c r="AZ336" s="10"/>
      <c r="BA336" s="10"/>
      <c r="BB336" s="11">
        <v>0</v>
      </c>
      <c r="BC336" s="10"/>
      <c r="BD336" s="10"/>
      <c r="BE336" s="11">
        <v>0</v>
      </c>
      <c r="BF336" s="10"/>
      <c r="BG336" s="10"/>
      <c r="BH336" s="11">
        <v>0</v>
      </c>
      <c r="BI336" s="10"/>
      <c r="BJ336" s="10"/>
      <c r="BK336" s="11">
        <v>0</v>
      </c>
      <c r="BL336" s="10"/>
      <c r="BM336" s="10"/>
      <c r="BN336" s="11">
        <v>0</v>
      </c>
      <c r="BO336" s="10"/>
      <c r="BP336" s="10"/>
      <c r="BQ336" s="11">
        <v>0</v>
      </c>
      <c r="BR336" s="10"/>
      <c r="BS336" s="10"/>
      <c r="BT336" s="11">
        <v>0</v>
      </c>
      <c r="BU336" s="10"/>
      <c r="BV336" s="10"/>
      <c r="BW336" s="11">
        <v>0</v>
      </c>
      <c r="BX336" s="10">
        <v>15900</v>
      </c>
      <c r="BY336" s="10"/>
      <c r="BZ336" s="11">
        <f t="shared" ref="BZ336" si="548">BY336/BX336</f>
        <v>0</v>
      </c>
      <c r="CA336" s="10"/>
      <c r="CB336" s="10"/>
      <c r="CC336" s="11">
        <v>0</v>
      </c>
      <c r="CD336" s="10"/>
      <c r="CE336" s="10"/>
      <c r="CF336" s="11">
        <v>0</v>
      </c>
      <c r="CG336" s="10"/>
      <c r="CH336" s="10"/>
      <c r="CI336" s="11">
        <v>0</v>
      </c>
      <c r="CJ336" s="10"/>
      <c r="CK336" s="10"/>
      <c r="CL336" s="11">
        <v>0</v>
      </c>
      <c r="CM336" s="10"/>
      <c r="CN336" s="10"/>
      <c r="CO336" s="11">
        <v>0</v>
      </c>
      <c r="CP336" s="10"/>
      <c r="CQ336" s="10"/>
      <c r="CR336" s="11">
        <v>0</v>
      </c>
      <c r="CS336" s="10"/>
      <c r="CT336" s="10"/>
      <c r="CU336" s="11">
        <v>0</v>
      </c>
      <c r="CV336" s="10"/>
      <c r="CW336" s="10"/>
      <c r="CX336" s="11">
        <v>0</v>
      </c>
      <c r="CY336" s="10"/>
      <c r="CZ336" s="10"/>
      <c r="DA336" s="11">
        <v>0</v>
      </c>
      <c r="DB336" s="10">
        <v>127900</v>
      </c>
      <c r="DC336" s="10"/>
      <c r="DD336" s="15">
        <f t="shared" si="546"/>
        <v>0</v>
      </c>
      <c r="DE336" s="16"/>
    </row>
    <row r="337" spans="1:109" x14ac:dyDescent="0.35">
      <c r="A337" s="8" t="s">
        <v>735</v>
      </c>
      <c r="B337" s="9" t="s">
        <v>51</v>
      </c>
      <c r="C337" s="9" t="s">
        <v>52</v>
      </c>
      <c r="D337" s="9" t="s">
        <v>736</v>
      </c>
      <c r="E337" s="9" t="s">
        <v>54</v>
      </c>
      <c r="F337" s="9" t="s">
        <v>55</v>
      </c>
      <c r="G337" s="10"/>
      <c r="H337" s="10"/>
      <c r="I337" s="11">
        <v>0</v>
      </c>
      <c r="J337" s="10"/>
      <c r="K337" s="10"/>
      <c r="L337" s="12">
        <v>0</v>
      </c>
      <c r="M337" s="10"/>
      <c r="N337" s="10"/>
      <c r="O337" s="11">
        <v>0</v>
      </c>
      <c r="P337" s="10"/>
      <c r="Q337" s="10"/>
      <c r="R337" s="11">
        <v>0</v>
      </c>
      <c r="S337" s="10"/>
      <c r="T337" s="10"/>
      <c r="U337" s="11">
        <v>0</v>
      </c>
      <c r="V337" s="10"/>
      <c r="W337" s="10"/>
      <c r="X337" s="11">
        <v>0</v>
      </c>
      <c r="Y337" s="10"/>
      <c r="Z337" s="10"/>
      <c r="AA337" s="11"/>
      <c r="AB337" s="10"/>
      <c r="AC337" s="10"/>
      <c r="AD337" s="11">
        <v>0</v>
      </c>
      <c r="AE337" s="10"/>
      <c r="AF337" s="10"/>
      <c r="AG337" s="11">
        <v>0</v>
      </c>
      <c r="AH337" s="10"/>
      <c r="AI337" s="10"/>
      <c r="AJ337" s="11">
        <v>0</v>
      </c>
      <c r="AK337" s="10"/>
      <c r="AL337" s="10"/>
      <c r="AM337" s="11">
        <v>0</v>
      </c>
      <c r="AN337" s="10"/>
      <c r="AO337" s="10"/>
      <c r="AP337" s="11">
        <v>0</v>
      </c>
      <c r="AQ337" s="10"/>
      <c r="AR337" s="10"/>
      <c r="AS337" s="11">
        <v>0</v>
      </c>
      <c r="AT337" s="10"/>
      <c r="AU337" s="10"/>
      <c r="AV337" s="11">
        <v>0</v>
      </c>
      <c r="AW337" s="10"/>
      <c r="AX337" s="10"/>
      <c r="AY337" s="11">
        <v>0</v>
      </c>
      <c r="AZ337" s="10"/>
      <c r="BA337" s="10"/>
      <c r="BB337" s="11">
        <v>0</v>
      </c>
      <c r="BC337" s="10"/>
      <c r="BD337" s="10"/>
      <c r="BE337" s="11">
        <v>0</v>
      </c>
      <c r="BF337" s="10"/>
      <c r="BG337" s="10"/>
      <c r="BH337" s="11">
        <v>0</v>
      </c>
      <c r="BI337" s="10"/>
      <c r="BJ337" s="10"/>
      <c r="BK337" s="11">
        <v>0</v>
      </c>
      <c r="BL337" s="10"/>
      <c r="BM337" s="10"/>
      <c r="BN337" s="11">
        <v>0</v>
      </c>
      <c r="BO337" s="10"/>
      <c r="BP337" s="10"/>
      <c r="BQ337" s="11">
        <v>0</v>
      </c>
      <c r="BR337" s="10"/>
      <c r="BS337" s="10"/>
      <c r="BT337" s="11">
        <v>0</v>
      </c>
      <c r="BU337" s="10"/>
      <c r="BV337" s="10">
        <v>14300</v>
      </c>
      <c r="BW337" s="11">
        <v>0</v>
      </c>
      <c r="BX337" s="10"/>
      <c r="BY337" s="10"/>
      <c r="BZ337" s="11">
        <v>0</v>
      </c>
      <c r="CA337" s="10"/>
      <c r="CB337" s="10"/>
      <c r="CC337" s="11">
        <v>0</v>
      </c>
      <c r="CD337" s="10"/>
      <c r="CE337" s="10"/>
      <c r="CF337" s="11">
        <v>0</v>
      </c>
      <c r="CG337" s="10">
        <v>8000</v>
      </c>
      <c r="CH337" s="10">
        <v>19200</v>
      </c>
      <c r="CI337" s="11">
        <f t="shared" ref="CI337" si="549">CH337/CG337</f>
        <v>2.4</v>
      </c>
      <c r="CJ337" s="10"/>
      <c r="CK337" s="10"/>
      <c r="CL337" s="11">
        <v>0</v>
      </c>
      <c r="CM337" s="10"/>
      <c r="CN337" s="10"/>
      <c r="CO337" s="11">
        <v>0</v>
      </c>
      <c r="CP337" s="10"/>
      <c r="CQ337" s="10"/>
      <c r="CR337" s="11">
        <v>0</v>
      </c>
      <c r="CS337" s="10"/>
      <c r="CT337" s="10">
        <v>15000</v>
      </c>
      <c r="CU337" s="11">
        <v>0</v>
      </c>
      <c r="CV337" s="10"/>
      <c r="CW337" s="10"/>
      <c r="CX337" s="11">
        <v>0</v>
      </c>
      <c r="CY337" s="10"/>
      <c r="CZ337" s="10"/>
      <c r="DA337" s="11">
        <v>0</v>
      </c>
      <c r="DB337" s="10">
        <v>8000</v>
      </c>
      <c r="DC337" s="10">
        <f t="shared" si="545"/>
        <v>48500</v>
      </c>
      <c r="DD337" s="13">
        <f t="shared" si="546"/>
        <v>6.0625</v>
      </c>
      <c r="DE337" s="14"/>
    </row>
    <row r="338" spans="1:109" x14ac:dyDescent="0.35">
      <c r="A338" s="8" t="s">
        <v>737</v>
      </c>
      <c r="B338" s="9" t="s">
        <v>74</v>
      </c>
      <c r="C338" s="9" t="s">
        <v>52</v>
      </c>
      <c r="D338" s="9" t="s">
        <v>738</v>
      </c>
      <c r="E338" s="9" t="s">
        <v>54</v>
      </c>
      <c r="F338" s="9" t="s">
        <v>55</v>
      </c>
      <c r="G338" s="10"/>
      <c r="H338" s="10"/>
      <c r="I338" s="11">
        <v>0</v>
      </c>
      <c r="J338" s="10"/>
      <c r="K338" s="10"/>
      <c r="L338" s="12">
        <v>0</v>
      </c>
      <c r="M338" s="10"/>
      <c r="N338" s="10"/>
      <c r="O338" s="11">
        <v>0</v>
      </c>
      <c r="P338" s="10"/>
      <c r="Q338" s="10"/>
      <c r="R338" s="11">
        <v>0</v>
      </c>
      <c r="S338" s="10"/>
      <c r="T338" s="10"/>
      <c r="U338" s="11">
        <v>0</v>
      </c>
      <c r="V338" s="10"/>
      <c r="W338" s="10"/>
      <c r="X338" s="11">
        <v>0</v>
      </c>
      <c r="Y338" s="10"/>
      <c r="Z338" s="10"/>
      <c r="AA338" s="11"/>
      <c r="AB338" s="10"/>
      <c r="AC338" s="10"/>
      <c r="AD338" s="11">
        <v>0</v>
      </c>
      <c r="AE338" s="10"/>
      <c r="AF338" s="10"/>
      <c r="AG338" s="11">
        <v>0</v>
      </c>
      <c r="AH338" s="10"/>
      <c r="AI338" s="10"/>
      <c r="AJ338" s="11">
        <v>0</v>
      </c>
      <c r="AK338" s="10"/>
      <c r="AL338" s="10"/>
      <c r="AM338" s="11">
        <v>0</v>
      </c>
      <c r="AN338" s="10"/>
      <c r="AO338" s="10"/>
      <c r="AP338" s="11">
        <v>0</v>
      </c>
      <c r="AQ338" s="10"/>
      <c r="AR338" s="10"/>
      <c r="AS338" s="11">
        <v>0</v>
      </c>
      <c r="AT338" s="10"/>
      <c r="AU338" s="10"/>
      <c r="AV338" s="11">
        <v>0</v>
      </c>
      <c r="AW338" s="10"/>
      <c r="AX338" s="10"/>
      <c r="AY338" s="11">
        <v>0</v>
      </c>
      <c r="AZ338" s="10"/>
      <c r="BA338" s="10"/>
      <c r="BB338" s="11">
        <v>0</v>
      </c>
      <c r="BC338" s="10"/>
      <c r="BD338" s="10"/>
      <c r="BE338" s="11">
        <v>0</v>
      </c>
      <c r="BF338" s="10"/>
      <c r="BG338" s="10"/>
      <c r="BH338" s="11">
        <v>0</v>
      </c>
      <c r="BI338" s="10"/>
      <c r="BJ338" s="10"/>
      <c r="BK338" s="11">
        <v>0</v>
      </c>
      <c r="BL338" s="10"/>
      <c r="BM338" s="10"/>
      <c r="BN338" s="11">
        <v>0</v>
      </c>
      <c r="BO338" s="10"/>
      <c r="BP338" s="10"/>
      <c r="BQ338" s="11">
        <v>0</v>
      </c>
      <c r="BR338" s="10"/>
      <c r="BS338" s="10"/>
      <c r="BT338" s="11">
        <v>0</v>
      </c>
      <c r="BU338" s="10"/>
      <c r="BV338" s="10"/>
      <c r="BW338" s="11">
        <v>0</v>
      </c>
      <c r="BX338" s="10"/>
      <c r="BY338" s="10"/>
      <c r="BZ338" s="11">
        <v>0</v>
      </c>
      <c r="CA338" s="10"/>
      <c r="CB338" s="10"/>
      <c r="CC338" s="11">
        <v>0</v>
      </c>
      <c r="CD338" s="10"/>
      <c r="CE338" s="10"/>
      <c r="CF338" s="11">
        <v>0</v>
      </c>
      <c r="CG338" s="10"/>
      <c r="CH338" s="10"/>
      <c r="CI338" s="11">
        <v>0</v>
      </c>
      <c r="CJ338" s="10"/>
      <c r="CK338" s="10"/>
      <c r="CL338" s="11">
        <v>0</v>
      </c>
      <c r="CM338" s="10"/>
      <c r="CN338" s="10"/>
      <c r="CO338" s="11">
        <v>0</v>
      </c>
      <c r="CP338" s="10">
        <v>50000</v>
      </c>
      <c r="CQ338" s="10">
        <v>22000</v>
      </c>
      <c r="CR338" s="11">
        <f t="shared" ref="CR338" si="550">CQ338/CP338</f>
        <v>0.44</v>
      </c>
      <c r="CS338" s="10"/>
      <c r="CT338" s="10"/>
      <c r="CU338" s="11">
        <v>0</v>
      </c>
      <c r="CV338" s="10"/>
      <c r="CW338" s="10"/>
      <c r="CX338" s="11">
        <v>0</v>
      </c>
      <c r="CY338" s="10">
        <v>50000</v>
      </c>
      <c r="CZ338" s="10"/>
      <c r="DA338" s="11">
        <f t="shared" ref="DA338" si="551">CZ338/CY338</f>
        <v>0</v>
      </c>
      <c r="DB338" s="10">
        <v>100000</v>
      </c>
      <c r="DC338" s="10">
        <f t="shared" si="545"/>
        <v>22000</v>
      </c>
      <c r="DD338" s="13">
        <f t="shared" si="546"/>
        <v>0.22</v>
      </c>
      <c r="DE338" s="14"/>
    </row>
    <row r="339" spans="1:109" x14ac:dyDescent="0.35">
      <c r="A339" s="8" t="s">
        <v>739</v>
      </c>
      <c r="B339" s="9" t="s">
        <v>77</v>
      </c>
      <c r="C339" s="9" t="s">
        <v>43</v>
      </c>
      <c r="D339" s="9" t="s">
        <v>740</v>
      </c>
      <c r="E339" s="9" t="s">
        <v>61</v>
      </c>
      <c r="F339" s="9" t="s">
        <v>62</v>
      </c>
      <c r="G339" s="10"/>
      <c r="H339" s="10"/>
      <c r="I339" s="11">
        <v>0</v>
      </c>
      <c r="J339" s="10"/>
      <c r="K339" s="10"/>
      <c r="L339" s="12">
        <v>0</v>
      </c>
      <c r="M339" s="10"/>
      <c r="N339" s="10"/>
      <c r="O339" s="11">
        <v>0</v>
      </c>
      <c r="P339" s="10"/>
      <c r="Q339" s="10"/>
      <c r="R339" s="11">
        <v>0</v>
      </c>
      <c r="S339" s="10"/>
      <c r="T339" s="10"/>
      <c r="U339" s="11">
        <v>0</v>
      </c>
      <c r="V339" s="10">
        <v>400000</v>
      </c>
      <c r="W339" s="10"/>
      <c r="X339" s="11">
        <v>0</v>
      </c>
      <c r="Y339" s="10"/>
      <c r="Z339" s="10"/>
      <c r="AA339" s="11"/>
      <c r="AB339" s="10"/>
      <c r="AC339" s="10"/>
      <c r="AD339" s="11">
        <v>0</v>
      </c>
      <c r="AE339" s="10"/>
      <c r="AF339" s="10"/>
      <c r="AG339" s="11">
        <v>0</v>
      </c>
      <c r="AH339" s="10"/>
      <c r="AI339" s="10"/>
      <c r="AJ339" s="11">
        <v>0</v>
      </c>
      <c r="AK339" s="10"/>
      <c r="AL339" s="10"/>
      <c r="AM339" s="11">
        <v>0</v>
      </c>
      <c r="AN339" s="10"/>
      <c r="AO339" s="10"/>
      <c r="AP339" s="11">
        <v>0</v>
      </c>
      <c r="AQ339" s="10"/>
      <c r="AR339" s="10"/>
      <c r="AS339" s="11">
        <v>0</v>
      </c>
      <c r="AT339" s="10"/>
      <c r="AU339" s="10"/>
      <c r="AV339" s="11">
        <v>0</v>
      </c>
      <c r="AW339" s="10"/>
      <c r="AX339" s="10"/>
      <c r="AY339" s="11">
        <v>0</v>
      </c>
      <c r="AZ339" s="10"/>
      <c r="BA339" s="10"/>
      <c r="BB339" s="11">
        <v>0</v>
      </c>
      <c r="BC339" s="10"/>
      <c r="BD339" s="10"/>
      <c r="BE339" s="11">
        <v>0</v>
      </c>
      <c r="BF339" s="10"/>
      <c r="BG339" s="10"/>
      <c r="BH339" s="11">
        <v>0</v>
      </c>
      <c r="BI339" s="10"/>
      <c r="BJ339" s="10"/>
      <c r="BK339" s="11">
        <v>0</v>
      </c>
      <c r="BL339" s="10"/>
      <c r="BM339" s="10"/>
      <c r="BN339" s="11">
        <v>0</v>
      </c>
      <c r="BO339" s="10"/>
      <c r="BP339" s="10"/>
      <c r="BQ339" s="11">
        <v>0</v>
      </c>
      <c r="BR339" s="10"/>
      <c r="BS339" s="10"/>
      <c r="BT339" s="11">
        <v>0</v>
      </c>
      <c r="BU339" s="10"/>
      <c r="BV339" s="10"/>
      <c r="BW339" s="11">
        <v>0</v>
      </c>
      <c r="BX339" s="10"/>
      <c r="BY339" s="10"/>
      <c r="BZ339" s="11">
        <v>0</v>
      </c>
      <c r="CA339" s="10"/>
      <c r="CB339" s="10"/>
      <c r="CC339" s="11">
        <v>0</v>
      </c>
      <c r="CD339" s="10"/>
      <c r="CE339" s="10"/>
      <c r="CF339" s="11">
        <v>0</v>
      </c>
      <c r="CG339" s="10"/>
      <c r="CH339" s="10"/>
      <c r="CI339" s="11">
        <v>0</v>
      </c>
      <c r="CJ339" s="10"/>
      <c r="CK339" s="10"/>
      <c r="CL339" s="11">
        <v>0</v>
      </c>
      <c r="CM339" s="10"/>
      <c r="CN339" s="10"/>
      <c r="CO339" s="11">
        <v>0</v>
      </c>
      <c r="CP339" s="10"/>
      <c r="CQ339" s="10"/>
      <c r="CR339" s="11">
        <v>0</v>
      </c>
      <c r="CS339" s="10"/>
      <c r="CT339" s="10"/>
      <c r="CU339" s="11">
        <v>0</v>
      </c>
      <c r="CV339" s="10"/>
      <c r="CW339" s="10"/>
      <c r="CX339" s="11">
        <v>0</v>
      </c>
      <c r="CY339" s="10"/>
      <c r="CZ339" s="10"/>
      <c r="DA339" s="11">
        <v>0</v>
      </c>
      <c r="DB339" s="10">
        <v>400000</v>
      </c>
      <c r="DC339" s="10"/>
      <c r="DD339" s="15">
        <f t="shared" si="546"/>
        <v>0</v>
      </c>
      <c r="DE339" s="16"/>
    </row>
    <row r="340" spans="1:109" x14ac:dyDescent="0.35">
      <c r="A340" s="8" t="s">
        <v>741</v>
      </c>
      <c r="B340" s="9" t="s">
        <v>140</v>
      </c>
      <c r="C340" s="9" t="s">
        <v>43</v>
      </c>
      <c r="D340" s="9" t="s">
        <v>742</v>
      </c>
      <c r="E340" s="9" t="s">
        <v>45</v>
      </c>
      <c r="F340" s="9" t="s">
        <v>46</v>
      </c>
      <c r="G340" s="10"/>
      <c r="H340" s="10"/>
      <c r="I340" s="11">
        <v>0</v>
      </c>
      <c r="J340" s="10"/>
      <c r="K340" s="10"/>
      <c r="L340" s="12">
        <v>0</v>
      </c>
      <c r="M340" s="10"/>
      <c r="N340" s="10"/>
      <c r="O340" s="11">
        <v>0</v>
      </c>
      <c r="P340" s="10"/>
      <c r="Q340" s="10"/>
      <c r="R340" s="11">
        <v>0</v>
      </c>
      <c r="S340" s="10"/>
      <c r="T340" s="10"/>
      <c r="U340" s="11">
        <v>0</v>
      </c>
      <c r="V340" s="10"/>
      <c r="W340" s="10"/>
      <c r="X340" s="11">
        <v>0</v>
      </c>
      <c r="Y340" s="10"/>
      <c r="Z340" s="10"/>
      <c r="AA340" s="11"/>
      <c r="AB340" s="10"/>
      <c r="AC340" s="10"/>
      <c r="AD340" s="11">
        <v>0</v>
      </c>
      <c r="AE340" s="10"/>
      <c r="AF340" s="10"/>
      <c r="AG340" s="11">
        <v>0</v>
      </c>
      <c r="AH340" s="10"/>
      <c r="AI340" s="10"/>
      <c r="AJ340" s="11">
        <v>0</v>
      </c>
      <c r="AK340" s="10"/>
      <c r="AL340" s="10"/>
      <c r="AM340" s="11">
        <v>0</v>
      </c>
      <c r="AN340" s="10"/>
      <c r="AO340" s="10"/>
      <c r="AP340" s="11">
        <v>0</v>
      </c>
      <c r="AQ340" s="10"/>
      <c r="AR340" s="10"/>
      <c r="AS340" s="11">
        <v>0</v>
      </c>
      <c r="AT340" s="10"/>
      <c r="AU340" s="10"/>
      <c r="AV340" s="11">
        <v>0</v>
      </c>
      <c r="AW340" s="10"/>
      <c r="AX340" s="10"/>
      <c r="AY340" s="11">
        <v>0</v>
      </c>
      <c r="AZ340" s="10"/>
      <c r="BA340" s="10"/>
      <c r="BB340" s="11">
        <v>0</v>
      </c>
      <c r="BC340" s="10"/>
      <c r="BD340" s="10"/>
      <c r="BE340" s="11">
        <v>0</v>
      </c>
      <c r="BF340" s="10"/>
      <c r="BG340" s="10"/>
      <c r="BH340" s="11">
        <v>0</v>
      </c>
      <c r="BI340" s="10"/>
      <c r="BJ340" s="10"/>
      <c r="BK340" s="11">
        <v>0</v>
      </c>
      <c r="BL340" s="10"/>
      <c r="BM340" s="10"/>
      <c r="BN340" s="11">
        <v>0</v>
      </c>
      <c r="BO340" s="10"/>
      <c r="BP340" s="10"/>
      <c r="BQ340" s="11">
        <v>0</v>
      </c>
      <c r="BR340" s="10"/>
      <c r="BS340" s="10"/>
      <c r="BT340" s="11">
        <v>0</v>
      </c>
      <c r="BU340" s="10"/>
      <c r="BV340" s="10"/>
      <c r="BW340" s="11">
        <v>0</v>
      </c>
      <c r="BX340" s="10"/>
      <c r="BY340" s="10"/>
      <c r="BZ340" s="11">
        <v>0</v>
      </c>
      <c r="CA340" s="10"/>
      <c r="CB340" s="10"/>
      <c r="CC340" s="11">
        <v>0</v>
      </c>
      <c r="CD340" s="10"/>
      <c r="CE340" s="10"/>
      <c r="CF340" s="11">
        <v>0</v>
      </c>
      <c r="CG340" s="10"/>
      <c r="CH340" s="10"/>
      <c r="CI340" s="11">
        <v>0</v>
      </c>
      <c r="CJ340" s="10"/>
      <c r="CK340" s="10"/>
      <c r="CL340" s="11">
        <v>0</v>
      </c>
      <c r="CM340" s="10"/>
      <c r="CN340" s="10"/>
      <c r="CO340" s="11">
        <v>0</v>
      </c>
      <c r="CP340" s="10"/>
      <c r="CQ340" s="10"/>
      <c r="CR340" s="11">
        <v>0</v>
      </c>
      <c r="CS340" s="10"/>
      <c r="CT340" s="10"/>
      <c r="CU340" s="11">
        <v>0</v>
      </c>
      <c r="CV340" s="10"/>
      <c r="CW340" s="10"/>
      <c r="CX340" s="11">
        <v>0</v>
      </c>
      <c r="CY340" s="10"/>
      <c r="CZ340" s="10"/>
      <c r="DA340" s="11">
        <v>0</v>
      </c>
      <c r="DB340" s="10"/>
      <c r="DC340" s="10"/>
      <c r="DD340" s="13">
        <v>0</v>
      </c>
      <c r="DE340" s="14"/>
    </row>
    <row r="341" spans="1:109" x14ac:dyDescent="0.35">
      <c r="A341" s="8" t="s">
        <v>743</v>
      </c>
      <c r="B341" s="9" t="s">
        <v>59</v>
      </c>
      <c r="C341" s="9" t="s">
        <v>43</v>
      </c>
      <c r="D341" s="9" t="s">
        <v>744</v>
      </c>
      <c r="E341" s="9" t="s">
        <v>61</v>
      </c>
      <c r="F341" s="9" t="s">
        <v>62</v>
      </c>
      <c r="G341" s="10"/>
      <c r="H341" s="10"/>
      <c r="I341" s="11">
        <v>0</v>
      </c>
      <c r="J341" s="10"/>
      <c r="K341" s="10"/>
      <c r="L341" s="12">
        <v>0</v>
      </c>
      <c r="M341" s="10"/>
      <c r="N341" s="10"/>
      <c r="O341" s="11">
        <v>0</v>
      </c>
      <c r="P341" s="10"/>
      <c r="Q341" s="10"/>
      <c r="R341" s="11">
        <v>0</v>
      </c>
      <c r="S341" s="10"/>
      <c r="T341" s="10"/>
      <c r="U341" s="11">
        <v>0</v>
      </c>
      <c r="V341" s="10"/>
      <c r="W341" s="10"/>
      <c r="X341" s="11">
        <v>0</v>
      </c>
      <c r="Y341" s="10"/>
      <c r="Z341" s="10"/>
      <c r="AA341" s="11"/>
      <c r="AB341" s="10"/>
      <c r="AC341" s="10"/>
      <c r="AD341" s="11">
        <v>0</v>
      </c>
      <c r="AE341" s="10"/>
      <c r="AF341" s="10"/>
      <c r="AG341" s="11">
        <v>0</v>
      </c>
      <c r="AH341" s="10"/>
      <c r="AI341" s="10"/>
      <c r="AJ341" s="11">
        <v>0</v>
      </c>
      <c r="AK341" s="10"/>
      <c r="AL341" s="10"/>
      <c r="AM341" s="11">
        <v>0</v>
      </c>
      <c r="AN341" s="10"/>
      <c r="AO341" s="10"/>
      <c r="AP341" s="11">
        <v>0</v>
      </c>
      <c r="AQ341" s="10"/>
      <c r="AR341" s="10"/>
      <c r="AS341" s="11">
        <v>0</v>
      </c>
      <c r="AT341" s="10"/>
      <c r="AU341" s="10"/>
      <c r="AV341" s="11">
        <v>0</v>
      </c>
      <c r="AW341" s="10"/>
      <c r="AX341" s="10"/>
      <c r="AY341" s="11">
        <v>0</v>
      </c>
      <c r="AZ341" s="10"/>
      <c r="BA341" s="10"/>
      <c r="BB341" s="11">
        <v>0</v>
      </c>
      <c r="BC341" s="10"/>
      <c r="BD341" s="10"/>
      <c r="BE341" s="11">
        <v>0</v>
      </c>
      <c r="BF341" s="10"/>
      <c r="BG341" s="10"/>
      <c r="BH341" s="11">
        <v>0</v>
      </c>
      <c r="BI341" s="10"/>
      <c r="BJ341" s="10"/>
      <c r="BK341" s="11">
        <v>0</v>
      </c>
      <c r="BL341" s="10"/>
      <c r="BM341" s="10"/>
      <c r="BN341" s="11">
        <v>0</v>
      </c>
      <c r="BO341" s="10"/>
      <c r="BP341" s="10"/>
      <c r="BQ341" s="11">
        <v>0</v>
      </c>
      <c r="BR341" s="10"/>
      <c r="BS341" s="10"/>
      <c r="BT341" s="11">
        <v>0</v>
      </c>
      <c r="BU341" s="10"/>
      <c r="BV341" s="10"/>
      <c r="BW341" s="11">
        <v>0</v>
      </c>
      <c r="BX341" s="10"/>
      <c r="BY341" s="10"/>
      <c r="BZ341" s="11">
        <v>0</v>
      </c>
      <c r="CA341" s="10"/>
      <c r="CB341" s="10"/>
      <c r="CC341" s="11">
        <v>0</v>
      </c>
      <c r="CD341" s="10"/>
      <c r="CE341" s="10"/>
      <c r="CF341" s="11">
        <v>0</v>
      </c>
      <c r="CG341" s="10"/>
      <c r="CH341" s="10"/>
      <c r="CI341" s="11">
        <v>0</v>
      </c>
      <c r="CJ341" s="10"/>
      <c r="CK341" s="10"/>
      <c r="CL341" s="11">
        <v>0</v>
      </c>
      <c r="CM341" s="10"/>
      <c r="CN341" s="10"/>
      <c r="CO341" s="11">
        <v>0</v>
      </c>
      <c r="CP341" s="10"/>
      <c r="CQ341" s="10"/>
      <c r="CR341" s="11">
        <v>0</v>
      </c>
      <c r="CS341" s="10"/>
      <c r="CT341" s="10"/>
      <c r="CU341" s="11">
        <v>0</v>
      </c>
      <c r="CV341" s="10"/>
      <c r="CW341" s="10"/>
      <c r="CX341" s="11">
        <v>0</v>
      </c>
      <c r="CY341" s="10"/>
      <c r="CZ341" s="10"/>
      <c r="DA341" s="11">
        <v>0</v>
      </c>
      <c r="DB341" s="10"/>
      <c r="DC341" s="10"/>
      <c r="DD341" s="13">
        <v>0</v>
      </c>
      <c r="DE341" s="14"/>
    </row>
    <row r="342" spans="1:109" x14ac:dyDescent="0.35">
      <c r="A342" s="8" t="s">
        <v>745</v>
      </c>
      <c r="B342" s="9" t="s">
        <v>111</v>
      </c>
      <c r="C342" s="9" t="s">
        <v>52</v>
      </c>
      <c r="D342" s="9" t="s">
        <v>746</v>
      </c>
      <c r="E342" s="9" t="s">
        <v>54</v>
      </c>
      <c r="F342" s="9" t="s">
        <v>55</v>
      </c>
      <c r="G342" s="10"/>
      <c r="H342" s="10"/>
      <c r="I342" s="11">
        <v>0</v>
      </c>
      <c r="J342" s="10"/>
      <c r="K342" s="10"/>
      <c r="L342" s="12">
        <v>0</v>
      </c>
      <c r="M342" s="10"/>
      <c r="N342" s="10"/>
      <c r="O342" s="11">
        <v>0</v>
      </c>
      <c r="P342" s="10"/>
      <c r="Q342" s="10">
        <v>14500</v>
      </c>
      <c r="R342" s="11">
        <v>0</v>
      </c>
      <c r="S342" s="10"/>
      <c r="T342" s="10"/>
      <c r="U342" s="11">
        <v>0</v>
      </c>
      <c r="V342" s="10"/>
      <c r="W342" s="10"/>
      <c r="X342" s="11">
        <v>0</v>
      </c>
      <c r="Y342" s="10"/>
      <c r="Z342" s="10"/>
      <c r="AA342" s="11"/>
      <c r="AB342" s="10"/>
      <c r="AC342" s="10"/>
      <c r="AD342" s="11">
        <v>0</v>
      </c>
      <c r="AE342" s="10">
        <v>100000</v>
      </c>
      <c r="AF342" s="10">
        <v>6000</v>
      </c>
      <c r="AG342" s="11">
        <f t="shared" ref="AG342:AG343" si="552">AF342/AE342</f>
        <v>0.06</v>
      </c>
      <c r="AH342" s="10"/>
      <c r="AI342" s="10"/>
      <c r="AJ342" s="11">
        <v>0</v>
      </c>
      <c r="AK342" s="10"/>
      <c r="AL342" s="10"/>
      <c r="AM342" s="11">
        <v>0</v>
      </c>
      <c r="AN342" s="10"/>
      <c r="AO342" s="10"/>
      <c r="AP342" s="11">
        <v>0</v>
      </c>
      <c r="AQ342" s="10"/>
      <c r="AR342" s="10"/>
      <c r="AS342" s="11">
        <v>0</v>
      </c>
      <c r="AT342" s="10"/>
      <c r="AU342" s="10"/>
      <c r="AV342" s="11">
        <v>0</v>
      </c>
      <c r="AW342" s="10"/>
      <c r="AX342" s="10"/>
      <c r="AY342" s="11">
        <v>0</v>
      </c>
      <c r="AZ342" s="10"/>
      <c r="BA342" s="10"/>
      <c r="BB342" s="11">
        <v>0</v>
      </c>
      <c r="BC342" s="10"/>
      <c r="BD342" s="10"/>
      <c r="BE342" s="11">
        <v>0</v>
      </c>
      <c r="BF342" s="10"/>
      <c r="BG342" s="10"/>
      <c r="BH342" s="11">
        <v>0</v>
      </c>
      <c r="BI342" s="10"/>
      <c r="BJ342" s="10"/>
      <c r="BK342" s="11">
        <v>0</v>
      </c>
      <c r="BL342" s="10"/>
      <c r="BM342" s="10"/>
      <c r="BN342" s="11">
        <v>0</v>
      </c>
      <c r="BO342" s="10"/>
      <c r="BP342" s="10"/>
      <c r="BQ342" s="11">
        <v>0</v>
      </c>
      <c r="BR342" s="10"/>
      <c r="BS342" s="10"/>
      <c r="BT342" s="11">
        <v>0</v>
      </c>
      <c r="BU342" s="10"/>
      <c r="BV342" s="10"/>
      <c r="BW342" s="11">
        <v>0</v>
      </c>
      <c r="BX342" s="10"/>
      <c r="BY342" s="10"/>
      <c r="BZ342" s="11">
        <v>0</v>
      </c>
      <c r="CA342" s="10"/>
      <c r="CB342" s="10"/>
      <c r="CC342" s="11">
        <v>0</v>
      </c>
      <c r="CD342" s="10"/>
      <c r="CE342" s="10"/>
      <c r="CF342" s="11">
        <v>0</v>
      </c>
      <c r="CG342" s="10"/>
      <c r="CH342" s="10"/>
      <c r="CI342" s="11">
        <v>0</v>
      </c>
      <c r="CJ342" s="10"/>
      <c r="CK342" s="10"/>
      <c r="CL342" s="11">
        <v>0</v>
      </c>
      <c r="CM342" s="10"/>
      <c r="CN342" s="10"/>
      <c r="CO342" s="11">
        <v>0</v>
      </c>
      <c r="CP342" s="10"/>
      <c r="CQ342" s="10"/>
      <c r="CR342" s="11">
        <v>0</v>
      </c>
      <c r="CS342" s="10"/>
      <c r="CT342" s="10"/>
      <c r="CU342" s="11">
        <v>0</v>
      </c>
      <c r="CV342" s="10"/>
      <c r="CW342" s="10"/>
      <c r="CX342" s="11">
        <v>0</v>
      </c>
      <c r="CY342" s="10"/>
      <c r="CZ342" s="10"/>
      <c r="DA342" s="11">
        <v>0</v>
      </c>
      <c r="DB342" s="10">
        <v>100000</v>
      </c>
      <c r="DC342" s="10">
        <f t="shared" ref="DC342" si="553">SUM(H342,K342,N342,Q342,T342,W342,Z342,AC342,AF342,AI342,AL342,AO342,AR342,AU342,AX342,BA342,BD342,BG342,BJ342,BM342,BP342,BS342,BV342,BY342,CB342,CE342,CH342,CK342,CN342,CQ342,CT342,CW342,CZ342)</f>
        <v>20500</v>
      </c>
      <c r="DD342" s="13">
        <f t="shared" ref="DD342:DD343" si="554">DC342/DB342</f>
        <v>0.20499999999999999</v>
      </c>
      <c r="DE342" s="14"/>
    </row>
    <row r="343" spans="1:109" x14ac:dyDescent="0.35">
      <c r="A343" s="8" t="s">
        <v>747</v>
      </c>
      <c r="B343" s="9" t="s">
        <v>51</v>
      </c>
      <c r="C343" s="9" t="s">
        <v>52</v>
      </c>
      <c r="D343" s="9" t="s">
        <v>748</v>
      </c>
      <c r="E343" s="9" t="s">
        <v>54</v>
      </c>
      <c r="F343" s="9" t="s">
        <v>55</v>
      </c>
      <c r="G343" s="10"/>
      <c r="H343" s="10"/>
      <c r="I343" s="11">
        <v>0</v>
      </c>
      <c r="J343" s="10"/>
      <c r="K343" s="10"/>
      <c r="L343" s="12">
        <v>0</v>
      </c>
      <c r="M343" s="10"/>
      <c r="N343" s="10"/>
      <c r="O343" s="11">
        <v>0</v>
      </c>
      <c r="P343" s="10"/>
      <c r="Q343" s="10"/>
      <c r="R343" s="11">
        <v>0</v>
      </c>
      <c r="S343" s="10"/>
      <c r="T343" s="10"/>
      <c r="U343" s="11">
        <v>0</v>
      </c>
      <c r="V343" s="10"/>
      <c r="W343" s="10"/>
      <c r="X343" s="11">
        <v>0</v>
      </c>
      <c r="Y343" s="10"/>
      <c r="Z343" s="10"/>
      <c r="AA343" s="11"/>
      <c r="AB343" s="10"/>
      <c r="AC343" s="10"/>
      <c r="AD343" s="11">
        <v>0</v>
      </c>
      <c r="AE343" s="10">
        <v>100000</v>
      </c>
      <c r="AF343" s="10"/>
      <c r="AG343" s="11">
        <f t="shared" si="552"/>
        <v>0</v>
      </c>
      <c r="AH343" s="10"/>
      <c r="AI343" s="10"/>
      <c r="AJ343" s="11">
        <v>0</v>
      </c>
      <c r="AK343" s="10"/>
      <c r="AL343" s="10"/>
      <c r="AM343" s="11">
        <v>0</v>
      </c>
      <c r="AN343" s="10"/>
      <c r="AO343" s="10"/>
      <c r="AP343" s="11">
        <v>0</v>
      </c>
      <c r="AQ343" s="10"/>
      <c r="AR343" s="10"/>
      <c r="AS343" s="11">
        <v>0</v>
      </c>
      <c r="AT343" s="10"/>
      <c r="AU343" s="10"/>
      <c r="AV343" s="11">
        <v>0</v>
      </c>
      <c r="AW343" s="10"/>
      <c r="AX343" s="10"/>
      <c r="AY343" s="11">
        <v>0</v>
      </c>
      <c r="AZ343" s="10"/>
      <c r="BA343" s="10"/>
      <c r="BB343" s="11">
        <v>0</v>
      </c>
      <c r="BC343" s="10"/>
      <c r="BD343" s="10"/>
      <c r="BE343" s="11">
        <v>0</v>
      </c>
      <c r="BF343" s="10"/>
      <c r="BG343" s="10"/>
      <c r="BH343" s="11">
        <v>0</v>
      </c>
      <c r="BI343" s="10"/>
      <c r="BJ343" s="10"/>
      <c r="BK343" s="11">
        <v>0</v>
      </c>
      <c r="BL343" s="10"/>
      <c r="BM343" s="10"/>
      <c r="BN343" s="11">
        <v>0</v>
      </c>
      <c r="BO343" s="10"/>
      <c r="BP343" s="10"/>
      <c r="BQ343" s="11">
        <v>0</v>
      </c>
      <c r="BR343" s="10"/>
      <c r="BS343" s="10"/>
      <c r="BT343" s="11">
        <v>0</v>
      </c>
      <c r="BU343" s="10"/>
      <c r="BV343" s="10"/>
      <c r="BW343" s="11">
        <v>0</v>
      </c>
      <c r="BX343" s="10"/>
      <c r="BY343" s="10"/>
      <c r="BZ343" s="11">
        <v>0</v>
      </c>
      <c r="CA343" s="10"/>
      <c r="CB343" s="10"/>
      <c r="CC343" s="11">
        <v>0</v>
      </c>
      <c r="CD343" s="10"/>
      <c r="CE343" s="10"/>
      <c r="CF343" s="11">
        <v>0</v>
      </c>
      <c r="CG343" s="10"/>
      <c r="CH343" s="10"/>
      <c r="CI343" s="11">
        <v>0</v>
      </c>
      <c r="CJ343" s="10"/>
      <c r="CK343" s="10"/>
      <c r="CL343" s="11">
        <v>0</v>
      </c>
      <c r="CM343" s="10"/>
      <c r="CN343" s="10"/>
      <c r="CO343" s="11">
        <v>0</v>
      </c>
      <c r="CP343" s="10"/>
      <c r="CQ343" s="10"/>
      <c r="CR343" s="11">
        <v>0</v>
      </c>
      <c r="CS343" s="10"/>
      <c r="CT343" s="10"/>
      <c r="CU343" s="11">
        <v>0</v>
      </c>
      <c r="CV343" s="10"/>
      <c r="CW343" s="10"/>
      <c r="CX343" s="11">
        <v>0</v>
      </c>
      <c r="CY343" s="10"/>
      <c r="CZ343" s="10"/>
      <c r="DA343" s="11">
        <v>0</v>
      </c>
      <c r="DB343" s="10">
        <v>100000</v>
      </c>
      <c r="DC343" s="10"/>
      <c r="DD343" s="15">
        <f t="shared" si="554"/>
        <v>0</v>
      </c>
      <c r="DE343" s="16"/>
    </row>
    <row r="344" spans="1:109" x14ac:dyDescent="0.35">
      <c r="A344" s="8" t="s">
        <v>749</v>
      </c>
      <c r="B344" s="9" t="s">
        <v>51</v>
      </c>
      <c r="C344" s="9" t="s">
        <v>52</v>
      </c>
      <c r="D344" s="9" t="s">
        <v>750</v>
      </c>
      <c r="E344" s="9" t="s">
        <v>54</v>
      </c>
      <c r="F344" s="9" t="s">
        <v>55</v>
      </c>
      <c r="G344" s="10"/>
      <c r="H344" s="10"/>
      <c r="I344" s="11">
        <v>0</v>
      </c>
      <c r="J344" s="10"/>
      <c r="K344" s="10"/>
      <c r="L344" s="12">
        <v>0</v>
      </c>
      <c r="M344" s="10"/>
      <c r="N344" s="10"/>
      <c r="O344" s="11">
        <v>0</v>
      </c>
      <c r="P344" s="10"/>
      <c r="Q344" s="10"/>
      <c r="R344" s="11">
        <v>0</v>
      </c>
      <c r="S344" s="10"/>
      <c r="T344" s="10"/>
      <c r="U344" s="11">
        <v>0</v>
      </c>
      <c r="V344" s="10"/>
      <c r="W344" s="10"/>
      <c r="X344" s="11">
        <v>0</v>
      </c>
      <c r="Y344" s="10"/>
      <c r="Z344" s="10"/>
      <c r="AA344" s="11"/>
      <c r="AB344" s="10"/>
      <c r="AC344" s="10"/>
      <c r="AD344" s="11">
        <v>0</v>
      </c>
      <c r="AE344" s="10"/>
      <c r="AF344" s="10"/>
      <c r="AG344" s="11">
        <v>0</v>
      </c>
      <c r="AH344" s="10"/>
      <c r="AI344" s="10"/>
      <c r="AJ344" s="11">
        <v>0</v>
      </c>
      <c r="AK344" s="10"/>
      <c r="AL344" s="10">
        <v>224000</v>
      </c>
      <c r="AM344" s="11">
        <v>0</v>
      </c>
      <c r="AN344" s="10"/>
      <c r="AO344" s="10"/>
      <c r="AP344" s="11">
        <v>0</v>
      </c>
      <c r="AQ344" s="10"/>
      <c r="AR344" s="10"/>
      <c r="AS344" s="11">
        <v>0</v>
      </c>
      <c r="AT344" s="10"/>
      <c r="AU344" s="10"/>
      <c r="AV344" s="11">
        <v>0</v>
      </c>
      <c r="AW344" s="10"/>
      <c r="AX344" s="10"/>
      <c r="AY344" s="11">
        <v>0</v>
      </c>
      <c r="AZ344" s="10"/>
      <c r="BA344" s="10"/>
      <c r="BB344" s="11">
        <v>0</v>
      </c>
      <c r="BC344" s="10"/>
      <c r="BD344" s="10"/>
      <c r="BE344" s="11">
        <v>0</v>
      </c>
      <c r="BF344" s="10"/>
      <c r="BG344" s="10"/>
      <c r="BH344" s="11">
        <v>0</v>
      </c>
      <c r="BI344" s="10"/>
      <c r="BJ344" s="10"/>
      <c r="BK344" s="11">
        <v>0</v>
      </c>
      <c r="BL344" s="10"/>
      <c r="BM344" s="10"/>
      <c r="BN344" s="11">
        <v>0</v>
      </c>
      <c r="BO344" s="10"/>
      <c r="BP344" s="10"/>
      <c r="BQ344" s="11">
        <v>0</v>
      </c>
      <c r="BR344" s="10"/>
      <c r="BS344" s="10"/>
      <c r="BT344" s="11">
        <v>0</v>
      </c>
      <c r="BU344" s="10"/>
      <c r="BV344" s="10"/>
      <c r="BW344" s="11">
        <v>0</v>
      </c>
      <c r="BX344" s="10">
        <v>124020</v>
      </c>
      <c r="BY344" s="10"/>
      <c r="BZ344" s="11">
        <f t="shared" ref="BZ344" si="555">BY344/BX344</f>
        <v>0</v>
      </c>
      <c r="CA344" s="10">
        <v>451000</v>
      </c>
      <c r="CB344" s="10"/>
      <c r="CC344" s="11">
        <f t="shared" ref="CC344" si="556">CB344/CA344</f>
        <v>0</v>
      </c>
      <c r="CD344" s="10"/>
      <c r="CE344" s="10"/>
      <c r="CF344" s="11">
        <v>0</v>
      </c>
      <c r="CG344" s="10">
        <v>400000</v>
      </c>
      <c r="CH344" s="10">
        <v>140000</v>
      </c>
      <c r="CI344" s="11">
        <f t="shared" ref="CI344" si="557">CH344/CG344</f>
        <v>0.35</v>
      </c>
      <c r="CJ344" s="10"/>
      <c r="CK344" s="10"/>
      <c r="CL344" s="11">
        <v>0</v>
      </c>
      <c r="CM344" s="10"/>
      <c r="CN344" s="10"/>
      <c r="CO344" s="11">
        <v>0</v>
      </c>
      <c r="CP344" s="10"/>
      <c r="CQ344" s="10"/>
      <c r="CR344" s="11">
        <v>0</v>
      </c>
      <c r="CS344" s="10"/>
      <c r="CT344" s="10"/>
      <c r="CU344" s="11">
        <v>0</v>
      </c>
      <c r="CV344" s="10"/>
      <c r="CW344" s="10"/>
      <c r="CX344" s="11">
        <v>0</v>
      </c>
      <c r="CY344" s="10"/>
      <c r="CZ344" s="10"/>
      <c r="DA344" s="11">
        <v>0</v>
      </c>
      <c r="DB344" s="10">
        <v>975020</v>
      </c>
      <c r="DC344" s="10">
        <f t="shared" ref="DC344:DC347" si="558">SUM(H344,K344,N344,Q344,T344,W344,Z344,AC344,AF344,AI344,AL344,AO344,AR344,AU344,AX344,BA344,BD344,BG344,BJ344,BM344,BP344,BS344,BV344,BY344,CB344,CE344,CH344,CK344,CN344,CQ344,CT344,CW344,CZ344)</f>
        <v>364000</v>
      </c>
      <c r="DD344" s="13">
        <f t="shared" ref="DD344:DD347" si="559">DC344/DB344</f>
        <v>0.37332567537076161</v>
      </c>
      <c r="DE344" s="14"/>
    </row>
    <row r="345" spans="1:109" x14ac:dyDescent="0.35">
      <c r="A345" s="8" t="s">
        <v>751</v>
      </c>
      <c r="B345" s="9" t="s">
        <v>118</v>
      </c>
      <c r="C345" s="9" t="s">
        <v>43</v>
      </c>
      <c r="D345" s="9" t="s">
        <v>752</v>
      </c>
      <c r="E345" s="9" t="s">
        <v>61</v>
      </c>
      <c r="F345" s="9" t="s">
        <v>62</v>
      </c>
      <c r="G345" s="10"/>
      <c r="H345" s="10"/>
      <c r="I345" s="11">
        <v>0</v>
      </c>
      <c r="J345" s="10"/>
      <c r="K345" s="10"/>
      <c r="L345" s="12">
        <v>0</v>
      </c>
      <c r="M345" s="10"/>
      <c r="N345" s="10"/>
      <c r="O345" s="11">
        <v>0</v>
      </c>
      <c r="P345" s="10"/>
      <c r="Q345" s="10"/>
      <c r="R345" s="11">
        <v>0</v>
      </c>
      <c r="S345" s="10"/>
      <c r="T345" s="10"/>
      <c r="U345" s="11">
        <v>0</v>
      </c>
      <c r="V345" s="10">
        <v>1000000</v>
      </c>
      <c r="W345" s="10"/>
      <c r="X345" s="11">
        <v>0</v>
      </c>
      <c r="Y345" s="10"/>
      <c r="Z345" s="10"/>
      <c r="AA345" s="11"/>
      <c r="AB345" s="10"/>
      <c r="AC345" s="10"/>
      <c r="AD345" s="11">
        <v>0</v>
      </c>
      <c r="AE345" s="10"/>
      <c r="AF345" s="10"/>
      <c r="AG345" s="11">
        <v>0</v>
      </c>
      <c r="AH345" s="10"/>
      <c r="AI345" s="10"/>
      <c r="AJ345" s="11">
        <v>0</v>
      </c>
      <c r="AK345" s="10"/>
      <c r="AL345" s="10"/>
      <c r="AM345" s="11">
        <v>0</v>
      </c>
      <c r="AN345" s="10"/>
      <c r="AO345" s="10"/>
      <c r="AP345" s="11">
        <v>0</v>
      </c>
      <c r="AQ345" s="10"/>
      <c r="AR345" s="10"/>
      <c r="AS345" s="11">
        <v>0</v>
      </c>
      <c r="AT345" s="10"/>
      <c r="AU345" s="10"/>
      <c r="AV345" s="11">
        <v>0</v>
      </c>
      <c r="AW345" s="10"/>
      <c r="AX345" s="10"/>
      <c r="AY345" s="11">
        <v>0</v>
      </c>
      <c r="AZ345" s="10"/>
      <c r="BA345" s="10"/>
      <c r="BB345" s="11">
        <v>0</v>
      </c>
      <c r="BC345" s="10"/>
      <c r="BD345" s="10"/>
      <c r="BE345" s="11">
        <v>0</v>
      </c>
      <c r="BF345" s="10"/>
      <c r="BG345" s="10"/>
      <c r="BH345" s="11">
        <v>0</v>
      </c>
      <c r="BI345" s="10"/>
      <c r="BJ345" s="10"/>
      <c r="BK345" s="11">
        <v>0</v>
      </c>
      <c r="BL345" s="10"/>
      <c r="BM345" s="10"/>
      <c r="BN345" s="11">
        <v>0</v>
      </c>
      <c r="BO345" s="10"/>
      <c r="BP345" s="10"/>
      <c r="BQ345" s="11">
        <v>0</v>
      </c>
      <c r="BR345" s="10"/>
      <c r="BS345" s="10"/>
      <c r="BT345" s="11">
        <v>0</v>
      </c>
      <c r="BU345" s="10"/>
      <c r="BV345" s="10"/>
      <c r="BW345" s="11">
        <v>0</v>
      </c>
      <c r="BX345" s="10"/>
      <c r="BY345" s="10"/>
      <c r="BZ345" s="11">
        <v>0</v>
      </c>
      <c r="CA345" s="10"/>
      <c r="CB345" s="10"/>
      <c r="CC345" s="11">
        <v>0</v>
      </c>
      <c r="CD345" s="10"/>
      <c r="CE345" s="10"/>
      <c r="CF345" s="11">
        <v>0</v>
      </c>
      <c r="CG345" s="10"/>
      <c r="CH345" s="10"/>
      <c r="CI345" s="11">
        <v>0</v>
      </c>
      <c r="CJ345" s="10"/>
      <c r="CK345" s="10"/>
      <c r="CL345" s="11">
        <v>0</v>
      </c>
      <c r="CM345" s="10"/>
      <c r="CN345" s="10"/>
      <c r="CO345" s="11">
        <v>0</v>
      </c>
      <c r="CP345" s="10"/>
      <c r="CQ345" s="10"/>
      <c r="CR345" s="11">
        <v>0</v>
      </c>
      <c r="CS345" s="10"/>
      <c r="CT345" s="10"/>
      <c r="CU345" s="11">
        <v>0</v>
      </c>
      <c r="CV345" s="10"/>
      <c r="CW345" s="10"/>
      <c r="CX345" s="11">
        <v>0</v>
      </c>
      <c r="CY345" s="10"/>
      <c r="CZ345" s="10"/>
      <c r="DA345" s="11">
        <v>0</v>
      </c>
      <c r="DB345" s="10">
        <v>1000000</v>
      </c>
      <c r="DC345" s="10"/>
      <c r="DD345" s="15">
        <f t="shared" si="559"/>
        <v>0</v>
      </c>
      <c r="DE345" s="16"/>
    </row>
    <row r="346" spans="1:109" x14ac:dyDescent="0.35">
      <c r="A346" s="8" t="s">
        <v>753</v>
      </c>
      <c r="B346" s="9" t="s">
        <v>51</v>
      </c>
      <c r="C346" s="9" t="s">
        <v>52</v>
      </c>
      <c r="D346" s="9" t="s">
        <v>754</v>
      </c>
      <c r="E346" s="9" t="s">
        <v>54</v>
      </c>
      <c r="F346" s="9" t="s">
        <v>55</v>
      </c>
      <c r="G346" s="10"/>
      <c r="H346" s="10"/>
      <c r="I346" s="11">
        <v>0</v>
      </c>
      <c r="J346" s="10"/>
      <c r="K346" s="10"/>
      <c r="L346" s="12">
        <v>0</v>
      </c>
      <c r="M346" s="10"/>
      <c r="N346" s="10"/>
      <c r="O346" s="11">
        <v>0</v>
      </c>
      <c r="P346" s="10"/>
      <c r="Q346" s="10"/>
      <c r="R346" s="11">
        <v>0</v>
      </c>
      <c r="S346" s="10"/>
      <c r="T346" s="10"/>
      <c r="U346" s="11">
        <v>0</v>
      </c>
      <c r="V346" s="10"/>
      <c r="W346" s="10"/>
      <c r="X346" s="11">
        <v>0</v>
      </c>
      <c r="Y346" s="10">
        <v>70000</v>
      </c>
      <c r="Z346" s="10">
        <v>97500</v>
      </c>
      <c r="AA346" s="11">
        <f t="shared" ref="AA346" si="560">Z346/Y346</f>
        <v>1.3928571428571428</v>
      </c>
      <c r="AB346" s="10"/>
      <c r="AC346" s="10"/>
      <c r="AD346" s="11">
        <v>0</v>
      </c>
      <c r="AE346" s="10"/>
      <c r="AF346" s="10"/>
      <c r="AG346" s="11">
        <v>0</v>
      </c>
      <c r="AH346" s="10"/>
      <c r="AI346" s="10"/>
      <c r="AJ346" s="11">
        <v>0</v>
      </c>
      <c r="AK346" s="10"/>
      <c r="AL346" s="10"/>
      <c r="AM346" s="11">
        <v>0</v>
      </c>
      <c r="AN346" s="10"/>
      <c r="AO346" s="10"/>
      <c r="AP346" s="11">
        <v>0</v>
      </c>
      <c r="AQ346" s="10"/>
      <c r="AR346" s="10"/>
      <c r="AS346" s="11">
        <v>0</v>
      </c>
      <c r="AT346" s="10"/>
      <c r="AU346" s="10"/>
      <c r="AV346" s="11">
        <v>0</v>
      </c>
      <c r="AW346" s="10"/>
      <c r="AX346" s="10"/>
      <c r="AY346" s="11">
        <v>0</v>
      </c>
      <c r="AZ346" s="10"/>
      <c r="BA346" s="10"/>
      <c r="BB346" s="11">
        <v>0</v>
      </c>
      <c r="BC346" s="10"/>
      <c r="BD346" s="10"/>
      <c r="BE346" s="11">
        <v>0</v>
      </c>
      <c r="BF346" s="10"/>
      <c r="BG346" s="10"/>
      <c r="BH346" s="11">
        <v>0</v>
      </c>
      <c r="BI346" s="10"/>
      <c r="BJ346" s="10"/>
      <c r="BK346" s="11">
        <v>0</v>
      </c>
      <c r="BL346" s="10"/>
      <c r="BM346" s="10"/>
      <c r="BN346" s="11">
        <v>0</v>
      </c>
      <c r="BO346" s="10"/>
      <c r="BP346" s="10"/>
      <c r="BQ346" s="11">
        <v>0</v>
      </c>
      <c r="BR346" s="10"/>
      <c r="BS346" s="10"/>
      <c r="BT346" s="11">
        <v>0</v>
      </c>
      <c r="BU346" s="10"/>
      <c r="BV346" s="10"/>
      <c r="BW346" s="11">
        <v>0</v>
      </c>
      <c r="BX346" s="10"/>
      <c r="BY346" s="10"/>
      <c r="BZ346" s="11">
        <v>0</v>
      </c>
      <c r="CA346" s="10"/>
      <c r="CB346" s="10"/>
      <c r="CC346" s="11">
        <v>0</v>
      </c>
      <c r="CD346" s="10"/>
      <c r="CE346" s="10"/>
      <c r="CF346" s="11">
        <v>0</v>
      </c>
      <c r="CG346" s="10"/>
      <c r="CH346" s="10"/>
      <c r="CI346" s="11">
        <v>0</v>
      </c>
      <c r="CJ346" s="10"/>
      <c r="CK346" s="10"/>
      <c r="CL346" s="11">
        <v>0</v>
      </c>
      <c r="CM346" s="10"/>
      <c r="CN346" s="10"/>
      <c r="CO346" s="11">
        <v>0</v>
      </c>
      <c r="CP346" s="10"/>
      <c r="CQ346" s="10"/>
      <c r="CR346" s="11">
        <v>0</v>
      </c>
      <c r="CS346" s="10"/>
      <c r="CT346" s="10"/>
      <c r="CU346" s="11">
        <v>0</v>
      </c>
      <c r="CV346" s="10"/>
      <c r="CW346" s="10"/>
      <c r="CX346" s="11">
        <v>0</v>
      </c>
      <c r="CY346" s="10"/>
      <c r="CZ346" s="10"/>
      <c r="DA346" s="11">
        <v>0</v>
      </c>
      <c r="DB346" s="10">
        <v>70000</v>
      </c>
      <c r="DC346" s="10">
        <f t="shared" si="558"/>
        <v>97500</v>
      </c>
      <c r="DD346" s="13">
        <f t="shared" si="559"/>
        <v>1.3928571428571428</v>
      </c>
      <c r="DE346" s="14"/>
    </row>
    <row r="347" spans="1:109" x14ac:dyDescent="0.35">
      <c r="A347" s="8" t="s">
        <v>755</v>
      </c>
      <c r="B347" s="9" t="s">
        <v>77</v>
      </c>
      <c r="C347" s="9" t="s">
        <v>43</v>
      </c>
      <c r="D347" s="9" t="s">
        <v>756</v>
      </c>
      <c r="E347" s="9" t="s">
        <v>61</v>
      </c>
      <c r="F347" s="9" t="s">
        <v>62</v>
      </c>
      <c r="G347" s="10"/>
      <c r="H347" s="10"/>
      <c r="I347" s="11">
        <v>0</v>
      </c>
      <c r="J347" s="10"/>
      <c r="K347" s="10"/>
      <c r="L347" s="12">
        <v>0</v>
      </c>
      <c r="M347" s="10"/>
      <c r="N347" s="10"/>
      <c r="O347" s="11">
        <v>0</v>
      </c>
      <c r="P347" s="10"/>
      <c r="Q347" s="10"/>
      <c r="R347" s="11">
        <v>0</v>
      </c>
      <c r="S347" s="10"/>
      <c r="T347" s="10"/>
      <c r="U347" s="11">
        <v>0</v>
      </c>
      <c r="V347" s="10">
        <v>500000</v>
      </c>
      <c r="W347" s="10">
        <v>83000</v>
      </c>
      <c r="X347" s="11">
        <v>0.16600000000000001</v>
      </c>
      <c r="Y347" s="10"/>
      <c r="Z347" s="10"/>
      <c r="AA347" s="11"/>
      <c r="AB347" s="10"/>
      <c r="AC347" s="10"/>
      <c r="AD347" s="11">
        <v>0</v>
      </c>
      <c r="AE347" s="10"/>
      <c r="AF347" s="10"/>
      <c r="AG347" s="11">
        <v>0</v>
      </c>
      <c r="AH347" s="10"/>
      <c r="AI347" s="10"/>
      <c r="AJ347" s="11">
        <v>0</v>
      </c>
      <c r="AK347" s="10"/>
      <c r="AL347" s="10"/>
      <c r="AM347" s="11">
        <v>0</v>
      </c>
      <c r="AN347" s="10"/>
      <c r="AO347" s="10"/>
      <c r="AP347" s="11">
        <v>0</v>
      </c>
      <c r="AQ347" s="10"/>
      <c r="AR347" s="10"/>
      <c r="AS347" s="11">
        <v>0</v>
      </c>
      <c r="AT347" s="10"/>
      <c r="AU347" s="10"/>
      <c r="AV347" s="11">
        <v>0</v>
      </c>
      <c r="AW347" s="10"/>
      <c r="AX347" s="10"/>
      <c r="AY347" s="11">
        <v>0</v>
      </c>
      <c r="AZ347" s="10"/>
      <c r="BA347" s="10"/>
      <c r="BB347" s="11">
        <v>0</v>
      </c>
      <c r="BC347" s="10"/>
      <c r="BD347" s="10"/>
      <c r="BE347" s="11">
        <v>0</v>
      </c>
      <c r="BF347" s="10"/>
      <c r="BG347" s="10"/>
      <c r="BH347" s="11">
        <v>0</v>
      </c>
      <c r="BI347" s="10"/>
      <c r="BJ347" s="10"/>
      <c r="BK347" s="11">
        <v>0</v>
      </c>
      <c r="BL347" s="10"/>
      <c r="BM347" s="10"/>
      <c r="BN347" s="11">
        <v>0</v>
      </c>
      <c r="BO347" s="10"/>
      <c r="BP347" s="10"/>
      <c r="BQ347" s="11">
        <v>0</v>
      </c>
      <c r="BR347" s="10"/>
      <c r="BS347" s="10"/>
      <c r="BT347" s="11">
        <v>0</v>
      </c>
      <c r="BU347" s="10"/>
      <c r="BV347" s="10"/>
      <c r="BW347" s="11">
        <v>0</v>
      </c>
      <c r="BX347" s="10"/>
      <c r="BY347" s="10"/>
      <c r="BZ347" s="11">
        <v>0</v>
      </c>
      <c r="CA347" s="10"/>
      <c r="CB347" s="10"/>
      <c r="CC347" s="11">
        <v>0</v>
      </c>
      <c r="CD347" s="10"/>
      <c r="CE347" s="10"/>
      <c r="CF347" s="11">
        <v>0</v>
      </c>
      <c r="CG347" s="10"/>
      <c r="CH347" s="10"/>
      <c r="CI347" s="11">
        <v>0</v>
      </c>
      <c r="CJ347" s="10"/>
      <c r="CK347" s="10"/>
      <c r="CL347" s="11">
        <v>0</v>
      </c>
      <c r="CM347" s="10"/>
      <c r="CN347" s="10"/>
      <c r="CO347" s="11">
        <v>0</v>
      </c>
      <c r="CP347" s="10"/>
      <c r="CQ347" s="10"/>
      <c r="CR347" s="11">
        <v>0</v>
      </c>
      <c r="CS347" s="10"/>
      <c r="CT347" s="10"/>
      <c r="CU347" s="11">
        <v>0</v>
      </c>
      <c r="CV347" s="10"/>
      <c r="CW347" s="10"/>
      <c r="CX347" s="11">
        <v>0</v>
      </c>
      <c r="CY347" s="10"/>
      <c r="CZ347" s="10"/>
      <c r="DA347" s="11">
        <v>0</v>
      </c>
      <c r="DB347" s="10">
        <v>500000</v>
      </c>
      <c r="DC347" s="10">
        <f t="shared" si="558"/>
        <v>83000</v>
      </c>
      <c r="DD347" s="13">
        <f t="shared" si="559"/>
        <v>0.16600000000000001</v>
      </c>
      <c r="DE347" s="14"/>
    </row>
    <row r="348" spans="1:109" x14ac:dyDescent="0.35">
      <c r="A348" s="8" t="s">
        <v>757</v>
      </c>
      <c r="B348" s="9" t="s">
        <v>77</v>
      </c>
      <c r="C348" s="9" t="s">
        <v>43</v>
      </c>
      <c r="D348" s="9" t="s">
        <v>758</v>
      </c>
      <c r="E348" s="9" t="s">
        <v>61</v>
      </c>
      <c r="F348" s="9" t="s">
        <v>62</v>
      </c>
      <c r="G348" s="10"/>
      <c r="H348" s="10"/>
      <c r="I348" s="11">
        <v>0</v>
      </c>
      <c r="J348" s="10"/>
      <c r="K348" s="10"/>
      <c r="L348" s="12">
        <v>0</v>
      </c>
      <c r="M348" s="10"/>
      <c r="N348" s="10"/>
      <c r="O348" s="11">
        <v>0</v>
      </c>
      <c r="P348" s="10"/>
      <c r="Q348" s="10"/>
      <c r="R348" s="11">
        <v>0</v>
      </c>
      <c r="S348" s="10"/>
      <c r="T348" s="10"/>
      <c r="U348" s="11">
        <v>0</v>
      </c>
      <c r="V348" s="10"/>
      <c r="W348" s="10"/>
      <c r="X348" s="11">
        <v>0</v>
      </c>
      <c r="Y348" s="10"/>
      <c r="Z348" s="10"/>
      <c r="AA348" s="11"/>
      <c r="AB348" s="10"/>
      <c r="AC348" s="10"/>
      <c r="AD348" s="11">
        <v>0</v>
      </c>
      <c r="AE348" s="10"/>
      <c r="AF348" s="10"/>
      <c r="AG348" s="11">
        <v>0</v>
      </c>
      <c r="AH348" s="10"/>
      <c r="AI348" s="10"/>
      <c r="AJ348" s="11">
        <v>0</v>
      </c>
      <c r="AK348" s="10"/>
      <c r="AL348" s="10"/>
      <c r="AM348" s="11">
        <v>0</v>
      </c>
      <c r="AN348" s="10"/>
      <c r="AO348" s="10"/>
      <c r="AP348" s="11">
        <v>0</v>
      </c>
      <c r="AQ348" s="10"/>
      <c r="AR348" s="10"/>
      <c r="AS348" s="11">
        <v>0</v>
      </c>
      <c r="AT348" s="10"/>
      <c r="AU348" s="10"/>
      <c r="AV348" s="11">
        <v>0</v>
      </c>
      <c r="AW348" s="10"/>
      <c r="AX348" s="10"/>
      <c r="AY348" s="11">
        <v>0</v>
      </c>
      <c r="AZ348" s="10"/>
      <c r="BA348" s="10"/>
      <c r="BB348" s="11">
        <v>0</v>
      </c>
      <c r="BC348" s="10"/>
      <c r="BD348" s="10"/>
      <c r="BE348" s="11">
        <v>0</v>
      </c>
      <c r="BF348" s="10"/>
      <c r="BG348" s="10"/>
      <c r="BH348" s="11">
        <v>0</v>
      </c>
      <c r="BI348" s="10"/>
      <c r="BJ348" s="10"/>
      <c r="BK348" s="11">
        <v>0</v>
      </c>
      <c r="BL348" s="10"/>
      <c r="BM348" s="10"/>
      <c r="BN348" s="11">
        <v>0</v>
      </c>
      <c r="BO348" s="10"/>
      <c r="BP348" s="10"/>
      <c r="BQ348" s="11">
        <v>0</v>
      </c>
      <c r="BR348" s="10"/>
      <c r="BS348" s="10"/>
      <c r="BT348" s="11">
        <v>0</v>
      </c>
      <c r="BU348" s="10"/>
      <c r="BV348" s="10"/>
      <c r="BW348" s="11">
        <v>0</v>
      </c>
      <c r="BX348" s="10"/>
      <c r="BY348" s="10"/>
      <c r="BZ348" s="11">
        <v>0</v>
      </c>
      <c r="CA348" s="10"/>
      <c r="CB348" s="10"/>
      <c r="CC348" s="11">
        <v>0</v>
      </c>
      <c r="CD348" s="10"/>
      <c r="CE348" s="10"/>
      <c r="CF348" s="11">
        <v>0</v>
      </c>
      <c r="CG348" s="10"/>
      <c r="CH348" s="10"/>
      <c r="CI348" s="11">
        <v>0</v>
      </c>
      <c r="CJ348" s="10"/>
      <c r="CK348" s="10"/>
      <c r="CL348" s="11">
        <v>0</v>
      </c>
      <c r="CM348" s="10"/>
      <c r="CN348" s="10"/>
      <c r="CO348" s="11">
        <v>0</v>
      </c>
      <c r="CP348" s="10"/>
      <c r="CQ348" s="10"/>
      <c r="CR348" s="11">
        <v>0</v>
      </c>
      <c r="CS348" s="10"/>
      <c r="CT348" s="10"/>
      <c r="CU348" s="11">
        <v>0</v>
      </c>
      <c r="CV348" s="10"/>
      <c r="CW348" s="10"/>
      <c r="CX348" s="11">
        <v>0</v>
      </c>
      <c r="CY348" s="10"/>
      <c r="CZ348" s="10"/>
      <c r="DA348" s="11">
        <v>0</v>
      </c>
      <c r="DB348" s="10"/>
      <c r="DC348" s="10"/>
      <c r="DD348" s="13">
        <v>0</v>
      </c>
      <c r="DE348" s="14"/>
    </row>
    <row r="349" spans="1:109" x14ac:dyDescent="0.35">
      <c r="A349" s="8" t="s">
        <v>759</v>
      </c>
      <c r="B349" s="9" t="s">
        <v>48</v>
      </c>
      <c r="C349" s="9" t="s">
        <v>43</v>
      </c>
      <c r="D349" s="9" t="s">
        <v>760</v>
      </c>
      <c r="E349" s="9" t="s">
        <v>45</v>
      </c>
      <c r="F349" s="9" t="s">
        <v>46</v>
      </c>
      <c r="G349" s="10"/>
      <c r="H349" s="10"/>
      <c r="I349" s="11">
        <v>0</v>
      </c>
      <c r="J349" s="10"/>
      <c r="K349" s="10"/>
      <c r="L349" s="12">
        <v>0</v>
      </c>
      <c r="M349" s="10"/>
      <c r="N349" s="10"/>
      <c r="O349" s="11">
        <v>0</v>
      </c>
      <c r="P349" s="10"/>
      <c r="Q349" s="10"/>
      <c r="R349" s="11">
        <v>0</v>
      </c>
      <c r="S349" s="10"/>
      <c r="T349" s="10"/>
      <c r="U349" s="11">
        <v>0</v>
      </c>
      <c r="V349" s="10"/>
      <c r="W349" s="10"/>
      <c r="X349" s="11">
        <v>0</v>
      </c>
      <c r="Y349" s="10"/>
      <c r="Z349" s="10"/>
      <c r="AA349" s="11"/>
      <c r="AB349" s="10"/>
      <c r="AC349" s="10"/>
      <c r="AD349" s="11">
        <v>0</v>
      </c>
      <c r="AE349" s="10"/>
      <c r="AF349" s="10"/>
      <c r="AG349" s="11">
        <v>0</v>
      </c>
      <c r="AH349" s="10"/>
      <c r="AI349" s="10"/>
      <c r="AJ349" s="11">
        <v>0</v>
      </c>
      <c r="AK349" s="10"/>
      <c r="AL349" s="10"/>
      <c r="AM349" s="11">
        <v>0</v>
      </c>
      <c r="AN349" s="10"/>
      <c r="AO349" s="10"/>
      <c r="AP349" s="11">
        <v>0</v>
      </c>
      <c r="AQ349" s="10"/>
      <c r="AR349" s="10"/>
      <c r="AS349" s="11">
        <v>0</v>
      </c>
      <c r="AT349" s="10"/>
      <c r="AU349" s="10"/>
      <c r="AV349" s="11">
        <v>0</v>
      </c>
      <c r="AW349" s="10"/>
      <c r="AX349" s="10"/>
      <c r="AY349" s="11">
        <v>0</v>
      </c>
      <c r="AZ349" s="10"/>
      <c r="BA349" s="10"/>
      <c r="BB349" s="11">
        <v>0</v>
      </c>
      <c r="BC349" s="10"/>
      <c r="BD349" s="10"/>
      <c r="BE349" s="11">
        <v>0</v>
      </c>
      <c r="BF349" s="10"/>
      <c r="BG349" s="10"/>
      <c r="BH349" s="11">
        <v>0</v>
      </c>
      <c r="BI349" s="10"/>
      <c r="BJ349" s="10"/>
      <c r="BK349" s="11">
        <v>0</v>
      </c>
      <c r="BL349" s="10"/>
      <c r="BM349" s="10"/>
      <c r="BN349" s="11">
        <v>0</v>
      </c>
      <c r="BO349" s="10"/>
      <c r="BP349" s="10"/>
      <c r="BQ349" s="11">
        <v>0</v>
      </c>
      <c r="BR349" s="10"/>
      <c r="BS349" s="10"/>
      <c r="BT349" s="11">
        <v>0</v>
      </c>
      <c r="BU349" s="10"/>
      <c r="BV349" s="10"/>
      <c r="BW349" s="11">
        <v>0</v>
      </c>
      <c r="BX349" s="10"/>
      <c r="BY349" s="10"/>
      <c r="BZ349" s="11">
        <v>0</v>
      </c>
      <c r="CA349" s="10"/>
      <c r="CB349" s="10"/>
      <c r="CC349" s="11">
        <v>0</v>
      </c>
      <c r="CD349" s="10"/>
      <c r="CE349" s="10"/>
      <c r="CF349" s="11">
        <v>0</v>
      </c>
      <c r="CG349" s="10"/>
      <c r="CH349" s="10"/>
      <c r="CI349" s="11">
        <v>0</v>
      </c>
      <c r="CJ349" s="10"/>
      <c r="CK349" s="10"/>
      <c r="CL349" s="11">
        <v>0</v>
      </c>
      <c r="CM349" s="10"/>
      <c r="CN349" s="10"/>
      <c r="CO349" s="11">
        <v>0</v>
      </c>
      <c r="CP349" s="10"/>
      <c r="CQ349" s="10"/>
      <c r="CR349" s="11">
        <v>0</v>
      </c>
      <c r="CS349" s="10"/>
      <c r="CT349" s="10"/>
      <c r="CU349" s="11">
        <v>0</v>
      </c>
      <c r="CV349" s="10"/>
      <c r="CW349" s="10"/>
      <c r="CX349" s="11">
        <v>0</v>
      </c>
      <c r="CY349" s="10"/>
      <c r="CZ349" s="10"/>
      <c r="DA349" s="11">
        <v>0</v>
      </c>
      <c r="DB349" s="10"/>
      <c r="DC349" s="10"/>
      <c r="DD349" s="13">
        <v>0</v>
      </c>
      <c r="DE349" s="14"/>
    </row>
    <row r="350" spans="1:109" x14ac:dyDescent="0.35">
      <c r="A350" s="8" t="s">
        <v>761</v>
      </c>
      <c r="B350" s="9" t="s">
        <v>59</v>
      </c>
      <c r="C350" s="9" t="s">
        <v>43</v>
      </c>
      <c r="D350" s="9" t="s">
        <v>762</v>
      </c>
      <c r="E350" s="9" t="s">
        <v>61</v>
      </c>
      <c r="F350" s="9" t="s">
        <v>62</v>
      </c>
      <c r="G350" s="10"/>
      <c r="H350" s="10"/>
      <c r="I350" s="11">
        <v>0</v>
      </c>
      <c r="J350" s="10"/>
      <c r="K350" s="10"/>
      <c r="L350" s="12">
        <v>0</v>
      </c>
      <c r="M350" s="10"/>
      <c r="N350" s="10"/>
      <c r="O350" s="11">
        <v>0</v>
      </c>
      <c r="P350" s="10"/>
      <c r="Q350" s="10"/>
      <c r="R350" s="11">
        <v>0</v>
      </c>
      <c r="S350" s="10"/>
      <c r="T350" s="10"/>
      <c r="U350" s="11">
        <v>0</v>
      </c>
      <c r="V350" s="10"/>
      <c r="W350" s="10"/>
      <c r="X350" s="11">
        <v>0</v>
      </c>
      <c r="Y350" s="10"/>
      <c r="Z350" s="10"/>
      <c r="AA350" s="11"/>
      <c r="AB350" s="10"/>
      <c r="AC350" s="10"/>
      <c r="AD350" s="11">
        <v>0</v>
      </c>
      <c r="AE350" s="10"/>
      <c r="AF350" s="10"/>
      <c r="AG350" s="11">
        <v>0</v>
      </c>
      <c r="AH350" s="10"/>
      <c r="AI350" s="10"/>
      <c r="AJ350" s="11">
        <v>0</v>
      </c>
      <c r="AK350" s="10"/>
      <c r="AL350" s="10"/>
      <c r="AM350" s="11">
        <v>0</v>
      </c>
      <c r="AN350" s="10"/>
      <c r="AO350" s="10"/>
      <c r="AP350" s="11">
        <v>0</v>
      </c>
      <c r="AQ350" s="10"/>
      <c r="AR350" s="10"/>
      <c r="AS350" s="11">
        <v>0</v>
      </c>
      <c r="AT350" s="10"/>
      <c r="AU350" s="10"/>
      <c r="AV350" s="11">
        <v>0</v>
      </c>
      <c r="AW350" s="10"/>
      <c r="AX350" s="10"/>
      <c r="AY350" s="11">
        <v>0</v>
      </c>
      <c r="AZ350" s="10"/>
      <c r="BA350" s="10"/>
      <c r="BB350" s="11">
        <v>0</v>
      </c>
      <c r="BC350" s="10"/>
      <c r="BD350" s="10"/>
      <c r="BE350" s="11">
        <v>0</v>
      </c>
      <c r="BF350" s="10"/>
      <c r="BG350" s="10"/>
      <c r="BH350" s="11">
        <v>0</v>
      </c>
      <c r="BI350" s="10"/>
      <c r="BJ350" s="10"/>
      <c r="BK350" s="11">
        <v>0</v>
      </c>
      <c r="BL350" s="10"/>
      <c r="BM350" s="10"/>
      <c r="BN350" s="11">
        <v>0</v>
      </c>
      <c r="BO350" s="10"/>
      <c r="BP350" s="10"/>
      <c r="BQ350" s="11">
        <v>0</v>
      </c>
      <c r="BR350" s="10"/>
      <c r="BS350" s="10"/>
      <c r="BT350" s="11">
        <v>0</v>
      </c>
      <c r="BU350" s="10"/>
      <c r="BV350" s="10"/>
      <c r="BW350" s="11">
        <v>0</v>
      </c>
      <c r="BX350" s="10"/>
      <c r="BY350" s="10"/>
      <c r="BZ350" s="11">
        <v>0</v>
      </c>
      <c r="CA350" s="10"/>
      <c r="CB350" s="10"/>
      <c r="CC350" s="11">
        <v>0</v>
      </c>
      <c r="CD350" s="10"/>
      <c r="CE350" s="10"/>
      <c r="CF350" s="11">
        <v>0</v>
      </c>
      <c r="CG350" s="10"/>
      <c r="CH350" s="10"/>
      <c r="CI350" s="11">
        <v>0</v>
      </c>
      <c r="CJ350" s="10"/>
      <c r="CK350" s="10"/>
      <c r="CL350" s="11">
        <v>0</v>
      </c>
      <c r="CM350" s="10"/>
      <c r="CN350" s="10"/>
      <c r="CO350" s="11">
        <v>0</v>
      </c>
      <c r="CP350" s="10"/>
      <c r="CQ350" s="10"/>
      <c r="CR350" s="11">
        <v>0</v>
      </c>
      <c r="CS350" s="10"/>
      <c r="CT350" s="10"/>
      <c r="CU350" s="11">
        <v>0</v>
      </c>
      <c r="CV350" s="10"/>
      <c r="CW350" s="10"/>
      <c r="CX350" s="11">
        <v>0</v>
      </c>
      <c r="CY350" s="10"/>
      <c r="CZ350" s="10"/>
      <c r="DA350" s="11">
        <v>0</v>
      </c>
      <c r="DB350" s="10"/>
      <c r="DC350" s="10"/>
      <c r="DD350" s="13">
        <v>0</v>
      </c>
      <c r="DE350" s="14"/>
    </row>
    <row r="351" spans="1:109" x14ac:dyDescent="0.35">
      <c r="A351" s="8" t="s">
        <v>763</v>
      </c>
      <c r="B351" s="9" t="s">
        <v>74</v>
      </c>
      <c r="C351" s="9" t="s">
        <v>52</v>
      </c>
      <c r="D351" s="9" t="s">
        <v>764</v>
      </c>
      <c r="E351" s="9" t="s">
        <v>54</v>
      </c>
      <c r="F351" s="9" t="s">
        <v>55</v>
      </c>
      <c r="G351" s="10"/>
      <c r="H351" s="10"/>
      <c r="I351" s="11">
        <v>0</v>
      </c>
      <c r="J351" s="10"/>
      <c r="K351" s="10"/>
      <c r="L351" s="12">
        <v>0</v>
      </c>
      <c r="M351" s="10"/>
      <c r="N351" s="10"/>
      <c r="O351" s="11">
        <v>0</v>
      </c>
      <c r="P351" s="10"/>
      <c r="Q351" s="10"/>
      <c r="R351" s="11">
        <v>0</v>
      </c>
      <c r="S351" s="10"/>
      <c r="T351" s="10"/>
      <c r="U351" s="11">
        <v>0</v>
      </c>
      <c r="V351" s="10"/>
      <c r="W351" s="10"/>
      <c r="X351" s="11">
        <v>0</v>
      </c>
      <c r="Y351" s="10"/>
      <c r="Z351" s="10"/>
      <c r="AA351" s="11"/>
      <c r="AB351" s="10"/>
      <c r="AC351" s="10"/>
      <c r="AD351" s="11">
        <v>0</v>
      </c>
      <c r="AE351" s="10"/>
      <c r="AF351" s="10"/>
      <c r="AG351" s="11">
        <v>0</v>
      </c>
      <c r="AH351" s="10"/>
      <c r="AI351" s="10"/>
      <c r="AJ351" s="11">
        <v>0</v>
      </c>
      <c r="AK351" s="10"/>
      <c r="AL351" s="10"/>
      <c r="AM351" s="11">
        <v>0</v>
      </c>
      <c r="AN351" s="10"/>
      <c r="AO351" s="10"/>
      <c r="AP351" s="11">
        <v>0</v>
      </c>
      <c r="AQ351" s="10"/>
      <c r="AR351" s="10"/>
      <c r="AS351" s="11">
        <v>0</v>
      </c>
      <c r="AT351" s="10"/>
      <c r="AU351" s="10"/>
      <c r="AV351" s="11">
        <v>0</v>
      </c>
      <c r="AW351" s="10"/>
      <c r="AX351" s="10"/>
      <c r="AY351" s="11">
        <v>0</v>
      </c>
      <c r="AZ351" s="10"/>
      <c r="BA351" s="10"/>
      <c r="BB351" s="11">
        <v>0</v>
      </c>
      <c r="BC351" s="10"/>
      <c r="BD351" s="10"/>
      <c r="BE351" s="11">
        <v>0</v>
      </c>
      <c r="BF351" s="10"/>
      <c r="BG351" s="10"/>
      <c r="BH351" s="11">
        <v>0</v>
      </c>
      <c r="BI351" s="10"/>
      <c r="BJ351" s="10"/>
      <c r="BK351" s="11">
        <v>0</v>
      </c>
      <c r="BL351" s="10"/>
      <c r="BM351" s="10"/>
      <c r="BN351" s="11">
        <v>0</v>
      </c>
      <c r="BO351" s="10"/>
      <c r="BP351" s="10"/>
      <c r="BQ351" s="11">
        <v>0</v>
      </c>
      <c r="BR351" s="10"/>
      <c r="BS351" s="10"/>
      <c r="BT351" s="11">
        <v>0</v>
      </c>
      <c r="BU351" s="10"/>
      <c r="BV351" s="10"/>
      <c r="BW351" s="11">
        <v>0</v>
      </c>
      <c r="BX351" s="10"/>
      <c r="BY351" s="10"/>
      <c r="BZ351" s="11">
        <v>0</v>
      </c>
      <c r="CA351" s="10"/>
      <c r="CB351" s="10"/>
      <c r="CC351" s="11">
        <v>0</v>
      </c>
      <c r="CD351" s="10"/>
      <c r="CE351" s="10"/>
      <c r="CF351" s="11">
        <v>0</v>
      </c>
      <c r="CG351" s="10"/>
      <c r="CH351" s="10"/>
      <c r="CI351" s="11">
        <v>0</v>
      </c>
      <c r="CJ351" s="10"/>
      <c r="CK351" s="10"/>
      <c r="CL351" s="11">
        <v>0</v>
      </c>
      <c r="CM351" s="10"/>
      <c r="CN351" s="10"/>
      <c r="CO351" s="11">
        <v>0</v>
      </c>
      <c r="CP351" s="10"/>
      <c r="CQ351" s="10"/>
      <c r="CR351" s="11">
        <v>0</v>
      </c>
      <c r="CS351" s="10"/>
      <c r="CT351" s="10"/>
      <c r="CU351" s="11">
        <v>0</v>
      </c>
      <c r="CV351" s="10"/>
      <c r="CW351" s="10"/>
      <c r="CX351" s="11">
        <v>0</v>
      </c>
      <c r="CY351" s="10"/>
      <c r="CZ351" s="10"/>
      <c r="DA351" s="11">
        <v>0</v>
      </c>
      <c r="DB351" s="10"/>
      <c r="DC351" s="10"/>
      <c r="DD351" s="13">
        <v>0</v>
      </c>
      <c r="DE351" s="14"/>
    </row>
    <row r="352" spans="1:109" x14ac:dyDescent="0.35">
      <c r="A352" s="8" t="s">
        <v>765</v>
      </c>
      <c r="B352" s="9" t="s">
        <v>74</v>
      </c>
      <c r="C352" s="9" t="s">
        <v>52</v>
      </c>
      <c r="D352" s="9" t="s">
        <v>766</v>
      </c>
      <c r="E352" s="9" t="s">
        <v>54</v>
      </c>
      <c r="F352" s="9" t="s">
        <v>55</v>
      </c>
      <c r="G352" s="10"/>
      <c r="H352" s="10"/>
      <c r="I352" s="11">
        <v>0</v>
      </c>
      <c r="J352" s="10"/>
      <c r="K352" s="10"/>
      <c r="L352" s="12">
        <v>0</v>
      </c>
      <c r="M352" s="10"/>
      <c r="N352" s="10"/>
      <c r="O352" s="11">
        <v>0</v>
      </c>
      <c r="P352" s="10"/>
      <c r="Q352" s="10"/>
      <c r="R352" s="11">
        <v>0</v>
      </c>
      <c r="S352" s="10"/>
      <c r="T352" s="10"/>
      <c r="U352" s="11">
        <v>0</v>
      </c>
      <c r="V352" s="10"/>
      <c r="W352" s="10"/>
      <c r="X352" s="11">
        <v>0</v>
      </c>
      <c r="Y352" s="10"/>
      <c r="Z352" s="10"/>
      <c r="AA352" s="11"/>
      <c r="AB352" s="10"/>
      <c r="AC352" s="10"/>
      <c r="AD352" s="11">
        <v>0</v>
      </c>
      <c r="AE352" s="10"/>
      <c r="AF352" s="10"/>
      <c r="AG352" s="11">
        <v>0</v>
      </c>
      <c r="AH352" s="10"/>
      <c r="AI352" s="10"/>
      <c r="AJ352" s="11">
        <v>0</v>
      </c>
      <c r="AK352" s="10"/>
      <c r="AL352" s="10"/>
      <c r="AM352" s="11">
        <v>0</v>
      </c>
      <c r="AN352" s="10"/>
      <c r="AO352" s="10"/>
      <c r="AP352" s="11">
        <v>0</v>
      </c>
      <c r="AQ352" s="10"/>
      <c r="AR352" s="10"/>
      <c r="AS352" s="11">
        <v>0</v>
      </c>
      <c r="AT352" s="10"/>
      <c r="AU352" s="10"/>
      <c r="AV352" s="11">
        <v>0</v>
      </c>
      <c r="AW352" s="10"/>
      <c r="AX352" s="10"/>
      <c r="AY352" s="11">
        <v>0</v>
      </c>
      <c r="AZ352" s="10"/>
      <c r="BA352" s="10"/>
      <c r="BB352" s="11">
        <v>0</v>
      </c>
      <c r="BC352" s="10"/>
      <c r="BD352" s="10"/>
      <c r="BE352" s="11">
        <v>0</v>
      </c>
      <c r="BF352" s="10"/>
      <c r="BG352" s="10"/>
      <c r="BH352" s="11">
        <v>0</v>
      </c>
      <c r="BI352" s="10"/>
      <c r="BJ352" s="10"/>
      <c r="BK352" s="11">
        <v>0</v>
      </c>
      <c r="BL352" s="10"/>
      <c r="BM352" s="10"/>
      <c r="BN352" s="11">
        <v>0</v>
      </c>
      <c r="BO352" s="10"/>
      <c r="BP352" s="10"/>
      <c r="BQ352" s="11">
        <v>0</v>
      </c>
      <c r="BR352" s="10"/>
      <c r="BS352" s="10"/>
      <c r="BT352" s="11">
        <v>0</v>
      </c>
      <c r="BU352" s="10"/>
      <c r="BV352" s="10"/>
      <c r="BW352" s="11">
        <v>0</v>
      </c>
      <c r="BX352" s="10"/>
      <c r="BY352" s="10"/>
      <c r="BZ352" s="11">
        <v>0</v>
      </c>
      <c r="CA352" s="10"/>
      <c r="CB352" s="10"/>
      <c r="CC352" s="11">
        <v>0</v>
      </c>
      <c r="CD352" s="10"/>
      <c r="CE352" s="10"/>
      <c r="CF352" s="11">
        <v>0</v>
      </c>
      <c r="CG352" s="10"/>
      <c r="CH352" s="10"/>
      <c r="CI352" s="11">
        <v>0</v>
      </c>
      <c r="CJ352" s="10"/>
      <c r="CK352" s="10"/>
      <c r="CL352" s="11">
        <v>0</v>
      </c>
      <c r="CM352" s="10"/>
      <c r="CN352" s="10"/>
      <c r="CO352" s="11">
        <v>0</v>
      </c>
      <c r="CP352" s="10"/>
      <c r="CQ352" s="10"/>
      <c r="CR352" s="11">
        <v>0</v>
      </c>
      <c r="CS352" s="10"/>
      <c r="CT352" s="10"/>
      <c r="CU352" s="11">
        <v>0</v>
      </c>
      <c r="CV352" s="10"/>
      <c r="CW352" s="10"/>
      <c r="CX352" s="11">
        <v>0</v>
      </c>
      <c r="CY352" s="10"/>
      <c r="CZ352" s="10"/>
      <c r="DA352" s="11">
        <v>0</v>
      </c>
      <c r="DB352" s="10"/>
      <c r="DC352" s="10"/>
      <c r="DD352" s="13">
        <v>0</v>
      </c>
      <c r="DE352" s="14"/>
    </row>
    <row r="353" spans="1:109" x14ac:dyDescent="0.35">
      <c r="A353" s="8" t="s">
        <v>767</v>
      </c>
      <c r="B353" s="9" t="s">
        <v>74</v>
      </c>
      <c r="C353" s="9" t="s">
        <v>52</v>
      </c>
      <c r="D353" s="9" t="s">
        <v>768</v>
      </c>
      <c r="E353" s="9" t="s">
        <v>54</v>
      </c>
      <c r="F353" s="9" t="s">
        <v>55</v>
      </c>
      <c r="G353" s="10"/>
      <c r="H353" s="10"/>
      <c r="I353" s="11">
        <v>0</v>
      </c>
      <c r="J353" s="10"/>
      <c r="K353" s="10"/>
      <c r="L353" s="12">
        <v>0</v>
      </c>
      <c r="M353" s="10"/>
      <c r="N353" s="10"/>
      <c r="O353" s="11">
        <v>0</v>
      </c>
      <c r="P353" s="10"/>
      <c r="Q353" s="10"/>
      <c r="R353" s="11">
        <v>0</v>
      </c>
      <c r="S353" s="10"/>
      <c r="T353" s="10"/>
      <c r="U353" s="11">
        <v>0</v>
      </c>
      <c r="V353" s="10"/>
      <c r="W353" s="10"/>
      <c r="X353" s="11">
        <v>0</v>
      </c>
      <c r="Y353" s="10"/>
      <c r="Z353" s="10"/>
      <c r="AA353" s="11"/>
      <c r="AB353" s="10"/>
      <c r="AC353" s="10"/>
      <c r="AD353" s="11">
        <v>0</v>
      </c>
      <c r="AE353" s="10"/>
      <c r="AF353" s="10"/>
      <c r="AG353" s="11">
        <v>0</v>
      </c>
      <c r="AH353" s="10"/>
      <c r="AI353" s="10"/>
      <c r="AJ353" s="11">
        <v>0</v>
      </c>
      <c r="AK353" s="10"/>
      <c r="AL353" s="10"/>
      <c r="AM353" s="11">
        <v>0</v>
      </c>
      <c r="AN353" s="10"/>
      <c r="AO353" s="10"/>
      <c r="AP353" s="11">
        <v>0</v>
      </c>
      <c r="AQ353" s="10"/>
      <c r="AR353" s="10"/>
      <c r="AS353" s="11">
        <v>0</v>
      </c>
      <c r="AT353" s="10"/>
      <c r="AU353" s="10"/>
      <c r="AV353" s="11">
        <v>0</v>
      </c>
      <c r="AW353" s="10"/>
      <c r="AX353" s="10"/>
      <c r="AY353" s="11">
        <v>0</v>
      </c>
      <c r="AZ353" s="10"/>
      <c r="BA353" s="10"/>
      <c r="BB353" s="11">
        <v>0</v>
      </c>
      <c r="BC353" s="10"/>
      <c r="BD353" s="10"/>
      <c r="BE353" s="11">
        <v>0</v>
      </c>
      <c r="BF353" s="10"/>
      <c r="BG353" s="10"/>
      <c r="BH353" s="11">
        <v>0</v>
      </c>
      <c r="BI353" s="10"/>
      <c r="BJ353" s="10"/>
      <c r="BK353" s="11">
        <v>0</v>
      </c>
      <c r="BL353" s="10"/>
      <c r="BM353" s="10"/>
      <c r="BN353" s="11">
        <v>0</v>
      </c>
      <c r="BO353" s="10"/>
      <c r="BP353" s="10"/>
      <c r="BQ353" s="11">
        <v>0</v>
      </c>
      <c r="BR353" s="10"/>
      <c r="BS353" s="10"/>
      <c r="BT353" s="11">
        <v>0</v>
      </c>
      <c r="BU353" s="10"/>
      <c r="BV353" s="10"/>
      <c r="BW353" s="11">
        <v>0</v>
      </c>
      <c r="BX353" s="10"/>
      <c r="BY353" s="10"/>
      <c r="BZ353" s="11">
        <v>0</v>
      </c>
      <c r="CA353" s="10"/>
      <c r="CB353" s="10"/>
      <c r="CC353" s="11">
        <v>0</v>
      </c>
      <c r="CD353" s="10"/>
      <c r="CE353" s="10"/>
      <c r="CF353" s="11">
        <v>0</v>
      </c>
      <c r="CG353" s="10"/>
      <c r="CH353" s="10"/>
      <c r="CI353" s="11">
        <v>0</v>
      </c>
      <c r="CJ353" s="10"/>
      <c r="CK353" s="10"/>
      <c r="CL353" s="11">
        <v>0</v>
      </c>
      <c r="CM353" s="10"/>
      <c r="CN353" s="10"/>
      <c r="CO353" s="11">
        <v>0</v>
      </c>
      <c r="CP353" s="10"/>
      <c r="CQ353" s="10"/>
      <c r="CR353" s="11">
        <v>0</v>
      </c>
      <c r="CS353" s="10"/>
      <c r="CT353" s="10"/>
      <c r="CU353" s="11">
        <v>0</v>
      </c>
      <c r="CV353" s="10"/>
      <c r="CW353" s="10"/>
      <c r="CX353" s="11">
        <v>0</v>
      </c>
      <c r="CY353" s="10"/>
      <c r="CZ353" s="10"/>
      <c r="DA353" s="11">
        <v>0</v>
      </c>
      <c r="DB353" s="10"/>
      <c r="DC353" s="10"/>
      <c r="DD353" s="13">
        <v>0</v>
      </c>
      <c r="DE353" s="14"/>
    </row>
    <row r="354" spans="1:109" x14ac:dyDescent="0.35">
      <c r="A354" s="8" t="s">
        <v>769</v>
      </c>
      <c r="B354" s="9" t="s">
        <v>74</v>
      </c>
      <c r="C354" s="9" t="s">
        <v>52</v>
      </c>
      <c r="D354" s="9" t="s">
        <v>770</v>
      </c>
      <c r="E354" s="9" t="s">
        <v>54</v>
      </c>
      <c r="F354" s="9" t="s">
        <v>55</v>
      </c>
      <c r="G354" s="10"/>
      <c r="H354" s="10"/>
      <c r="I354" s="11">
        <v>0</v>
      </c>
      <c r="J354" s="10"/>
      <c r="K354" s="10"/>
      <c r="L354" s="12">
        <v>0</v>
      </c>
      <c r="M354" s="10"/>
      <c r="N354" s="10"/>
      <c r="O354" s="11">
        <v>0</v>
      </c>
      <c r="P354" s="10"/>
      <c r="Q354" s="10"/>
      <c r="R354" s="11">
        <v>0</v>
      </c>
      <c r="S354" s="10"/>
      <c r="T354" s="10"/>
      <c r="U354" s="11">
        <v>0</v>
      </c>
      <c r="V354" s="10"/>
      <c r="W354" s="10"/>
      <c r="X354" s="11">
        <v>0</v>
      </c>
      <c r="Y354" s="10"/>
      <c r="Z354" s="10"/>
      <c r="AA354" s="11"/>
      <c r="AB354" s="10"/>
      <c r="AC354" s="10"/>
      <c r="AD354" s="11">
        <v>0</v>
      </c>
      <c r="AE354" s="10"/>
      <c r="AF354" s="10"/>
      <c r="AG354" s="11">
        <v>0</v>
      </c>
      <c r="AH354" s="10"/>
      <c r="AI354" s="10"/>
      <c r="AJ354" s="11">
        <v>0</v>
      </c>
      <c r="AK354" s="10"/>
      <c r="AL354" s="10"/>
      <c r="AM354" s="11">
        <v>0</v>
      </c>
      <c r="AN354" s="10"/>
      <c r="AO354" s="10"/>
      <c r="AP354" s="11">
        <v>0</v>
      </c>
      <c r="AQ354" s="10"/>
      <c r="AR354" s="10"/>
      <c r="AS354" s="11">
        <v>0</v>
      </c>
      <c r="AT354" s="10"/>
      <c r="AU354" s="10"/>
      <c r="AV354" s="11">
        <v>0</v>
      </c>
      <c r="AW354" s="10"/>
      <c r="AX354" s="10"/>
      <c r="AY354" s="11">
        <v>0</v>
      </c>
      <c r="AZ354" s="10"/>
      <c r="BA354" s="10"/>
      <c r="BB354" s="11">
        <v>0</v>
      </c>
      <c r="BC354" s="10"/>
      <c r="BD354" s="10"/>
      <c r="BE354" s="11">
        <v>0</v>
      </c>
      <c r="BF354" s="10"/>
      <c r="BG354" s="10"/>
      <c r="BH354" s="11">
        <v>0</v>
      </c>
      <c r="BI354" s="10"/>
      <c r="BJ354" s="10"/>
      <c r="BK354" s="11">
        <v>0</v>
      </c>
      <c r="BL354" s="10"/>
      <c r="BM354" s="10"/>
      <c r="BN354" s="11">
        <v>0</v>
      </c>
      <c r="BO354" s="10"/>
      <c r="BP354" s="10"/>
      <c r="BQ354" s="11">
        <v>0</v>
      </c>
      <c r="BR354" s="10"/>
      <c r="BS354" s="10"/>
      <c r="BT354" s="11">
        <v>0</v>
      </c>
      <c r="BU354" s="10"/>
      <c r="BV354" s="10"/>
      <c r="BW354" s="11">
        <v>0</v>
      </c>
      <c r="BX354" s="10"/>
      <c r="BY354" s="10"/>
      <c r="BZ354" s="11">
        <v>0</v>
      </c>
      <c r="CA354" s="10"/>
      <c r="CB354" s="10"/>
      <c r="CC354" s="11">
        <v>0</v>
      </c>
      <c r="CD354" s="10"/>
      <c r="CE354" s="10"/>
      <c r="CF354" s="11">
        <v>0</v>
      </c>
      <c r="CG354" s="10"/>
      <c r="CH354" s="10"/>
      <c r="CI354" s="11">
        <v>0</v>
      </c>
      <c r="CJ354" s="10"/>
      <c r="CK354" s="10"/>
      <c r="CL354" s="11">
        <v>0</v>
      </c>
      <c r="CM354" s="10"/>
      <c r="CN354" s="10"/>
      <c r="CO354" s="11">
        <v>0</v>
      </c>
      <c r="CP354" s="10"/>
      <c r="CQ354" s="10"/>
      <c r="CR354" s="11">
        <v>0</v>
      </c>
      <c r="CS354" s="10"/>
      <c r="CT354" s="10"/>
      <c r="CU354" s="11">
        <v>0</v>
      </c>
      <c r="CV354" s="10"/>
      <c r="CW354" s="10"/>
      <c r="CX354" s="11">
        <v>0</v>
      </c>
      <c r="CY354" s="10"/>
      <c r="CZ354" s="10"/>
      <c r="DA354" s="11">
        <v>0</v>
      </c>
      <c r="DB354" s="10"/>
      <c r="DC354" s="10"/>
      <c r="DD354" s="13">
        <v>0</v>
      </c>
      <c r="DE354" s="14"/>
    </row>
    <row r="355" spans="1:109" x14ac:dyDescent="0.35">
      <c r="A355" s="8" t="s">
        <v>771</v>
      </c>
      <c r="B355" s="9" t="s">
        <v>111</v>
      </c>
      <c r="C355" s="9" t="s">
        <v>52</v>
      </c>
      <c r="D355" s="9" t="s">
        <v>772</v>
      </c>
      <c r="E355" s="9" t="s">
        <v>54</v>
      </c>
      <c r="F355" s="9" t="s">
        <v>55</v>
      </c>
      <c r="G355" s="10"/>
      <c r="H355" s="10"/>
      <c r="I355" s="11">
        <v>0</v>
      </c>
      <c r="J355" s="10"/>
      <c r="K355" s="10"/>
      <c r="L355" s="12">
        <v>0</v>
      </c>
      <c r="M355" s="10"/>
      <c r="N355" s="10"/>
      <c r="O355" s="11">
        <v>0</v>
      </c>
      <c r="P355" s="10"/>
      <c r="Q355" s="10"/>
      <c r="R355" s="11">
        <v>0</v>
      </c>
      <c r="S355" s="10"/>
      <c r="T355" s="10"/>
      <c r="U355" s="11">
        <v>0</v>
      </c>
      <c r="V355" s="10"/>
      <c r="W355" s="10"/>
      <c r="X355" s="11">
        <v>0</v>
      </c>
      <c r="Y355" s="10"/>
      <c r="Z355" s="10"/>
      <c r="AA355" s="11"/>
      <c r="AB355" s="10"/>
      <c r="AC355" s="10"/>
      <c r="AD355" s="11">
        <v>0</v>
      </c>
      <c r="AE355" s="10"/>
      <c r="AF355" s="10"/>
      <c r="AG355" s="11">
        <v>0</v>
      </c>
      <c r="AH355" s="10"/>
      <c r="AI355" s="10"/>
      <c r="AJ355" s="11">
        <v>0</v>
      </c>
      <c r="AK355" s="10"/>
      <c r="AL355" s="10"/>
      <c r="AM355" s="11">
        <v>0</v>
      </c>
      <c r="AN355" s="10"/>
      <c r="AO355" s="10"/>
      <c r="AP355" s="11">
        <v>0</v>
      </c>
      <c r="AQ355" s="10"/>
      <c r="AR355" s="10"/>
      <c r="AS355" s="11">
        <v>0</v>
      </c>
      <c r="AT355" s="10"/>
      <c r="AU355" s="10"/>
      <c r="AV355" s="11">
        <v>0</v>
      </c>
      <c r="AW355" s="10"/>
      <c r="AX355" s="10"/>
      <c r="AY355" s="11">
        <v>0</v>
      </c>
      <c r="AZ355" s="10"/>
      <c r="BA355" s="10"/>
      <c r="BB355" s="11">
        <v>0</v>
      </c>
      <c r="BC355" s="10"/>
      <c r="BD355" s="10"/>
      <c r="BE355" s="11">
        <v>0</v>
      </c>
      <c r="BF355" s="10"/>
      <c r="BG355" s="10"/>
      <c r="BH355" s="11">
        <v>0</v>
      </c>
      <c r="BI355" s="10"/>
      <c r="BJ355" s="10"/>
      <c r="BK355" s="11">
        <v>0</v>
      </c>
      <c r="BL355" s="10"/>
      <c r="BM355" s="10"/>
      <c r="BN355" s="11">
        <v>0</v>
      </c>
      <c r="BO355" s="10"/>
      <c r="BP355" s="10"/>
      <c r="BQ355" s="11">
        <v>0</v>
      </c>
      <c r="BR355" s="10"/>
      <c r="BS355" s="10"/>
      <c r="BT355" s="11">
        <v>0</v>
      </c>
      <c r="BU355" s="10"/>
      <c r="BV355" s="10"/>
      <c r="BW355" s="11">
        <v>0</v>
      </c>
      <c r="BX355" s="10"/>
      <c r="BY355" s="10"/>
      <c r="BZ355" s="11">
        <v>0</v>
      </c>
      <c r="CA355" s="10"/>
      <c r="CB355" s="10"/>
      <c r="CC355" s="11">
        <v>0</v>
      </c>
      <c r="CD355" s="10"/>
      <c r="CE355" s="10"/>
      <c r="CF355" s="11">
        <v>0</v>
      </c>
      <c r="CG355" s="10"/>
      <c r="CH355" s="10"/>
      <c r="CI355" s="11">
        <v>0</v>
      </c>
      <c r="CJ355" s="10"/>
      <c r="CK355" s="10"/>
      <c r="CL355" s="11">
        <v>0</v>
      </c>
      <c r="CM355" s="10"/>
      <c r="CN355" s="10"/>
      <c r="CO355" s="11">
        <v>0</v>
      </c>
      <c r="CP355" s="10"/>
      <c r="CQ355" s="10"/>
      <c r="CR355" s="11">
        <v>0</v>
      </c>
      <c r="CS355" s="10"/>
      <c r="CT355" s="10"/>
      <c r="CU355" s="11">
        <v>0</v>
      </c>
      <c r="CV355" s="10"/>
      <c r="CW355" s="10"/>
      <c r="CX355" s="11">
        <v>0</v>
      </c>
      <c r="CY355" s="10"/>
      <c r="CZ355" s="10"/>
      <c r="DA355" s="11">
        <v>0</v>
      </c>
      <c r="DB355" s="10"/>
      <c r="DC355" s="10"/>
      <c r="DD355" s="13">
        <v>0</v>
      </c>
      <c r="DE355" s="14"/>
    </row>
    <row r="356" spans="1:109" x14ac:dyDescent="0.35">
      <c r="A356" s="8" t="s">
        <v>773</v>
      </c>
      <c r="B356" s="9" t="s">
        <v>140</v>
      </c>
      <c r="C356" s="9" t="s">
        <v>43</v>
      </c>
      <c r="D356" s="9" t="s">
        <v>774</v>
      </c>
      <c r="E356" s="9" t="s">
        <v>45</v>
      </c>
      <c r="F356" s="9" t="s">
        <v>46</v>
      </c>
      <c r="G356" s="10"/>
      <c r="H356" s="10"/>
      <c r="I356" s="11">
        <v>0</v>
      </c>
      <c r="J356" s="10"/>
      <c r="K356" s="10"/>
      <c r="L356" s="12">
        <v>0</v>
      </c>
      <c r="M356" s="10"/>
      <c r="N356" s="10"/>
      <c r="O356" s="11">
        <v>0</v>
      </c>
      <c r="P356" s="10"/>
      <c r="Q356" s="10"/>
      <c r="R356" s="11">
        <v>0</v>
      </c>
      <c r="S356" s="10"/>
      <c r="T356" s="10"/>
      <c r="U356" s="11">
        <v>0</v>
      </c>
      <c r="V356" s="10"/>
      <c r="W356" s="10"/>
      <c r="X356" s="11">
        <v>0</v>
      </c>
      <c r="Y356" s="10"/>
      <c r="Z356" s="10"/>
      <c r="AA356" s="11"/>
      <c r="AB356" s="10"/>
      <c r="AC356" s="10"/>
      <c r="AD356" s="11">
        <v>0</v>
      </c>
      <c r="AE356" s="10"/>
      <c r="AF356" s="10"/>
      <c r="AG356" s="11">
        <v>0</v>
      </c>
      <c r="AH356" s="10"/>
      <c r="AI356" s="10"/>
      <c r="AJ356" s="11">
        <v>0</v>
      </c>
      <c r="AK356" s="10"/>
      <c r="AL356" s="10"/>
      <c r="AM356" s="11">
        <v>0</v>
      </c>
      <c r="AN356" s="10"/>
      <c r="AO356" s="10"/>
      <c r="AP356" s="11">
        <v>0</v>
      </c>
      <c r="AQ356" s="10"/>
      <c r="AR356" s="10"/>
      <c r="AS356" s="11">
        <v>0</v>
      </c>
      <c r="AT356" s="10"/>
      <c r="AU356" s="10"/>
      <c r="AV356" s="11">
        <v>0</v>
      </c>
      <c r="AW356" s="10"/>
      <c r="AX356" s="10"/>
      <c r="AY356" s="11">
        <v>0</v>
      </c>
      <c r="AZ356" s="10"/>
      <c r="BA356" s="10"/>
      <c r="BB356" s="11">
        <v>0</v>
      </c>
      <c r="BC356" s="10"/>
      <c r="BD356" s="10"/>
      <c r="BE356" s="11">
        <v>0</v>
      </c>
      <c r="BF356" s="10"/>
      <c r="BG356" s="10"/>
      <c r="BH356" s="11">
        <v>0</v>
      </c>
      <c r="BI356" s="10"/>
      <c r="BJ356" s="10"/>
      <c r="BK356" s="11">
        <v>0</v>
      </c>
      <c r="BL356" s="10"/>
      <c r="BM356" s="10"/>
      <c r="BN356" s="11">
        <v>0</v>
      </c>
      <c r="BO356" s="10"/>
      <c r="BP356" s="10"/>
      <c r="BQ356" s="11">
        <v>0</v>
      </c>
      <c r="BR356" s="10"/>
      <c r="BS356" s="10"/>
      <c r="BT356" s="11">
        <v>0</v>
      </c>
      <c r="BU356" s="10"/>
      <c r="BV356" s="10"/>
      <c r="BW356" s="11">
        <v>0</v>
      </c>
      <c r="BX356" s="10"/>
      <c r="BY356" s="10"/>
      <c r="BZ356" s="11">
        <v>0</v>
      </c>
      <c r="CA356" s="10"/>
      <c r="CB356" s="10"/>
      <c r="CC356" s="11">
        <v>0</v>
      </c>
      <c r="CD356" s="10"/>
      <c r="CE356" s="10"/>
      <c r="CF356" s="11">
        <v>0</v>
      </c>
      <c r="CG356" s="10"/>
      <c r="CH356" s="10"/>
      <c r="CI356" s="11">
        <v>0</v>
      </c>
      <c r="CJ356" s="10"/>
      <c r="CK356" s="10"/>
      <c r="CL356" s="11">
        <v>0</v>
      </c>
      <c r="CM356" s="10"/>
      <c r="CN356" s="10"/>
      <c r="CO356" s="11">
        <v>0</v>
      </c>
      <c r="CP356" s="10"/>
      <c r="CQ356" s="10"/>
      <c r="CR356" s="11">
        <v>0</v>
      </c>
      <c r="CS356" s="10"/>
      <c r="CT356" s="10"/>
      <c r="CU356" s="11">
        <v>0</v>
      </c>
      <c r="CV356" s="10"/>
      <c r="CW356" s="10"/>
      <c r="CX356" s="11">
        <v>0</v>
      </c>
      <c r="CY356" s="10"/>
      <c r="CZ356" s="10"/>
      <c r="DA356" s="11">
        <v>0</v>
      </c>
      <c r="DB356" s="10"/>
      <c r="DC356" s="10"/>
      <c r="DD356" s="13">
        <v>0</v>
      </c>
      <c r="DE356" s="14"/>
    </row>
    <row r="357" spans="1:109" x14ac:dyDescent="0.35">
      <c r="A357" s="8" t="s">
        <v>775</v>
      </c>
      <c r="B357" s="9" t="s">
        <v>108</v>
      </c>
      <c r="C357" s="9" t="s">
        <v>52</v>
      </c>
      <c r="D357" s="9" t="s">
        <v>776</v>
      </c>
      <c r="E357" s="9" t="s">
        <v>54</v>
      </c>
      <c r="F357" s="9" t="s">
        <v>55</v>
      </c>
      <c r="G357" s="10"/>
      <c r="H357" s="10"/>
      <c r="I357" s="11">
        <v>0</v>
      </c>
      <c r="J357" s="10"/>
      <c r="K357" s="10"/>
      <c r="L357" s="12">
        <v>0</v>
      </c>
      <c r="M357" s="10"/>
      <c r="N357" s="10"/>
      <c r="O357" s="11">
        <v>0</v>
      </c>
      <c r="P357" s="10"/>
      <c r="Q357" s="10"/>
      <c r="R357" s="11">
        <v>0</v>
      </c>
      <c r="S357" s="10"/>
      <c r="T357" s="10"/>
      <c r="U357" s="11">
        <v>0</v>
      </c>
      <c r="V357" s="10"/>
      <c r="W357" s="10"/>
      <c r="X357" s="11">
        <v>0</v>
      </c>
      <c r="Y357" s="10"/>
      <c r="Z357" s="10"/>
      <c r="AA357" s="11"/>
      <c r="AB357" s="10"/>
      <c r="AC357" s="10"/>
      <c r="AD357" s="11">
        <v>0</v>
      </c>
      <c r="AE357" s="10"/>
      <c r="AF357" s="10"/>
      <c r="AG357" s="11">
        <v>0</v>
      </c>
      <c r="AH357" s="10"/>
      <c r="AI357" s="10"/>
      <c r="AJ357" s="11">
        <v>0</v>
      </c>
      <c r="AK357" s="10"/>
      <c r="AL357" s="10"/>
      <c r="AM357" s="11">
        <v>0</v>
      </c>
      <c r="AN357" s="10"/>
      <c r="AO357" s="10"/>
      <c r="AP357" s="11">
        <v>0</v>
      </c>
      <c r="AQ357" s="10"/>
      <c r="AR357" s="10"/>
      <c r="AS357" s="11">
        <v>0</v>
      </c>
      <c r="AT357" s="10"/>
      <c r="AU357" s="10"/>
      <c r="AV357" s="11">
        <v>0</v>
      </c>
      <c r="AW357" s="10"/>
      <c r="AX357" s="10"/>
      <c r="AY357" s="11">
        <v>0</v>
      </c>
      <c r="AZ357" s="10"/>
      <c r="BA357" s="10"/>
      <c r="BB357" s="11">
        <v>0</v>
      </c>
      <c r="BC357" s="10"/>
      <c r="BD357" s="10"/>
      <c r="BE357" s="11">
        <v>0</v>
      </c>
      <c r="BF357" s="10"/>
      <c r="BG357" s="10"/>
      <c r="BH357" s="11">
        <v>0</v>
      </c>
      <c r="BI357" s="10"/>
      <c r="BJ357" s="10"/>
      <c r="BK357" s="11">
        <v>0</v>
      </c>
      <c r="BL357" s="10"/>
      <c r="BM357" s="10"/>
      <c r="BN357" s="11">
        <v>0</v>
      </c>
      <c r="BO357" s="10"/>
      <c r="BP357" s="10"/>
      <c r="BQ357" s="11">
        <v>0</v>
      </c>
      <c r="BR357" s="10"/>
      <c r="BS357" s="10"/>
      <c r="BT357" s="11">
        <v>0</v>
      </c>
      <c r="BU357" s="10"/>
      <c r="BV357" s="10"/>
      <c r="BW357" s="11">
        <v>0</v>
      </c>
      <c r="BX357" s="10"/>
      <c r="BY357" s="10"/>
      <c r="BZ357" s="11">
        <v>0</v>
      </c>
      <c r="CA357" s="10"/>
      <c r="CB357" s="10"/>
      <c r="CC357" s="11">
        <v>0</v>
      </c>
      <c r="CD357" s="10"/>
      <c r="CE357" s="10"/>
      <c r="CF357" s="11">
        <v>0</v>
      </c>
      <c r="CG357" s="10"/>
      <c r="CH357" s="10"/>
      <c r="CI357" s="11">
        <v>0</v>
      </c>
      <c r="CJ357" s="10"/>
      <c r="CK357" s="10"/>
      <c r="CL357" s="11">
        <v>0</v>
      </c>
      <c r="CM357" s="10"/>
      <c r="CN357" s="10"/>
      <c r="CO357" s="11">
        <v>0</v>
      </c>
      <c r="CP357" s="10"/>
      <c r="CQ357" s="10"/>
      <c r="CR357" s="11">
        <v>0</v>
      </c>
      <c r="CS357" s="10"/>
      <c r="CT357" s="10"/>
      <c r="CU357" s="11">
        <v>0</v>
      </c>
      <c r="CV357" s="10"/>
      <c r="CW357" s="10"/>
      <c r="CX357" s="11">
        <v>0</v>
      </c>
      <c r="CY357" s="10"/>
      <c r="CZ357" s="10"/>
      <c r="DA357" s="11">
        <v>0</v>
      </c>
      <c r="DB357" s="10"/>
      <c r="DC357" s="10"/>
      <c r="DD357" s="13">
        <v>0</v>
      </c>
      <c r="DE357" s="14"/>
    </row>
    <row r="358" spans="1:109" x14ac:dyDescent="0.35">
      <c r="A358" s="8" t="s">
        <v>777</v>
      </c>
      <c r="B358" s="9" t="s">
        <v>48</v>
      </c>
      <c r="C358" s="9" t="s">
        <v>43</v>
      </c>
      <c r="D358" s="9" t="s">
        <v>778</v>
      </c>
      <c r="E358" s="9" t="s">
        <v>45</v>
      </c>
      <c r="F358" s="9" t="s">
        <v>46</v>
      </c>
      <c r="G358" s="10"/>
      <c r="H358" s="10"/>
      <c r="I358" s="11">
        <v>0</v>
      </c>
      <c r="J358" s="10"/>
      <c r="K358" s="10"/>
      <c r="L358" s="12">
        <v>0</v>
      </c>
      <c r="M358" s="10"/>
      <c r="N358" s="10"/>
      <c r="O358" s="11">
        <v>0</v>
      </c>
      <c r="P358" s="10"/>
      <c r="Q358" s="10"/>
      <c r="R358" s="11">
        <v>0</v>
      </c>
      <c r="S358" s="10"/>
      <c r="T358" s="10"/>
      <c r="U358" s="11">
        <v>0</v>
      </c>
      <c r="V358" s="10"/>
      <c r="W358" s="10"/>
      <c r="X358" s="11">
        <v>0</v>
      </c>
      <c r="Y358" s="10"/>
      <c r="Z358" s="10"/>
      <c r="AA358" s="11"/>
      <c r="AB358" s="10"/>
      <c r="AC358" s="10"/>
      <c r="AD358" s="11">
        <v>0</v>
      </c>
      <c r="AE358" s="10"/>
      <c r="AF358" s="10"/>
      <c r="AG358" s="11">
        <v>0</v>
      </c>
      <c r="AH358" s="10"/>
      <c r="AI358" s="10"/>
      <c r="AJ358" s="11">
        <v>0</v>
      </c>
      <c r="AK358" s="10"/>
      <c r="AL358" s="10"/>
      <c r="AM358" s="11">
        <v>0</v>
      </c>
      <c r="AN358" s="10"/>
      <c r="AO358" s="10"/>
      <c r="AP358" s="11">
        <v>0</v>
      </c>
      <c r="AQ358" s="10"/>
      <c r="AR358" s="10"/>
      <c r="AS358" s="11">
        <v>0</v>
      </c>
      <c r="AT358" s="10"/>
      <c r="AU358" s="10"/>
      <c r="AV358" s="11">
        <v>0</v>
      </c>
      <c r="AW358" s="10"/>
      <c r="AX358" s="10"/>
      <c r="AY358" s="11">
        <v>0</v>
      </c>
      <c r="AZ358" s="10"/>
      <c r="BA358" s="10"/>
      <c r="BB358" s="11">
        <v>0</v>
      </c>
      <c r="BC358" s="10"/>
      <c r="BD358" s="10"/>
      <c r="BE358" s="11">
        <v>0</v>
      </c>
      <c r="BF358" s="10"/>
      <c r="BG358" s="10"/>
      <c r="BH358" s="11">
        <v>0</v>
      </c>
      <c r="BI358" s="10"/>
      <c r="BJ358" s="10"/>
      <c r="BK358" s="11">
        <v>0</v>
      </c>
      <c r="BL358" s="10"/>
      <c r="BM358" s="10"/>
      <c r="BN358" s="11">
        <v>0</v>
      </c>
      <c r="BO358" s="10"/>
      <c r="BP358" s="10"/>
      <c r="BQ358" s="11">
        <v>0</v>
      </c>
      <c r="BR358" s="10"/>
      <c r="BS358" s="10"/>
      <c r="BT358" s="11">
        <v>0</v>
      </c>
      <c r="BU358" s="10"/>
      <c r="BV358" s="10"/>
      <c r="BW358" s="11">
        <v>0</v>
      </c>
      <c r="BX358" s="10"/>
      <c r="BY358" s="10"/>
      <c r="BZ358" s="11">
        <v>0</v>
      </c>
      <c r="CA358" s="10"/>
      <c r="CB358" s="10"/>
      <c r="CC358" s="11">
        <v>0</v>
      </c>
      <c r="CD358" s="10"/>
      <c r="CE358" s="10"/>
      <c r="CF358" s="11">
        <v>0</v>
      </c>
      <c r="CG358" s="10"/>
      <c r="CH358" s="10"/>
      <c r="CI358" s="11">
        <v>0</v>
      </c>
      <c r="CJ358" s="10"/>
      <c r="CK358" s="10"/>
      <c r="CL358" s="11">
        <v>0</v>
      </c>
      <c r="CM358" s="10"/>
      <c r="CN358" s="10"/>
      <c r="CO358" s="11">
        <v>0</v>
      </c>
      <c r="CP358" s="10"/>
      <c r="CQ358" s="10"/>
      <c r="CR358" s="11">
        <v>0</v>
      </c>
      <c r="CS358" s="10"/>
      <c r="CT358" s="10"/>
      <c r="CU358" s="11">
        <v>0</v>
      </c>
      <c r="CV358" s="10"/>
      <c r="CW358" s="10"/>
      <c r="CX358" s="11">
        <v>0</v>
      </c>
      <c r="CY358" s="10"/>
      <c r="CZ358" s="10"/>
      <c r="DA358" s="11">
        <v>0</v>
      </c>
      <c r="DB358" s="10"/>
      <c r="DC358" s="10"/>
      <c r="DD358" s="13">
        <v>0</v>
      </c>
      <c r="DE358" s="14"/>
    </row>
    <row r="359" spans="1:109" x14ac:dyDescent="0.35">
      <c r="A359" s="8" t="s">
        <v>779</v>
      </c>
      <c r="B359" s="9" t="s">
        <v>108</v>
      </c>
      <c r="C359" s="9" t="s">
        <v>52</v>
      </c>
      <c r="D359" s="9" t="s">
        <v>780</v>
      </c>
      <c r="E359" s="9" t="s">
        <v>126</v>
      </c>
      <c r="F359" s="9" t="s">
        <v>55</v>
      </c>
      <c r="G359" s="10"/>
      <c r="H359" s="10"/>
      <c r="I359" s="11">
        <v>0</v>
      </c>
      <c r="J359" s="10"/>
      <c r="K359" s="10"/>
      <c r="L359" s="12">
        <v>0</v>
      </c>
      <c r="M359" s="10"/>
      <c r="N359" s="10"/>
      <c r="O359" s="11">
        <v>0</v>
      </c>
      <c r="P359" s="10"/>
      <c r="Q359" s="10"/>
      <c r="R359" s="11">
        <v>0</v>
      </c>
      <c r="S359" s="10"/>
      <c r="T359" s="10"/>
      <c r="U359" s="11">
        <v>0</v>
      </c>
      <c r="V359" s="10"/>
      <c r="W359" s="10"/>
      <c r="X359" s="11">
        <v>0</v>
      </c>
      <c r="Y359" s="10"/>
      <c r="Z359" s="10"/>
      <c r="AA359" s="11"/>
      <c r="AB359" s="10"/>
      <c r="AC359" s="10"/>
      <c r="AD359" s="11">
        <v>0</v>
      </c>
      <c r="AE359" s="10"/>
      <c r="AF359" s="10"/>
      <c r="AG359" s="11">
        <v>0</v>
      </c>
      <c r="AH359" s="10"/>
      <c r="AI359" s="10"/>
      <c r="AJ359" s="11">
        <v>0</v>
      </c>
      <c r="AK359" s="10"/>
      <c r="AL359" s="10"/>
      <c r="AM359" s="11">
        <v>0</v>
      </c>
      <c r="AN359" s="10"/>
      <c r="AO359" s="10"/>
      <c r="AP359" s="11">
        <v>0</v>
      </c>
      <c r="AQ359" s="10"/>
      <c r="AR359" s="10"/>
      <c r="AS359" s="11">
        <v>0</v>
      </c>
      <c r="AT359" s="10"/>
      <c r="AU359" s="10"/>
      <c r="AV359" s="11">
        <v>0</v>
      </c>
      <c r="AW359" s="10"/>
      <c r="AX359" s="10"/>
      <c r="AY359" s="11">
        <v>0</v>
      </c>
      <c r="AZ359" s="10"/>
      <c r="BA359" s="10"/>
      <c r="BB359" s="11">
        <v>0</v>
      </c>
      <c r="BC359" s="10"/>
      <c r="BD359" s="10"/>
      <c r="BE359" s="11">
        <v>0</v>
      </c>
      <c r="BF359" s="10"/>
      <c r="BG359" s="10"/>
      <c r="BH359" s="11">
        <v>0</v>
      </c>
      <c r="BI359" s="10"/>
      <c r="BJ359" s="10"/>
      <c r="BK359" s="11">
        <v>0</v>
      </c>
      <c r="BL359" s="10"/>
      <c r="BM359" s="10"/>
      <c r="BN359" s="11">
        <v>0</v>
      </c>
      <c r="BO359" s="10"/>
      <c r="BP359" s="10"/>
      <c r="BQ359" s="11">
        <v>0</v>
      </c>
      <c r="BR359" s="10"/>
      <c r="BS359" s="10"/>
      <c r="BT359" s="11">
        <v>0</v>
      </c>
      <c r="BU359" s="10"/>
      <c r="BV359" s="10"/>
      <c r="BW359" s="11">
        <v>0</v>
      </c>
      <c r="BX359" s="10"/>
      <c r="BY359" s="10"/>
      <c r="BZ359" s="11">
        <v>0</v>
      </c>
      <c r="CA359" s="10"/>
      <c r="CB359" s="10"/>
      <c r="CC359" s="11">
        <v>0</v>
      </c>
      <c r="CD359" s="10"/>
      <c r="CE359" s="10"/>
      <c r="CF359" s="11">
        <v>0</v>
      </c>
      <c r="CG359" s="10"/>
      <c r="CH359" s="10"/>
      <c r="CI359" s="11">
        <v>0</v>
      </c>
      <c r="CJ359" s="10"/>
      <c r="CK359" s="10"/>
      <c r="CL359" s="11">
        <v>0</v>
      </c>
      <c r="CM359" s="10"/>
      <c r="CN359" s="10"/>
      <c r="CO359" s="11">
        <v>0</v>
      </c>
      <c r="CP359" s="10"/>
      <c r="CQ359" s="10"/>
      <c r="CR359" s="11">
        <v>0</v>
      </c>
      <c r="CS359" s="10"/>
      <c r="CT359" s="10"/>
      <c r="CU359" s="11">
        <v>0</v>
      </c>
      <c r="CV359" s="10"/>
      <c r="CW359" s="10"/>
      <c r="CX359" s="11">
        <v>0</v>
      </c>
      <c r="CY359" s="10"/>
      <c r="CZ359" s="10"/>
      <c r="DA359" s="11">
        <v>0</v>
      </c>
      <c r="DB359" s="10"/>
      <c r="DC359" s="10"/>
      <c r="DD359" s="13">
        <v>0</v>
      </c>
      <c r="DE359" s="14"/>
    </row>
    <row r="360" spans="1:109" x14ac:dyDescent="0.35">
      <c r="A360" s="8" t="s">
        <v>781</v>
      </c>
      <c r="B360" s="9" t="s">
        <v>74</v>
      </c>
      <c r="C360" s="9" t="s">
        <v>52</v>
      </c>
      <c r="D360" s="9" t="s">
        <v>782</v>
      </c>
      <c r="E360" s="9" t="s">
        <v>54</v>
      </c>
      <c r="F360" s="9" t="s">
        <v>55</v>
      </c>
      <c r="G360" s="10"/>
      <c r="H360" s="10"/>
      <c r="I360" s="11">
        <v>0</v>
      </c>
      <c r="J360" s="10"/>
      <c r="K360" s="10"/>
      <c r="L360" s="12">
        <v>0</v>
      </c>
      <c r="M360" s="10">
        <v>168000</v>
      </c>
      <c r="N360" s="10">
        <v>79000</v>
      </c>
      <c r="O360" s="11">
        <f t="shared" ref="O360" si="561">N360/M360</f>
        <v>0.47023809523809523</v>
      </c>
      <c r="P360" s="10"/>
      <c r="Q360" s="10"/>
      <c r="R360" s="11">
        <v>0</v>
      </c>
      <c r="S360" s="10"/>
      <c r="T360" s="10"/>
      <c r="U360" s="11">
        <v>0</v>
      </c>
      <c r="V360" s="10"/>
      <c r="W360" s="10"/>
      <c r="X360" s="11">
        <v>0</v>
      </c>
      <c r="Y360" s="10"/>
      <c r="Z360" s="10"/>
      <c r="AA360" s="11"/>
      <c r="AB360" s="10"/>
      <c r="AC360" s="10"/>
      <c r="AD360" s="11">
        <v>0</v>
      </c>
      <c r="AE360" s="10"/>
      <c r="AF360" s="10">
        <v>5500</v>
      </c>
      <c r="AG360" s="11">
        <v>0</v>
      </c>
      <c r="AH360" s="10"/>
      <c r="AI360" s="10"/>
      <c r="AJ360" s="11">
        <v>0</v>
      </c>
      <c r="AK360" s="10"/>
      <c r="AL360" s="10"/>
      <c r="AM360" s="11">
        <v>0</v>
      </c>
      <c r="AN360" s="10"/>
      <c r="AO360" s="10"/>
      <c r="AP360" s="11">
        <v>0</v>
      </c>
      <c r="AQ360" s="10"/>
      <c r="AR360" s="10"/>
      <c r="AS360" s="11">
        <v>0</v>
      </c>
      <c r="AT360" s="10"/>
      <c r="AU360" s="10"/>
      <c r="AV360" s="11">
        <v>0</v>
      </c>
      <c r="AW360" s="10"/>
      <c r="AX360" s="10"/>
      <c r="AY360" s="11">
        <v>0</v>
      </c>
      <c r="AZ360" s="10"/>
      <c r="BA360" s="10"/>
      <c r="BB360" s="11">
        <v>0</v>
      </c>
      <c r="BC360" s="10"/>
      <c r="BD360" s="10"/>
      <c r="BE360" s="11">
        <v>0</v>
      </c>
      <c r="BF360" s="10"/>
      <c r="BG360" s="10">
        <f>VLOOKUP(A:A,'[1]2026 Customer Brand Sales'!$A:$BA,53,0)</f>
        <v>1686775</v>
      </c>
      <c r="BH360" s="11">
        <v>0</v>
      </c>
      <c r="BI360" s="10"/>
      <c r="BJ360" s="10">
        <v>52200</v>
      </c>
      <c r="BK360" s="11">
        <v>0</v>
      </c>
      <c r="BL360" s="10"/>
      <c r="BM360" s="10"/>
      <c r="BN360" s="11">
        <v>0</v>
      </c>
      <c r="BO360" s="10"/>
      <c r="BP360" s="10"/>
      <c r="BQ360" s="11">
        <v>0</v>
      </c>
      <c r="BR360" s="10"/>
      <c r="BS360" s="10"/>
      <c r="BT360" s="11">
        <v>0</v>
      </c>
      <c r="BU360" s="10"/>
      <c r="BV360" s="10"/>
      <c r="BW360" s="11">
        <v>0</v>
      </c>
      <c r="BX360" s="10"/>
      <c r="BY360" s="10"/>
      <c r="BZ360" s="11">
        <v>0</v>
      </c>
      <c r="CA360" s="10"/>
      <c r="CB360" s="10"/>
      <c r="CC360" s="11">
        <v>0</v>
      </c>
      <c r="CD360" s="10"/>
      <c r="CE360" s="10"/>
      <c r="CF360" s="11">
        <v>0</v>
      </c>
      <c r="CG360" s="10"/>
      <c r="CH360" s="10"/>
      <c r="CI360" s="11">
        <v>0</v>
      </c>
      <c r="CJ360" s="10"/>
      <c r="CK360" s="10"/>
      <c r="CL360" s="11">
        <v>0</v>
      </c>
      <c r="CM360" s="10"/>
      <c r="CN360" s="10"/>
      <c r="CO360" s="11">
        <v>0</v>
      </c>
      <c r="CP360" s="10"/>
      <c r="CQ360" s="10"/>
      <c r="CR360" s="11">
        <v>0</v>
      </c>
      <c r="CS360" s="10"/>
      <c r="CT360" s="10"/>
      <c r="CU360" s="11">
        <v>0</v>
      </c>
      <c r="CV360" s="10"/>
      <c r="CW360" s="10"/>
      <c r="CX360" s="11">
        <v>0</v>
      </c>
      <c r="CY360" s="10"/>
      <c r="CZ360" s="10"/>
      <c r="DA360" s="11">
        <v>0</v>
      </c>
      <c r="DB360" s="10">
        <v>168000</v>
      </c>
      <c r="DC360" s="10">
        <f t="shared" ref="DC360:DC367" si="562">SUM(H360,K360,N360,Q360,T360,W360,Z360,AC360,AF360,AI360,AL360,AO360,AR360,AU360,AX360,BA360,BD360,BG360,BJ360,BM360,BP360,BS360,BV360,BY360,CB360,CE360,CH360,CK360,CN360,CQ360,CT360,CW360,CZ360)</f>
        <v>1823475</v>
      </c>
      <c r="DD360" s="13">
        <f t="shared" ref="DD360:DD367" si="563">DC360/DB360</f>
        <v>10.854017857142857</v>
      </c>
      <c r="DE360" s="14"/>
    </row>
    <row r="361" spans="1:109" x14ac:dyDescent="0.35">
      <c r="A361" s="8" t="s">
        <v>783</v>
      </c>
      <c r="B361" s="9" t="s">
        <v>74</v>
      </c>
      <c r="C361" s="9" t="s">
        <v>52</v>
      </c>
      <c r="D361" s="9" t="s">
        <v>784</v>
      </c>
      <c r="E361" s="9" t="s">
        <v>54</v>
      </c>
      <c r="F361" s="9" t="s">
        <v>55</v>
      </c>
      <c r="G361" s="10"/>
      <c r="H361" s="10"/>
      <c r="I361" s="11">
        <v>0</v>
      </c>
      <c r="J361" s="10"/>
      <c r="K361" s="10"/>
      <c r="L361" s="12">
        <v>0</v>
      </c>
      <c r="M361" s="10"/>
      <c r="N361" s="10"/>
      <c r="O361" s="11">
        <v>0</v>
      </c>
      <c r="P361" s="10"/>
      <c r="Q361" s="10"/>
      <c r="R361" s="11">
        <v>0</v>
      </c>
      <c r="S361" s="10"/>
      <c r="T361" s="10"/>
      <c r="U361" s="11">
        <v>0</v>
      </c>
      <c r="V361" s="10"/>
      <c r="W361" s="10"/>
      <c r="X361" s="11">
        <v>0</v>
      </c>
      <c r="Y361" s="10"/>
      <c r="Z361" s="10"/>
      <c r="AA361" s="11"/>
      <c r="AB361" s="10"/>
      <c r="AC361" s="10"/>
      <c r="AD361" s="11">
        <v>0</v>
      </c>
      <c r="AE361" s="10"/>
      <c r="AF361" s="10"/>
      <c r="AG361" s="11">
        <v>0</v>
      </c>
      <c r="AH361" s="10"/>
      <c r="AI361" s="10"/>
      <c r="AJ361" s="11">
        <v>0</v>
      </c>
      <c r="AK361" s="10"/>
      <c r="AL361" s="10"/>
      <c r="AM361" s="11">
        <v>0</v>
      </c>
      <c r="AN361" s="10"/>
      <c r="AO361" s="10"/>
      <c r="AP361" s="11">
        <v>0</v>
      </c>
      <c r="AQ361" s="10"/>
      <c r="AR361" s="10"/>
      <c r="AS361" s="11">
        <v>0</v>
      </c>
      <c r="AT361" s="10"/>
      <c r="AU361" s="10"/>
      <c r="AV361" s="11">
        <v>0</v>
      </c>
      <c r="AW361" s="10"/>
      <c r="AX361" s="10"/>
      <c r="AY361" s="11">
        <v>0</v>
      </c>
      <c r="AZ361" s="10"/>
      <c r="BA361" s="10"/>
      <c r="BB361" s="11">
        <v>0</v>
      </c>
      <c r="BC361" s="10"/>
      <c r="BD361" s="10"/>
      <c r="BE361" s="11">
        <v>0</v>
      </c>
      <c r="BF361" s="10"/>
      <c r="BG361" s="10"/>
      <c r="BH361" s="11">
        <v>0</v>
      </c>
      <c r="BI361" s="10"/>
      <c r="BJ361" s="10"/>
      <c r="BK361" s="11">
        <v>0</v>
      </c>
      <c r="BL361" s="10"/>
      <c r="BM361" s="10"/>
      <c r="BN361" s="11">
        <v>0</v>
      </c>
      <c r="BO361" s="10"/>
      <c r="BP361" s="10"/>
      <c r="BQ361" s="11">
        <v>0</v>
      </c>
      <c r="BR361" s="10"/>
      <c r="BS361" s="10"/>
      <c r="BT361" s="11">
        <v>0</v>
      </c>
      <c r="BU361" s="10"/>
      <c r="BV361" s="10"/>
      <c r="BW361" s="11">
        <v>0</v>
      </c>
      <c r="BX361" s="10"/>
      <c r="BY361" s="10"/>
      <c r="BZ361" s="11">
        <v>0</v>
      </c>
      <c r="CA361" s="10"/>
      <c r="CB361" s="10"/>
      <c r="CC361" s="11">
        <v>0</v>
      </c>
      <c r="CD361" s="10"/>
      <c r="CE361" s="10"/>
      <c r="CF361" s="11">
        <v>0</v>
      </c>
      <c r="CG361" s="10"/>
      <c r="CH361" s="10"/>
      <c r="CI361" s="11">
        <v>0</v>
      </c>
      <c r="CJ361" s="10"/>
      <c r="CK361" s="10"/>
      <c r="CL361" s="11">
        <v>0</v>
      </c>
      <c r="CM361" s="10"/>
      <c r="CN361" s="10"/>
      <c r="CO361" s="11">
        <v>0</v>
      </c>
      <c r="CP361" s="10"/>
      <c r="CQ361" s="10"/>
      <c r="CR361" s="11">
        <v>0</v>
      </c>
      <c r="CS361" s="10"/>
      <c r="CT361" s="10"/>
      <c r="CU361" s="11">
        <v>0</v>
      </c>
      <c r="CV361" s="10"/>
      <c r="CW361" s="10"/>
      <c r="CX361" s="11">
        <v>0</v>
      </c>
      <c r="CY361" s="10"/>
      <c r="CZ361" s="10"/>
      <c r="DA361" s="11">
        <v>0</v>
      </c>
      <c r="DB361" s="10"/>
      <c r="DC361" s="10"/>
      <c r="DD361" s="13">
        <v>0</v>
      </c>
      <c r="DE361" s="14"/>
    </row>
    <row r="362" spans="1:109" x14ac:dyDescent="0.35">
      <c r="A362" s="8" t="s">
        <v>785</v>
      </c>
      <c r="B362" s="9" t="s">
        <v>59</v>
      </c>
      <c r="C362" s="9" t="s">
        <v>43</v>
      </c>
      <c r="D362" s="9" t="s">
        <v>786</v>
      </c>
      <c r="E362" s="9" t="s">
        <v>61</v>
      </c>
      <c r="F362" s="9" t="s">
        <v>62</v>
      </c>
      <c r="G362" s="10"/>
      <c r="H362" s="10"/>
      <c r="I362" s="11">
        <v>0</v>
      </c>
      <c r="J362" s="10"/>
      <c r="K362" s="10"/>
      <c r="L362" s="12">
        <v>0</v>
      </c>
      <c r="M362" s="10"/>
      <c r="N362" s="10"/>
      <c r="O362" s="11">
        <v>0</v>
      </c>
      <c r="P362" s="10"/>
      <c r="Q362" s="10"/>
      <c r="R362" s="11">
        <v>0</v>
      </c>
      <c r="S362" s="10"/>
      <c r="T362" s="10"/>
      <c r="U362" s="11">
        <v>0</v>
      </c>
      <c r="V362" s="10"/>
      <c r="W362" s="10"/>
      <c r="X362" s="11">
        <v>0</v>
      </c>
      <c r="Y362" s="10"/>
      <c r="Z362" s="10"/>
      <c r="AA362" s="11"/>
      <c r="AB362" s="10"/>
      <c r="AC362" s="10"/>
      <c r="AD362" s="11">
        <v>0</v>
      </c>
      <c r="AE362" s="10"/>
      <c r="AF362" s="10"/>
      <c r="AG362" s="11">
        <v>0</v>
      </c>
      <c r="AH362" s="10"/>
      <c r="AI362" s="10"/>
      <c r="AJ362" s="11">
        <v>0</v>
      </c>
      <c r="AK362" s="10"/>
      <c r="AL362" s="10"/>
      <c r="AM362" s="11">
        <v>0</v>
      </c>
      <c r="AN362" s="10"/>
      <c r="AO362" s="10"/>
      <c r="AP362" s="11">
        <v>0</v>
      </c>
      <c r="AQ362" s="10"/>
      <c r="AR362" s="10"/>
      <c r="AS362" s="11">
        <v>0</v>
      </c>
      <c r="AT362" s="10"/>
      <c r="AU362" s="10"/>
      <c r="AV362" s="11">
        <v>0</v>
      </c>
      <c r="AW362" s="10"/>
      <c r="AX362" s="10"/>
      <c r="AY362" s="11">
        <v>0</v>
      </c>
      <c r="AZ362" s="10"/>
      <c r="BA362" s="10"/>
      <c r="BB362" s="11">
        <v>0</v>
      </c>
      <c r="BC362" s="10"/>
      <c r="BD362" s="10"/>
      <c r="BE362" s="11">
        <v>0</v>
      </c>
      <c r="BF362" s="10"/>
      <c r="BG362" s="10"/>
      <c r="BH362" s="11">
        <v>0</v>
      </c>
      <c r="BI362" s="10"/>
      <c r="BJ362" s="10"/>
      <c r="BK362" s="11">
        <v>0</v>
      </c>
      <c r="BL362" s="10"/>
      <c r="BM362" s="10"/>
      <c r="BN362" s="11">
        <v>0</v>
      </c>
      <c r="BO362" s="10"/>
      <c r="BP362" s="10"/>
      <c r="BQ362" s="11">
        <v>0</v>
      </c>
      <c r="BR362" s="10"/>
      <c r="BS362" s="10"/>
      <c r="BT362" s="11">
        <v>0</v>
      </c>
      <c r="BU362" s="10"/>
      <c r="BV362" s="10"/>
      <c r="BW362" s="11">
        <v>0</v>
      </c>
      <c r="BX362" s="10"/>
      <c r="BY362" s="10"/>
      <c r="BZ362" s="11">
        <v>0</v>
      </c>
      <c r="CA362" s="10"/>
      <c r="CB362" s="10"/>
      <c r="CC362" s="11">
        <v>0</v>
      </c>
      <c r="CD362" s="10"/>
      <c r="CE362" s="10"/>
      <c r="CF362" s="11">
        <v>0</v>
      </c>
      <c r="CG362" s="10"/>
      <c r="CH362" s="10"/>
      <c r="CI362" s="11">
        <v>0</v>
      </c>
      <c r="CJ362" s="10"/>
      <c r="CK362" s="10"/>
      <c r="CL362" s="11">
        <v>0</v>
      </c>
      <c r="CM362" s="10"/>
      <c r="CN362" s="10"/>
      <c r="CO362" s="11">
        <v>0</v>
      </c>
      <c r="CP362" s="10"/>
      <c r="CQ362" s="10"/>
      <c r="CR362" s="11">
        <v>0</v>
      </c>
      <c r="CS362" s="10"/>
      <c r="CT362" s="10"/>
      <c r="CU362" s="11">
        <v>0</v>
      </c>
      <c r="CV362" s="10"/>
      <c r="CW362" s="10"/>
      <c r="CX362" s="11">
        <v>0</v>
      </c>
      <c r="CY362" s="10"/>
      <c r="CZ362" s="10"/>
      <c r="DA362" s="11">
        <v>0</v>
      </c>
      <c r="DB362" s="10"/>
      <c r="DC362" s="10"/>
      <c r="DD362" s="13">
        <v>0</v>
      </c>
      <c r="DE362" s="14"/>
    </row>
    <row r="363" spans="1:109" x14ac:dyDescent="0.35">
      <c r="A363" s="8" t="s">
        <v>787</v>
      </c>
      <c r="B363" s="9" t="s">
        <v>51</v>
      </c>
      <c r="C363" s="9" t="s">
        <v>52</v>
      </c>
      <c r="D363" s="9" t="s">
        <v>788</v>
      </c>
      <c r="E363" s="9" t="s">
        <v>54</v>
      </c>
      <c r="F363" s="9" t="s">
        <v>55</v>
      </c>
      <c r="G363" s="10"/>
      <c r="H363" s="10"/>
      <c r="I363" s="11">
        <v>0</v>
      </c>
      <c r="J363" s="10"/>
      <c r="K363" s="10"/>
      <c r="L363" s="12">
        <v>0</v>
      </c>
      <c r="M363" s="10"/>
      <c r="N363" s="10"/>
      <c r="O363" s="11">
        <v>0</v>
      </c>
      <c r="P363" s="10"/>
      <c r="Q363" s="10"/>
      <c r="R363" s="11">
        <v>0</v>
      </c>
      <c r="S363" s="10"/>
      <c r="T363" s="10"/>
      <c r="U363" s="11">
        <v>0</v>
      </c>
      <c r="V363" s="10"/>
      <c r="W363" s="10"/>
      <c r="X363" s="11">
        <v>0</v>
      </c>
      <c r="Y363" s="10"/>
      <c r="Z363" s="10"/>
      <c r="AA363" s="11"/>
      <c r="AB363" s="10"/>
      <c r="AC363" s="10"/>
      <c r="AD363" s="11">
        <v>0</v>
      </c>
      <c r="AE363" s="10"/>
      <c r="AF363" s="10"/>
      <c r="AG363" s="11">
        <v>0</v>
      </c>
      <c r="AH363" s="10"/>
      <c r="AI363" s="10"/>
      <c r="AJ363" s="11">
        <v>0</v>
      </c>
      <c r="AK363" s="10"/>
      <c r="AL363" s="10"/>
      <c r="AM363" s="11">
        <v>0</v>
      </c>
      <c r="AN363" s="10"/>
      <c r="AO363" s="10"/>
      <c r="AP363" s="11">
        <v>0</v>
      </c>
      <c r="AQ363" s="10"/>
      <c r="AR363" s="10"/>
      <c r="AS363" s="11">
        <v>0</v>
      </c>
      <c r="AT363" s="10"/>
      <c r="AU363" s="10"/>
      <c r="AV363" s="11">
        <v>0</v>
      </c>
      <c r="AW363" s="10"/>
      <c r="AX363" s="10"/>
      <c r="AY363" s="11">
        <v>0</v>
      </c>
      <c r="AZ363" s="10"/>
      <c r="BA363" s="10"/>
      <c r="BB363" s="11">
        <v>0</v>
      </c>
      <c r="BC363" s="10"/>
      <c r="BD363" s="10"/>
      <c r="BE363" s="11">
        <v>0</v>
      </c>
      <c r="BF363" s="10"/>
      <c r="BG363" s="10"/>
      <c r="BH363" s="11">
        <v>0</v>
      </c>
      <c r="BI363" s="10"/>
      <c r="BJ363" s="10"/>
      <c r="BK363" s="11">
        <v>0</v>
      </c>
      <c r="BL363" s="10"/>
      <c r="BM363" s="10"/>
      <c r="BN363" s="11">
        <v>0</v>
      </c>
      <c r="BO363" s="10"/>
      <c r="BP363" s="10"/>
      <c r="BQ363" s="11">
        <v>0</v>
      </c>
      <c r="BR363" s="10"/>
      <c r="BS363" s="10"/>
      <c r="BT363" s="11">
        <v>0</v>
      </c>
      <c r="BU363" s="10"/>
      <c r="BV363" s="10"/>
      <c r="BW363" s="11">
        <v>0</v>
      </c>
      <c r="BX363" s="10"/>
      <c r="BY363" s="10"/>
      <c r="BZ363" s="11">
        <v>0</v>
      </c>
      <c r="CA363" s="10"/>
      <c r="CB363" s="10"/>
      <c r="CC363" s="11">
        <v>0</v>
      </c>
      <c r="CD363" s="10"/>
      <c r="CE363" s="10"/>
      <c r="CF363" s="11">
        <v>0</v>
      </c>
      <c r="CG363" s="10"/>
      <c r="CH363" s="10"/>
      <c r="CI363" s="11">
        <v>0</v>
      </c>
      <c r="CJ363" s="10"/>
      <c r="CK363" s="10"/>
      <c r="CL363" s="11">
        <v>0</v>
      </c>
      <c r="CM363" s="10"/>
      <c r="CN363" s="10"/>
      <c r="CO363" s="11">
        <v>0</v>
      </c>
      <c r="CP363" s="10"/>
      <c r="CQ363" s="10"/>
      <c r="CR363" s="11">
        <v>0</v>
      </c>
      <c r="CS363" s="10"/>
      <c r="CT363" s="10"/>
      <c r="CU363" s="11">
        <v>0</v>
      </c>
      <c r="CV363" s="10"/>
      <c r="CW363" s="10"/>
      <c r="CX363" s="11">
        <v>0</v>
      </c>
      <c r="CY363" s="10"/>
      <c r="CZ363" s="10"/>
      <c r="DA363" s="11">
        <v>0</v>
      </c>
      <c r="DB363" s="10"/>
      <c r="DC363" s="10"/>
      <c r="DD363" s="13">
        <v>0</v>
      </c>
      <c r="DE363" s="14"/>
    </row>
    <row r="364" spans="1:109" x14ac:dyDescent="0.35">
      <c r="A364" s="8" t="s">
        <v>789</v>
      </c>
      <c r="B364" s="9" t="s">
        <v>172</v>
      </c>
      <c r="C364" s="9" t="s">
        <v>52</v>
      </c>
      <c r="D364" s="9" t="s">
        <v>790</v>
      </c>
      <c r="E364" s="9" t="s">
        <v>54</v>
      </c>
      <c r="F364" s="9" t="s">
        <v>55</v>
      </c>
      <c r="G364" s="10"/>
      <c r="H364" s="10"/>
      <c r="I364" s="11">
        <v>0</v>
      </c>
      <c r="J364" s="10"/>
      <c r="K364" s="10"/>
      <c r="L364" s="12">
        <v>0</v>
      </c>
      <c r="M364" s="10"/>
      <c r="N364" s="10"/>
      <c r="O364" s="11">
        <v>0</v>
      </c>
      <c r="P364" s="10"/>
      <c r="Q364" s="10"/>
      <c r="R364" s="11">
        <v>0</v>
      </c>
      <c r="S364" s="10"/>
      <c r="T364" s="10"/>
      <c r="U364" s="11">
        <v>0</v>
      </c>
      <c r="V364" s="10"/>
      <c r="W364" s="10"/>
      <c r="X364" s="11">
        <v>0</v>
      </c>
      <c r="Y364" s="10"/>
      <c r="Z364" s="10"/>
      <c r="AA364" s="11"/>
      <c r="AB364" s="10"/>
      <c r="AC364" s="10"/>
      <c r="AD364" s="11">
        <v>0</v>
      </c>
      <c r="AE364" s="10"/>
      <c r="AF364" s="10"/>
      <c r="AG364" s="11">
        <v>0</v>
      </c>
      <c r="AH364" s="10"/>
      <c r="AI364" s="10"/>
      <c r="AJ364" s="11">
        <v>0</v>
      </c>
      <c r="AK364" s="10"/>
      <c r="AL364" s="10"/>
      <c r="AM364" s="11">
        <v>0</v>
      </c>
      <c r="AN364" s="10"/>
      <c r="AO364" s="10"/>
      <c r="AP364" s="11">
        <v>0</v>
      </c>
      <c r="AQ364" s="10"/>
      <c r="AR364" s="10"/>
      <c r="AS364" s="11">
        <v>0</v>
      </c>
      <c r="AT364" s="10"/>
      <c r="AU364" s="10"/>
      <c r="AV364" s="11">
        <v>0</v>
      </c>
      <c r="AW364" s="10"/>
      <c r="AX364" s="10"/>
      <c r="AY364" s="11">
        <v>0</v>
      </c>
      <c r="AZ364" s="10"/>
      <c r="BA364" s="10"/>
      <c r="BB364" s="11">
        <v>0</v>
      </c>
      <c r="BC364" s="10"/>
      <c r="BD364" s="10"/>
      <c r="BE364" s="11">
        <v>0</v>
      </c>
      <c r="BF364" s="10"/>
      <c r="BG364" s="10"/>
      <c r="BH364" s="11">
        <v>0</v>
      </c>
      <c r="BI364" s="10"/>
      <c r="BJ364" s="10"/>
      <c r="BK364" s="11">
        <v>0</v>
      </c>
      <c r="BL364" s="10"/>
      <c r="BM364" s="10"/>
      <c r="BN364" s="11">
        <v>0</v>
      </c>
      <c r="BO364" s="10"/>
      <c r="BP364" s="10"/>
      <c r="BQ364" s="11">
        <v>0</v>
      </c>
      <c r="BR364" s="10"/>
      <c r="BS364" s="10"/>
      <c r="BT364" s="11">
        <v>0</v>
      </c>
      <c r="BU364" s="10"/>
      <c r="BV364" s="10"/>
      <c r="BW364" s="11">
        <v>0</v>
      </c>
      <c r="BX364" s="10"/>
      <c r="BY364" s="10"/>
      <c r="BZ364" s="11">
        <v>0</v>
      </c>
      <c r="CA364" s="10"/>
      <c r="CB364" s="10"/>
      <c r="CC364" s="11">
        <v>0</v>
      </c>
      <c r="CD364" s="10"/>
      <c r="CE364" s="10"/>
      <c r="CF364" s="11">
        <v>0</v>
      </c>
      <c r="CG364" s="10"/>
      <c r="CH364" s="10"/>
      <c r="CI364" s="11">
        <v>0</v>
      </c>
      <c r="CJ364" s="10"/>
      <c r="CK364" s="10"/>
      <c r="CL364" s="11">
        <v>0</v>
      </c>
      <c r="CM364" s="10"/>
      <c r="CN364" s="10"/>
      <c r="CO364" s="11">
        <v>0</v>
      </c>
      <c r="CP364" s="10"/>
      <c r="CQ364" s="10"/>
      <c r="CR364" s="11">
        <v>0</v>
      </c>
      <c r="CS364" s="10"/>
      <c r="CT364" s="10"/>
      <c r="CU364" s="11">
        <v>0</v>
      </c>
      <c r="CV364" s="10"/>
      <c r="CW364" s="10"/>
      <c r="CX364" s="11">
        <v>0</v>
      </c>
      <c r="CY364" s="10"/>
      <c r="CZ364" s="10"/>
      <c r="DA364" s="11">
        <v>0</v>
      </c>
      <c r="DB364" s="10"/>
      <c r="DC364" s="10"/>
      <c r="DD364" s="13">
        <v>0</v>
      </c>
      <c r="DE364" s="14"/>
    </row>
    <row r="365" spans="1:109" x14ac:dyDescent="0.35">
      <c r="A365" s="8" t="s">
        <v>791</v>
      </c>
      <c r="B365" s="9" t="s">
        <v>51</v>
      </c>
      <c r="C365" s="9" t="s">
        <v>52</v>
      </c>
      <c r="D365" s="9" t="s">
        <v>792</v>
      </c>
      <c r="E365" s="9" t="s">
        <v>54</v>
      </c>
      <c r="F365" s="9" t="s">
        <v>55</v>
      </c>
      <c r="G365" s="10"/>
      <c r="H365" s="10"/>
      <c r="I365" s="11">
        <v>0</v>
      </c>
      <c r="J365" s="10"/>
      <c r="K365" s="10"/>
      <c r="L365" s="12">
        <v>0</v>
      </c>
      <c r="M365" s="10"/>
      <c r="N365" s="10"/>
      <c r="O365" s="11">
        <v>0</v>
      </c>
      <c r="P365" s="10"/>
      <c r="Q365" s="10"/>
      <c r="R365" s="11">
        <v>0</v>
      </c>
      <c r="S365" s="10"/>
      <c r="T365" s="10"/>
      <c r="U365" s="11">
        <v>0</v>
      </c>
      <c r="V365" s="10"/>
      <c r="W365" s="10"/>
      <c r="X365" s="11">
        <v>0</v>
      </c>
      <c r="Y365" s="10"/>
      <c r="Z365" s="10"/>
      <c r="AA365" s="11"/>
      <c r="AB365" s="10"/>
      <c r="AC365" s="10"/>
      <c r="AD365" s="11">
        <v>0</v>
      </c>
      <c r="AE365" s="10"/>
      <c r="AF365" s="10"/>
      <c r="AG365" s="11">
        <v>0</v>
      </c>
      <c r="AH365" s="10"/>
      <c r="AI365" s="10"/>
      <c r="AJ365" s="11">
        <v>0</v>
      </c>
      <c r="AK365" s="10"/>
      <c r="AL365" s="10"/>
      <c r="AM365" s="11">
        <v>0</v>
      </c>
      <c r="AN365" s="10"/>
      <c r="AO365" s="10"/>
      <c r="AP365" s="11">
        <v>0</v>
      </c>
      <c r="AQ365" s="10"/>
      <c r="AR365" s="10"/>
      <c r="AS365" s="11">
        <v>0</v>
      </c>
      <c r="AT365" s="10"/>
      <c r="AU365" s="10"/>
      <c r="AV365" s="11">
        <v>0</v>
      </c>
      <c r="AW365" s="10"/>
      <c r="AX365" s="10"/>
      <c r="AY365" s="11">
        <v>0</v>
      </c>
      <c r="AZ365" s="10"/>
      <c r="BA365" s="10"/>
      <c r="BB365" s="11">
        <v>0</v>
      </c>
      <c r="BC365" s="10"/>
      <c r="BD365" s="10"/>
      <c r="BE365" s="11">
        <v>0</v>
      </c>
      <c r="BF365" s="10"/>
      <c r="BG365" s="10"/>
      <c r="BH365" s="11">
        <v>0</v>
      </c>
      <c r="BI365" s="10"/>
      <c r="BJ365" s="10"/>
      <c r="BK365" s="11">
        <v>0</v>
      </c>
      <c r="BL365" s="10"/>
      <c r="BM365" s="10"/>
      <c r="BN365" s="11">
        <v>0</v>
      </c>
      <c r="BO365" s="10"/>
      <c r="BP365" s="10"/>
      <c r="BQ365" s="11">
        <v>0</v>
      </c>
      <c r="BR365" s="10"/>
      <c r="BS365" s="10"/>
      <c r="BT365" s="11">
        <v>0</v>
      </c>
      <c r="BU365" s="10"/>
      <c r="BV365" s="10"/>
      <c r="BW365" s="11">
        <v>0</v>
      </c>
      <c r="BX365" s="10"/>
      <c r="BY365" s="10"/>
      <c r="BZ365" s="11">
        <v>0</v>
      </c>
      <c r="CA365" s="10"/>
      <c r="CB365" s="10"/>
      <c r="CC365" s="11">
        <v>0</v>
      </c>
      <c r="CD365" s="10"/>
      <c r="CE365" s="10"/>
      <c r="CF365" s="11">
        <v>0</v>
      </c>
      <c r="CG365" s="10"/>
      <c r="CH365" s="10"/>
      <c r="CI365" s="11">
        <v>0</v>
      </c>
      <c r="CJ365" s="10"/>
      <c r="CK365" s="10"/>
      <c r="CL365" s="11">
        <v>0</v>
      </c>
      <c r="CM365" s="10"/>
      <c r="CN365" s="10"/>
      <c r="CO365" s="11">
        <v>0</v>
      </c>
      <c r="CP365" s="10"/>
      <c r="CQ365" s="10"/>
      <c r="CR365" s="11">
        <v>0</v>
      </c>
      <c r="CS365" s="10"/>
      <c r="CT365" s="10"/>
      <c r="CU365" s="11">
        <v>0</v>
      </c>
      <c r="CV365" s="10"/>
      <c r="CW365" s="10"/>
      <c r="CX365" s="11">
        <v>0</v>
      </c>
      <c r="CY365" s="10"/>
      <c r="CZ365" s="10"/>
      <c r="DA365" s="11">
        <v>0</v>
      </c>
      <c r="DB365" s="10"/>
      <c r="DC365" s="10"/>
      <c r="DD365" s="13">
        <v>0</v>
      </c>
      <c r="DE365" s="14"/>
    </row>
    <row r="366" spans="1:109" x14ac:dyDescent="0.35">
      <c r="A366" s="8" t="s">
        <v>793</v>
      </c>
      <c r="B366" s="9" t="s">
        <v>51</v>
      </c>
      <c r="C366" s="9" t="s">
        <v>52</v>
      </c>
      <c r="D366" s="9" t="s">
        <v>794</v>
      </c>
      <c r="E366" s="9" t="s">
        <v>54</v>
      </c>
      <c r="F366" s="9" t="s">
        <v>55</v>
      </c>
      <c r="G366" s="10"/>
      <c r="H366" s="10"/>
      <c r="I366" s="11">
        <v>0</v>
      </c>
      <c r="J366" s="10"/>
      <c r="K366" s="10"/>
      <c r="L366" s="12">
        <v>0</v>
      </c>
      <c r="M366" s="10"/>
      <c r="N366" s="10"/>
      <c r="O366" s="11">
        <v>0</v>
      </c>
      <c r="P366" s="10"/>
      <c r="Q366" s="10"/>
      <c r="R366" s="11">
        <v>0</v>
      </c>
      <c r="S366" s="10"/>
      <c r="T366" s="10"/>
      <c r="U366" s="11">
        <v>0</v>
      </c>
      <c r="V366" s="10"/>
      <c r="W366" s="10"/>
      <c r="X366" s="11">
        <v>0</v>
      </c>
      <c r="Y366" s="10"/>
      <c r="Z366" s="10"/>
      <c r="AA366" s="11"/>
      <c r="AB366" s="10"/>
      <c r="AC366" s="10"/>
      <c r="AD366" s="11">
        <v>0</v>
      </c>
      <c r="AE366" s="10"/>
      <c r="AF366" s="10"/>
      <c r="AG366" s="11">
        <v>0</v>
      </c>
      <c r="AH366" s="10"/>
      <c r="AI366" s="10"/>
      <c r="AJ366" s="11">
        <v>0</v>
      </c>
      <c r="AK366" s="10"/>
      <c r="AL366" s="10"/>
      <c r="AM366" s="11">
        <v>0</v>
      </c>
      <c r="AN366" s="10"/>
      <c r="AO366" s="10"/>
      <c r="AP366" s="11">
        <v>0</v>
      </c>
      <c r="AQ366" s="10"/>
      <c r="AR366" s="10"/>
      <c r="AS366" s="11">
        <v>0</v>
      </c>
      <c r="AT366" s="10"/>
      <c r="AU366" s="10"/>
      <c r="AV366" s="11">
        <v>0</v>
      </c>
      <c r="AW366" s="10"/>
      <c r="AX366" s="10"/>
      <c r="AY366" s="11">
        <v>0</v>
      </c>
      <c r="AZ366" s="10"/>
      <c r="BA366" s="10"/>
      <c r="BB366" s="11">
        <v>0</v>
      </c>
      <c r="BC366" s="10"/>
      <c r="BD366" s="10"/>
      <c r="BE366" s="11">
        <v>0</v>
      </c>
      <c r="BF366" s="10"/>
      <c r="BG366" s="10"/>
      <c r="BH366" s="11">
        <v>0</v>
      </c>
      <c r="BI366" s="10"/>
      <c r="BJ366" s="10"/>
      <c r="BK366" s="11">
        <v>0</v>
      </c>
      <c r="BL366" s="10"/>
      <c r="BM366" s="10"/>
      <c r="BN366" s="11">
        <v>0</v>
      </c>
      <c r="BO366" s="10"/>
      <c r="BP366" s="10"/>
      <c r="BQ366" s="11">
        <v>0</v>
      </c>
      <c r="BR366" s="10"/>
      <c r="BS366" s="10"/>
      <c r="BT366" s="11">
        <v>0</v>
      </c>
      <c r="BU366" s="10"/>
      <c r="BV366" s="10"/>
      <c r="BW366" s="11">
        <v>0</v>
      </c>
      <c r="BX366" s="10"/>
      <c r="BY366" s="10"/>
      <c r="BZ366" s="11">
        <v>0</v>
      </c>
      <c r="CA366" s="10"/>
      <c r="CB366" s="10"/>
      <c r="CC366" s="11">
        <v>0</v>
      </c>
      <c r="CD366" s="10"/>
      <c r="CE366" s="10"/>
      <c r="CF366" s="11">
        <v>0</v>
      </c>
      <c r="CG366" s="10"/>
      <c r="CH366" s="10"/>
      <c r="CI366" s="11">
        <v>0</v>
      </c>
      <c r="CJ366" s="10"/>
      <c r="CK366" s="10"/>
      <c r="CL366" s="11">
        <v>0</v>
      </c>
      <c r="CM366" s="10"/>
      <c r="CN366" s="10"/>
      <c r="CO366" s="11">
        <v>0</v>
      </c>
      <c r="CP366" s="10"/>
      <c r="CQ366" s="10"/>
      <c r="CR366" s="11">
        <v>0</v>
      </c>
      <c r="CS366" s="10"/>
      <c r="CT366" s="10"/>
      <c r="CU366" s="11">
        <v>0</v>
      </c>
      <c r="CV366" s="10"/>
      <c r="CW366" s="10"/>
      <c r="CX366" s="11">
        <v>0</v>
      </c>
      <c r="CY366" s="10"/>
      <c r="CZ366" s="10"/>
      <c r="DA366" s="11">
        <v>0</v>
      </c>
      <c r="DB366" s="10"/>
      <c r="DC366" s="10"/>
      <c r="DD366" s="13">
        <v>0</v>
      </c>
      <c r="DE366" s="14"/>
    </row>
    <row r="367" spans="1:109" x14ac:dyDescent="0.35">
      <c r="A367" s="8" t="s">
        <v>795</v>
      </c>
      <c r="B367" s="9" t="s">
        <v>42</v>
      </c>
      <c r="C367" s="9" t="s">
        <v>43</v>
      </c>
      <c r="D367" s="9" t="s">
        <v>796</v>
      </c>
      <c r="E367" s="9" t="s">
        <v>45</v>
      </c>
      <c r="F367" s="9" t="s">
        <v>46</v>
      </c>
      <c r="G367" s="10"/>
      <c r="H367" s="10"/>
      <c r="I367" s="11">
        <v>0</v>
      </c>
      <c r="J367" s="10"/>
      <c r="K367" s="10"/>
      <c r="L367" s="12">
        <v>0</v>
      </c>
      <c r="M367" s="10"/>
      <c r="N367" s="10"/>
      <c r="O367" s="11">
        <v>0</v>
      </c>
      <c r="P367" s="10"/>
      <c r="Q367" s="10"/>
      <c r="R367" s="11">
        <v>0</v>
      </c>
      <c r="S367" s="10"/>
      <c r="T367" s="10"/>
      <c r="U367" s="11">
        <v>0</v>
      </c>
      <c r="V367" s="10"/>
      <c r="W367" s="10"/>
      <c r="X367" s="11">
        <v>0</v>
      </c>
      <c r="Y367" s="10"/>
      <c r="Z367" s="10"/>
      <c r="AA367" s="11"/>
      <c r="AB367" s="10"/>
      <c r="AC367" s="10"/>
      <c r="AD367" s="11">
        <v>0</v>
      </c>
      <c r="AE367" s="10"/>
      <c r="AF367" s="10"/>
      <c r="AG367" s="11">
        <v>0</v>
      </c>
      <c r="AH367" s="10"/>
      <c r="AI367" s="10"/>
      <c r="AJ367" s="11">
        <v>0</v>
      </c>
      <c r="AK367" s="10"/>
      <c r="AL367" s="10"/>
      <c r="AM367" s="11">
        <v>0</v>
      </c>
      <c r="AN367" s="10"/>
      <c r="AO367" s="10"/>
      <c r="AP367" s="11">
        <v>0</v>
      </c>
      <c r="AQ367" s="10"/>
      <c r="AR367" s="10"/>
      <c r="AS367" s="11">
        <v>0</v>
      </c>
      <c r="AT367" s="10"/>
      <c r="AU367" s="10"/>
      <c r="AV367" s="11">
        <v>0</v>
      </c>
      <c r="AW367" s="10"/>
      <c r="AX367" s="10"/>
      <c r="AY367" s="11">
        <v>0</v>
      </c>
      <c r="AZ367" s="10"/>
      <c r="BA367" s="10"/>
      <c r="BB367" s="11">
        <v>0</v>
      </c>
      <c r="BC367" s="10"/>
      <c r="BD367" s="10"/>
      <c r="BE367" s="11">
        <v>0</v>
      </c>
      <c r="BF367" s="10"/>
      <c r="BG367" s="10"/>
      <c r="BH367" s="11">
        <v>0</v>
      </c>
      <c r="BI367" s="10"/>
      <c r="BJ367" s="10"/>
      <c r="BK367" s="11">
        <v>0</v>
      </c>
      <c r="BL367" s="10"/>
      <c r="BM367" s="10"/>
      <c r="BN367" s="11">
        <v>0</v>
      </c>
      <c r="BO367" s="10"/>
      <c r="BP367" s="10"/>
      <c r="BQ367" s="11">
        <v>0</v>
      </c>
      <c r="BR367" s="10">
        <v>100000</v>
      </c>
      <c r="BS367" s="10">
        <v>70400</v>
      </c>
      <c r="BT367" s="11">
        <f t="shared" ref="BT367" si="564">BS367/BR367</f>
        <v>0.70399999999999996</v>
      </c>
      <c r="BU367" s="10">
        <v>50000</v>
      </c>
      <c r="BV367" s="10"/>
      <c r="BW367" s="11">
        <f t="shared" ref="BW367" si="565">BV367/BU367</f>
        <v>0</v>
      </c>
      <c r="BX367" s="10"/>
      <c r="BY367" s="10"/>
      <c r="BZ367" s="11">
        <v>0</v>
      </c>
      <c r="CA367" s="10"/>
      <c r="CB367" s="10"/>
      <c r="CC367" s="11">
        <v>0</v>
      </c>
      <c r="CD367" s="10"/>
      <c r="CE367" s="10"/>
      <c r="CF367" s="11">
        <v>0</v>
      </c>
      <c r="CG367" s="10"/>
      <c r="CH367" s="10"/>
      <c r="CI367" s="11">
        <v>0</v>
      </c>
      <c r="CJ367" s="10"/>
      <c r="CK367" s="10"/>
      <c r="CL367" s="11">
        <v>0</v>
      </c>
      <c r="CM367" s="10"/>
      <c r="CN367" s="10"/>
      <c r="CO367" s="11">
        <v>0</v>
      </c>
      <c r="CP367" s="10"/>
      <c r="CQ367" s="10"/>
      <c r="CR367" s="11">
        <v>0</v>
      </c>
      <c r="CS367" s="10"/>
      <c r="CT367" s="10"/>
      <c r="CU367" s="11">
        <v>0</v>
      </c>
      <c r="CV367" s="10"/>
      <c r="CW367" s="10"/>
      <c r="CX367" s="11">
        <v>0</v>
      </c>
      <c r="CY367" s="10"/>
      <c r="CZ367" s="10"/>
      <c r="DA367" s="11">
        <v>0</v>
      </c>
      <c r="DB367" s="10">
        <v>150000</v>
      </c>
      <c r="DC367" s="10">
        <f t="shared" si="562"/>
        <v>70400</v>
      </c>
      <c r="DD367" s="13">
        <f t="shared" si="563"/>
        <v>0.46933333333333332</v>
      </c>
      <c r="DE367" s="14"/>
    </row>
    <row r="368" spans="1:109" x14ac:dyDescent="0.35">
      <c r="A368" s="8" t="s">
        <v>797</v>
      </c>
      <c r="B368" s="9" t="s">
        <v>42</v>
      </c>
      <c r="C368" s="9" t="s">
        <v>43</v>
      </c>
      <c r="D368" s="9" t="s">
        <v>798</v>
      </c>
      <c r="E368" s="9" t="s">
        <v>45</v>
      </c>
      <c r="F368" s="9" t="s">
        <v>46</v>
      </c>
      <c r="G368" s="10"/>
      <c r="H368" s="10"/>
      <c r="I368" s="11">
        <v>0</v>
      </c>
      <c r="J368" s="10"/>
      <c r="K368" s="10"/>
      <c r="L368" s="12">
        <v>0</v>
      </c>
      <c r="M368" s="10"/>
      <c r="N368" s="10"/>
      <c r="O368" s="11">
        <v>0</v>
      </c>
      <c r="P368" s="10"/>
      <c r="Q368" s="10"/>
      <c r="R368" s="11">
        <v>0</v>
      </c>
      <c r="S368" s="10"/>
      <c r="T368" s="10"/>
      <c r="U368" s="11">
        <v>0</v>
      </c>
      <c r="V368" s="10"/>
      <c r="W368" s="10"/>
      <c r="X368" s="11">
        <v>0</v>
      </c>
      <c r="Y368" s="10"/>
      <c r="Z368" s="10"/>
      <c r="AA368" s="11"/>
      <c r="AB368" s="10"/>
      <c r="AC368" s="10"/>
      <c r="AD368" s="11">
        <v>0</v>
      </c>
      <c r="AE368" s="10"/>
      <c r="AF368" s="10"/>
      <c r="AG368" s="11">
        <v>0</v>
      </c>
      <c r="AH368" s="10"/>
      <c r="AI368" s="10"/>
      <c r="AJ368" s="11">
        <v>0</v>
      </c>
      <c r="AK368" s="10"/>
      <c r="AL368" s="10"/>
      <c r="AM368" s="11">
        <v>0</v>
      </c>
      <c r="AN368" s="10"/>
      <c r="AO368" s="10"/>
      <c r="AP368" s="11">
        <v>0</v>
      </c>
      <c r="AQ368" s="10"/>
      <c r="AR368" s="10"/>
      <c r="AS368" s="11">
        <v>0</v>
      </c>
      <c r="AT368" s="10"/>
      <c r="AU368" s="10"/>
      <c r="AV368" s="11">
        <v>0</v>
      </c>
      <c r="AW368" s="10"/>
      <c r="AX368" s="10"/>
      <c r="AY368" s="11">
        <v>0</v>
      </c>
      <c r="AZ368" s="10"/>
      <c r="BA368" s="10"/>
      <c r="BB368" s="11">
        <v>0</v>
      </c>
      <c r="BC368" s="10"/>
      <c r="BD368" s="10"/>
      <c r="BE368" s="11">
        <v>0</v>
      </c>
      <c r="BF368" s="10"/>
      <c r="BG368" s="10"/>
      <c r="BH368" s="11">
        <v>0</v>
      </c>
      <c r="BI368" s="10"/>
      <c r="BJ368" s="10"/>
      <c r="BK368" s="11">
        <v>0</v>
      </c>
      <c r="BL368" s="10"/>
      <c r="BM368" s="10"/>
      <c r="BN368" s="11">
        <v>0</v>
      </c>
      <c r="BO368" s="10"/>
      <c r="BP368" s="10"/>
      <c r="BQ368" s="11">
        <v>0</v>
      </c>
      <c r="BR368" s="10"/>
      <c r="BS368" s="10"/>
      <c r="BT368" s="11">
        <v>0</v>
      </c>
      <c r="BU368" s="10"/>
      <c r="BV368" s="10"/>
      <c r="BW368" s="11">
        <v>0</v>
      </c>
      <c r="BX368" s="10"/>
      <c r="BY368" s="10"/>
      <c r="BZ368" s="11">
        <v>0</v>
      </c>
      <c r="CA368" s="10"/>
      <c r="CB368" s="10"/>
      <c r="CC368" s="11">
        <v>0</v>
      </c>
      <c r="CD368" s="10"/>
      <c r="CE368" s="10"/>
      <c r="CF368" s="11">
        <v>0</v>
      </c>
      <c r="CG368" s="10"/>
      <c r="CH368" s="10"/>
      <c r="CI368" s="11">
        <v>0</v>
      </c>
      <c r="CJ368" s="10"/>
      <c r="CK368" s="10"/>
      <c r="CL368" s="11">
        <v>0</v>
      </c>
      <c r="CM368" s="10"/>
      <c r="CN368" s="10"/>
      <c r="CO368" s="11">
        <v>0</v>
      </c>
      <c r="CP368" s="10"/>
      <c r="CQ368" s="10"/>
      <c r="CR368" s="11">
        <v>0</v>
      </c>
      <c r="CS368" s="10"/>
      <c r="CT368" s="10"/>
      <c r="CU368" s="11">
        <v>0</v>
      </c>
      <c r="CV368" s="10"/>
      <c r="CW368" s="10"/>
      <c r="CX368" s="11">
        <v>0</v>
      </c>
      <c r="CY368" s="10"/>
      <c r="CZ368" s="10"/>
      <c r="DA368" s="11">
        <v>0</v>
      </c>
      <c r="DB368" s="10"/>
      <c r="DC368" s="10"/>
      <c r="DD368" s="13">
        <v>0</v>
      </c>
      <c r="DE368" s="14"/>
    </row>
    <row r="369" spans="1:109" x14ac:dyDescent="0.35">
      <c r="A369" s="8" t="s">
        <v>799</v>
      </c>
      <c r="B369" s="9" t="s">
        <v>118</v>
      </c>
      <c r="C369" s="9" t="s">
        <v>43</v>
      </c>
      <c r="D369" s="9" t="s">
        <v>800</v>
      </c>
      <c r="E369" s="9" t="s">
        <v>61</v>
      </c>
      <c r="F369" s="9" t="s">
        <v>62</v>
      </c>
      <c r="G369" s="10"/>
      <c r="H369" s="10"/>
      <c r="I369" s="11">
        <v>0</v>
      </c>
      <c r="J369" s="10"/>
      <c r="K369" s="10"/>
      <c r="L369" s="12">
        <v>0</v>
      </c>
      <c r="M369" s="10"/>
      <c r="N369" s="10"/>
      <c r="O369" s="11">
        <v>0</v>
      </c>
      <c r="P369" s="10"/>
      <c r="Q369" s="10"/>
      <c r="R369" s="11">
        <v>0</v>
      </c>
      <c r="S369" s="10"/>
      <c r="T369" s="10"/>
      <c r="U369" s="11">
        <v>0</v>
      </c>
      <c r="V369" s="10"/>
      <c r="W369" s="10"/>
      <c r="X369" s="11">
        <v>0</v>
      </c>
      <c r="Y369" s="10"/>
      <c r="Z369" s="10"/>
      <c r="AA369" s="11"/>
      <c r="AB369" s="10"/>
      <c r="AC369" s="10"/>
      <c r="AD369" s="11">
        <v>0</v>
      </c>
      <c r="AE369" s="10"/>
      <c r="AF369" s="10"/>
      <c r="AG369" s="11">
        <v>0</v>
      </c>
      <c r="AH369" s="10"/>
      <c r="AI369" s="10"/>
      <c r="AJ369" s="11">
        <v>0</v>
      </c>
      <c r="AK369" s="10"/>
      <c r="AL369" s="10"/>
      <c r="AM369" s="11">
        <v>0</v>
      </c>
      <c r="AN369" s="10"/>
      <c r="AO369" s="10"/>
      <c r="AP369" s="11">
        <v>0</v>
      </c>
      <c r="AQ369" s="10"/>
      <c r="AR369" s="10"/>
      <c r="AS369" s="11">
        <v>0</v>
      </c>
      <c r="AT369" s="10"/>
      <c r="AU369" s="10"/>
      <c r="AV369" s="11">
        <v>0</v>
      </c>
      <c r="AW369" s="10"/>
      <c r="AX369" s="10"/>
      <c r="AY369" s="11">
        <v>0</v>
      </c>
      <c r="AZ369" s="10"/>
      <c r="BA369" s="10"/>
      <c r="BB369" s="11">
        <v>0</v>
      </c>
      <c r="BC369" s="10"/>
      <c r="BD369" s="10"/>
      <c r="BE369" s="11">
        <v>0</v>
      </c>
      <c r="BF369" s="10"/>
      <c r="BG369" s="10"/>
      <c r="BH369" s="11">
        <v>0</v>
      </c>
      <c r="BI369" s="10"/>
      <c r="BJ369" s="10"/>
      <c r="BK369" s="11">
        <v>0</v>
      </c>
      <c r="BL369" s="10"/>
      <c r="BM369" s="10"/>
      <c r="BN369" s="11">
        <v>0</v>
      </c>
      <c r="BO369" s="10"/>
      <c r="BP369" s="10"/>
      <c r="BQ369" s="11">
        <v>0</v>
      </c>
      <c r="BR369" s="10"/>
      <c r="BS369" s="10"/>
      <c r="BT369" s="11">
        <v>0</v>
      </c>
      <c r="BU369" s="10"/>
      <c r="BV369" s="10"/>
      <c r="BW369" s="11">
        <v>0</v>
      </c>
      <c r="BX369" s="10"/>
      <c r="BY369" s="10"/>
      <c r="BZ369" s="11">
        <v>0</v>
      </c>
      <c r="CA369" s="10"/>
      <c r="CB369" s="10"/>
      <c r="CC369" s="11">
        <v>0</v>
      </c>
      <c r="CD369" s="10"/>
      <c r="CE369" s="10"/>
      <c r="CF369" s="11">
        <v>0</v>
      </c>
      <c r="CG369" s="10"/>
      <c r="CH369" s="10"/>
      <c r="CI369" s="11">
        <v>0</v>
      </c>
      <c r="CJ369" s="10"/>
      <c r="CK369" s="10"/>
      <c r="CL369" s="11">
        <v>0</v>
      </c>
      <c r="CM369" s="10"/>
      <c r="CN369" s="10"/>
      <c r="CO369" s="11">
        <v>0</v>
      </c>
      <c r="CP369" s="10"/>
      <c r="CQ369" s="10"/>
      <c r="CR369" s="11">
        <v>0</v>
      </c>
      <c r="CS369" s="10"/>
      <c r="CT369" s="10"/>
      <c r="CU369" s="11">
        <v>0</v>
      </c>
      <c r="CV369" s="10"/>
      <c r="CW369" s="10"/>
      <c r="CX369" s="11">
        <v>0</v>
      </c>
      <c r="CY369" s="10"/>
      <c r="CZ369" s="10"/>
      <c r="DA369" s="11">
        <v>0</v>
      </c>
      <c r="DB369" s="10"/>
      <c r="DC369" s="10"/>
      <c r="DD369" s="13">
        <v>0</v>
      </c>
      <c r="DE369" s="14"/>
    </row>
    <row r="370" spans="1:109" x14ac:dyDescent="0.35">
      <c r="A370" s="8" t="s">
        <v>801</v>
      </c>
      <c r="B370" s="9" t="s">
        <v>77</v>
      </c>
      <c r="C370" s="9" t="s">
        <v>43</v>
      </c>
      <c r="D370" s="9" t="s">
        <v>802</v>
      </c>
      <c r="E370" s="9" t="s">
        <v>61</v>
      </c>
      <c r="F370" s="9" t="s">
        <v>62</v>
      </c>
      <c r="G370" s="10"/>
      <c r="H370" s="10"/>
      <c r="I370" s="11">
        <v>0</v>
      </c>
      <c r="J370" s="10"/>
      <c r="K370" s="10"/>
      <c r="L370" s="12">
        <v>0</v>
      </c>
      <c r="M370" s="10"/>
      <c r="N370" s="10"/>
      <c r="O370" s="11">
        <v>0</v>
      </c>
      <c r="P370" s="10"/>
      <c r="Q370" s="10"/>
      <c r="R370" s="11">
        <v>0</v>
      </c>
      <c r="S370" s="10"/>
      <c r="T370" s="10"/>
      <c r="U370" s="11">
        <v>0</v>
      </c>
      <c r="V370" s="10"/>
      <c r="W370" s="10"/>
      <c r="X370" s="11">
        <v>0</v>
      </c>
      <c r="Y370" s="10"/>
      <c r="Z370" s="10"/>
      <c r="AA370" s="11"/>
      <c r="AB370" s="10"/>
      <c r="AC370" s="10"/>
      <c r="AD370" s="11">
        <v>0</v>
      </c>
      <c r="AE370" s="10"/>
      <c r="AF370" s="10"/>
      <c r="AG370" s="11">
        <v>0</v>
      </c>
      <c r="AH370" s="10"/>
      <c r="AI370" s="10"/>
      <c r="AJ370" s="11">
        <v>0</v>
      </c>
      <c r="AK370" s="10"/>
      <c r="AL370" s="10"/>
      <c r="AM370" s="11">
        <v>0</v>
      </c>
      <c r="AN370" s="10"/>
      <c r="AO370" s="10"/>
      <c r="AP370" s="11">
        <v>0</v>
      </c>
      <c r="AQ370" s="10"/>
      <c r="AR370" s="10"/>
      <c r="AS370" s="11">
        <v>0</v>
      </c>
      <c r="AT370" s="10"/>
      <c r="AU370" s="10"/>
      <c r="AV370" s="11">
        <v>0</v>
      </c>
      <c r="AW370" s="10"/>
      <c r="AX370" s="10"/>
      <c r="AY370" s="11">
        <v>0</v>
      </c>
      <c r="AZ370" s="10"/>
      <c r="BA370" s="10"/>
      <c r="BB370" s="11">
        <v>0</v>
      </c>
      <c r="BC370" s="10"/>
      <c r="BD370" s="10"/>
      <c r="BE370" s="11">
        <v>0</v>
      </c>
      <c r="BF370" s="10"/>
      <c r="BG370" s="10"/>
      <c r="BH370" s="11">
        <v>0</v>
      </c>
      <c r="BI370" s="10"/>
      <c r="BJ370" s="10"/>
      <c r="BK370" s="11">
        <v>0</v>
      </c>
      <c r="BL370" s="10"/>
      <c r="BM370" s="10"/>
      <c r="BN370" s="11">
        <v>0</v>
      </c>
      <c r="BO370" s="10"/>
      <c r="BP370" s="10"/>
      <c r="BQ370" s="11">
        <v>0</v>
      </c>
      <c r="BR370" s="10"/>
      <c r="BS370" s="10"/>
      <c r="BT370" s="11">
        <v>0</v>
      </c>
      <c r="BU370" s="10"/>
      <c r="BV370" s="10"/>
      <c r="BW370" s="11">
        <v>0</v>
      </c>
      <c r="BX370" s="10"/>
      <c r="BY370" s="10"/>
      <c r="BZ370" s="11">
        <v>0</v>
      </c>
      <c r="CA370" s="10"/>
      <c r="CB370" s="10"/>
      <c r="CC370" s="11">
        <v>0</v>
      </c>
      <c r="CD370" s="10"/>
      <c r="CE370" s="10"/>
      <c r="CF370" s="11">
        <v>0</v>
      </c>
      <c r="CG370" s="10"/>
      <c r="CH370" s="10"/>
      <c r="CI370" s="11">
        <v>0</v>
      </c>
      <c r="CJ370" s="10"/>
      <c r="CK370" s="10"/>
      <c r="CL370" s="11">
        <v>0</v>
      </c>
      <c r="CM370" s="10"/>
      <c r="CN370" s="10"/>
      <c r="CO370" s="11">
        <v>0</v>
      </c>
      <c r="CP370" s="10"/>
      <c r="CQ370" s="10"/>
      <c r="CR370" s="11">
        <v>0</v>
      </c>
      <c r="CS370" s="10"/>
      <c r="CT370" s="10"/>
      <c r="CU370" s="11">
        <v>0</v>
      </c>
      <c r="CV370" s="10"/>
      <c r="CW370" s="10"/>
      <c r="CX370" s="11">
        <v>0</v>
      </c>
      <c r="CY370" s="10"/>
      <c r="CZ370" s="10"/>
      <c r="DA370" s="11">
        <v>0</v>
      </c>
      <c r="DB370" s="10"/>
      <c r="DC370" s="10"/>
      <c r="DD370" s="13">
        <v>0</v>
      </c>
      <c r="DE370" s="14"/>
    </row>
    <row r="371" spans="1:109" x14ac:dyDescent="0.35">
      <c r="A371" s="8" t="s">
        <v>803</v>
      </c>
      <c r="B371" s="9" t="s">
        <v>51</v>
      </c>
      <c r="C371" s="9" t="s">
        <v>52</v>
      </c>
      <c r="D371" s="9" t="s">
        <v>804</v>
      </c>
      <c r="E371" s="9" t="s">
        <v>54</v>
      </c>
      <c r="F371" s="9" t="s">
        <v>55</v>
      </c>
      <c r="G371" s="10"/>
      <c r="H371" s="10"/>
      <c r="I371" s="11">
        <v>0</v>
      </c>
      <c r="J371" s="10"/>
      <c r="K371" s="10"/>
      <c r="L371" s="12">
        <v>0</v>
      </c>
      <c r="M371" s="10"/>
      <c r="N371" s="10"/>
      <c r="O371" s="11">
        <v>0</v>
      </c>
      <c r="P371" s="10"/>
      <c r="Q371" s="10"/>
      <c r="R371" s="11">
        <v>0</v>
      </c>
      <c r="S371" s="10"/>
      <c r="T371" s="10"/>
      <c r="U371" s="11">
        <v>0</v>
      </c>
      <c r="V371" s="10"/>
      <c r="W371" s="10"/>
      <c r="X371" s="11">
        <v>0</v>
      </c>
      <c r="Y371" s="10"/>
      <c r="Z371" s="10"/>
      <c r="AA371" s="11"/>
      <c r="AB371" s="10"/>
      <c r="AC371" s="10"/>
      <c r="AD371" s="11">
        <v>0</v>
      </c>
      <c r="AE371" s="10"/>
      <c r="AF371" s="10"/>
      <c r="AG371" s="11">
        <v>0</v>
      </c>
      <c r="AH371" s="10"/>
      <c r="AI371" s="10"/>
      <c r="AJ371" s="11">
        <v>0</v>
      </c>
      <c r="AK371" s="10"/>
      <c r="AL371" s="10"/>
      <c r="AM371" s="11">
        <v>0</v>
      </c>
      <c r="AN371" s="10"/>
      <c r="AO371" s="10"/>
      <c r="AP371" s="11">
        <v>0</v>
      </c>
      <c r="AQ371" s="10"/>
      <c r="AR371" s="10"/>
      <c r="AS371" s="11">
        <v>0</v>
      </c>
      <c r="AT371" s="10"/>
      <c r="AU371" s="10"/>
      <c r="AV371" s="11">
        <v>0</v>
      </c>
      <c r="AW371" s="10"/>
      <c r="AX371" s="10"/>
      <c r="AY371" s="11">
        <v>0</v>
      </c>
      <c r="AZ371" s="10"/>
      <c r="BA371" s="10"/>
      <c r="BB371" s="11">
        <v>0</v>
      </c>
      <c r="BC371" s="10"/>
      <c r="BD371" s="10"/>
      <c r="BE371" s="11">
        <v>0</v>
      </c>
      <c r="BF371" s="10"/>
      <c r="BG371" s="10"/>
      <c r="BH371" s="11">
        <v>0</v>
      </c>
      <c r="BI371" s="10"/>
      <c r="BJ371" s="10"/>
      <c r="BK371" s="11">
        <v>0</v>
      </c>
      <c r="BL371" s="10"/>
      <c r="BM371" s="10"/>
      <c r="BN371" s="11">
        <v>0</v>
      </c>
      <c r="BO371" s="10"/>
      <c r="BP371" s="10"/>
      <c r="BQ371" s="11">
        <v>0</v>
      </c>
      <c r="BR371" s="10"/>
      <c r="BS371" s="10"/>
      <c r="BT371" s="11">
        <v>0</v>
      </c>
      <c r="BU371" s="10"/>
      <c r="BV371" s="10"/>
      <c r="BW371" s="11">
        <v>0</v>
      </c>
      <c r="BX371" s="10"/>
      <c r="BY371" s="10"/>
      <c r="BZ371" s="11">
        <v>0</v>
      </c>
      <c r="CA371" s="10"/>
      <c r="CB371" s="10"/>
      <c r="CC371" s="11">
        <v>0</v>
      </c>
      <c r="CD371" s="10"/>
      <c r="CE371" s="10"/>
      <c r="CF371" s="11">
        <v>0</v>
      </c>
      <c r="CG371" s="10"/>
      <c r="CH371" s="10"/>
      <c r="CI371" s="11">
        <v>0</v>
      </c>
      <c r="CJ371" s="10"/>
      <c r="CK371" s="10"/>
      <c r="CL371" s="11">
        <v>0</v>
      </c>
      <c r="CM371" s="10"/>
      <c r="CN371" s="10"/>
      <c r="CO371" s="11">
        <v>0</v>
      </c>
      <c r="CP371" s="10"/>
      <c r="CQ371" s="10"/>
      <c r="CR371" s="11">
        <v>0</v>
      </c>
      <c r="CS371" s="10"/>
      <c r="CT371" s="10"/>
      <c r="CU371" s="11">
        <v>0</v>
      </c>
      <c r="CV371" s="10"/>
      <c r="CW371" s="10"/>
      <c r="CX371" s="11">
        <v>0</v>
      </c>
      <c r="CY371" s="10"/>
      <c r="CZ371" s="10"/>
      <c r="DA371" s="11">
        <v>0</v>
      </c>
      <c r="DB371" s="10"/>
      <c r="DC371" s="10"/>
      <c r="DD371" s="13">
        <v>0</v>
      </c>
      <c r="DE371" s="14"/>
    </row>
    <row r="372" spans="1:109" x14ac:dyDescent="0.35">
      <c r="A372" s="8" t="s">
        <v>805</v>
      </c>
      <c r="B372" s="9" t="s">
        <v>42</v>
      </c>
      <c r="C372" s="9" t="s">
        <v>43</v>
      </c>
      <c r="D372" s="9" t="s">
        <v>806</v>
      </c>
      <c r="E372" s="9" t="s">
        <v>45</v>
      </c>
      <c r="F372" s="9" t="s">
        <v>46</v>
      </c>
      <c r="G372" s="10"/>
      <c r="H372" s="10"/>
      <c r="I372" s="11">
        <v>0</v>
      </c>
      <c r="J372" s="10"/>
      <c r="K372" s="10"/>
      <c r="L372" s="12">
        <v>0</v>
      </c>
      <c r="M372" s="10"/>
      <c r="N372" s="10"/>
      <c r="O372" s="11">
        <v>0</v>
      </c>
      <c r="P372" s="10"/>
      <c r="Q372" s="10"/>
      <c r="R372" s="11">
        <v>0</v>
      </c>
      <c r="S372" s="10"/>
      <c r="T372" s="10"/>
      <c r="U372" s="11">
        <v>0</v>
      </c>
      <c r="V372" s="10"/>
      <c r="W372" s="10"/>
      <c r="X372" s="11">
        <v>0</v>
      </c>
      <c r="Y372" s="10"/>
      <c r="Z372" s="10"/>
      <c r="AA372" s="11"/>
      <c r="AB372" s="10"/>
      <c r="AC372" s="10"/>
      <c r="AD372" s="11">
        <v>0</v>
      </c>
      <c r="AE372" s="10"/>
      <c r="AF372" s="10"/>
      <c r="AG372" s="11">
        <v>0</v>
      </c>
      <c r="AH372" s="10"/>
      <c r="AI372" s="10"/>
      <c r="AJ372" s="11">
        <v>0</v>
      </c>
      <c r="AK372" s="10"/>
      <c r="AL372" s="10"/>
      <c r="AM372" s="11">
        <v>0</v>
      </c>
      <c r="AN372" s="10"/>
      <c r="AO372" s="10"/>
      <c r="AP372" s="11">
        <v>0</v>
      </c>
      <c r="AQ372" s="10"/>
      <c r="AR372" s="10"/>
      <c r="AS372" s="11">
        <v>0</v>
      </c>
      <c r="AT372" s="10"/>
      <c r="AU372" s="10"/>
      <c r="AV372" s="11">
        <v>0</v>
      </c>
      <c r="AW372" s="10"/>
      <c r="AX372" s="10"/>
      <c r="AY372" s="11">
        <v>0</v>
      </c>
      <c r="AZ372" s="10"/>
      <c r="BA372" s="10"/>
      <c r="BB372" s="11">
        <v>0</v>
      </c>
      <c r="BC372" s="10"/>
      <c r="BD372" s="10"/>
      <c r="BE372" s="11">
        <v>0</v>
      </c>
      <c r="BF372" s="10"/>
      <c r="BG372" s="10"/>
      <c r="BH372" s="11">
        <v>0</v>
      </c>
      <c r="BI372" s="10"/>
      <c r="BJ372" s="10"/>
      <c r="BK372" s="11">
        <v>0</v>
      </c>
      <c r="BL372" s="10"/>
      <c r="BM372" s="10"/>
      <c r="BN372" s="11">
        <v>0</v>
      </c>
      <c r="BO372" s="10"/>
      <c r="BP372" s="10"/>
      <c r="BQ372" s="11">
        <v>0</v>
      </c>
      <c r="BR372" s="10"/>
      <c r="BS372" s="10"/>
      <c r="BT372" s="11">
        <v>0</v>
      </c>
      <c r="BU372" s="10"/>
      <c r="BV372" s="10"/>
      <c r="BW372" s="11">
        <v>0</v>
      </c>
      <c r="BX372" s="10"/>
      <c r="BY372" s="10"/>
      <c r="BZ372" s="11">
        <v>0</v>
      </c>
      <c r="CA372" s="10"/>
      <c r="CB372" s="10"/>
      <c r="CC372" s="11">
        <v>0</v>
      </c>
      <c r="CD372" s="10"/>
      <c r="CE372" s="10"/>
      <c r="CF372" s="11">
        <v>0</v>
      </c>
      <c r="CG372" s="10"/>
      <c r="CH372" s="10"/>
      <c r="CI372" s="11">
        <v>0</v>
      </c>
      <c r="CJ372" s="10"/>
      <c r="CK372" s="10"/>
      <c r="CL372" s="11">
        <v>0</v>
      </c>
      <c r="CM372" s="10"/>
      <c r="CN372" s="10"/>
      <c r="CO372" s="11">
        <v>0</v>
      </c>
      <c r="CP372" s="10"/>
      <c r="CQ372" s="10"/>
      <c r="CR372" s="11">
        <v>0</v>
      </c>
      <c r="CS372" s="10"/>
      <c r="CT372" s="10"/>
      <c r="CU372" s="11">
        <v>0</v>
      </c>
      <c r="CV372" s="10"/>
      <c r="CW372" s="10"/>
      <c r="CX372" s="11">
        <v>0</v>
      </c>
      <c r="CY372" s="10"/>
      <c r="CZ372" s="10"/>
      <c r="DA372" s="11">
        <v>0</v>
      </c>
      <c r="DB372" s="10"/>
      <c r="DC372" s="10"/>
      <c r="DD372" s="13">
        <v>0</v>
      </c>
      <c r="DE372" s="14"/>
    </row>
    <row r="373" spans="1:109" x14ac:dyDescent="0.35">
      <c r="A373" s="8" t="s">
        <v>807</v>
      </c>
      <c r="B373" s="9" t="s">
        <v>51</v>
      </c>
      <c r="C373" s="9" t="s">
        <v>52</v>
      </c>
      <c r="D373" s="9" t="s">
        <v>808</v>
      </c>
      <c r="E373" s="9" t="s">
        <v>54</v>
      </c>
      <c r="F373" s="9" t="s">
        <v>55</v>
      </c>
      <c r="G373" s="10"/>
      <c r="H373" s="10"/>
      <c r="I373" s="11">
        <v>0</v>
      </c>
      <c r="J373" s="10"/>
      <c r="K373" s="10"/>
      <c r="L373" s="12">
        <v>0</v>
      </c>
      <c r="M373" s="10"/>
      <c r="N373" s="10"/>
      <c r="O373" s="11">
        <v>0</v>
      </c>
      <c r="P373" s="10"/>
      <c r="Q373" s="10"/>
      <c r="R373" s="11">
        <v>0</v>
      </c>
      <c r="S373" s="10"/>
      <c r="T373" s="10"/>
      <c r="U373" s="11">
        <v>0</v>
      </c>
      <c r="V373" s="10"/>
      <c r="W373" s="10"/>
      <c r="X373" s="11">
        <v>0</v>
      </c>
      <c r="Y373" s="10"/>
      <c r="Z373" s="10"/>
      <c r="AA373" s="11"/>
      <c r="AB373" s="10"/>
      <c r="AC373" s="10"/>
      <c r="AD373" s="11">
        <v>0</v>
      </c>
      <c r="AE373" s="10"/>
      <c r="AF373" s="10"/>
      <c r="AG373" s="11">
        <v>0</v>
      </c>
      <c r="AH373" s="10"/>
      <c r="AI373" s="10"/>
      <c r="AJ373" s="11">
        <v>0</v>
      </c>
      <c r="AK373" s="10"/>
      <c r="AL373" s="10"/>
      <c r="AM373" s="11">
        <v>0</v>
      </c>
      <c r="AN373" s="10"/>
      <c r="AO373" s="10"/>
      <c r="AP373" s="11">
        <v>0</v>
      </c>
      <c r="AQ373" s="10"/>
      <c r="AR373" s="10"/>
      <c r="AS373" s="11">
        <v>0</v>
      </c>
      <c r="AT373" s="10"/>
      <c r="AU373" s="10"/>
      <c r="AV373" s="11">
        <v>0</v>
      </c>
      <c r="AW373" s="10"/>
      <c r="AX373" s="10"/>
      <c r="AY373" s="11">
        <v>0</v>
      </c>
      <c r="AZ373" s="10"/>
      <c r="BA373" s="10"/>
      <c r="BB373" s="11">
        <v>0</v>
      </c>
      <c r="BC373" s="10"/>
      <c r="BD373" s="10"/>
      <c r="BE373" s="11">
        <v>0</v>
      </c>
      <c r="BF373" s="10"/>
      <c r="BG373" s="10"/>
      <c r="BH373" s="11">
        <v>0</v>
      </c>
      <c r="BI373" s="10"/>
      <c r="BJ373" s="10"/>
      <c r="BK373" s="11">
        <v>0</v>
      </c>
      <c r="BL373" s="10"/>
      <c r="BM373" s="10"/>
      <c r="BN373" s="11">
        <v>0</v>
      </c>
      <c r="BO373" s="10"/>
      <c r="BP373" s="10"/>
      <c r="BQ373" s="11">
        <v>0</v>
      </c>
      <c r="BR373" s="10"/>
      <c r="BS373" s="10"/>
      <c r="BT373" s="11">
        <v>0</v>
      </c>
      <c r="BU373" s="10"/>
      <c r="BV373" s="10"/>
      <c r="BW373" s="11">
        <v>0</v>
      </c>
      <c r="BX373" s="10"/>
      <c r="BY373" s="10"/>
      <c r="BZ373" s="11">
        <v>0</v>
      </c>
      <c r="CA373" s="10"/>
      <c r="CB373" s="10"/>
      <c r="CC373" s="11">
        <v>0</v>
      </c>
      <c r="CD373" s="10"/>
      <c r="CE373" s="10"/>
      <c r="CF373" s="11">
        <v>0</v>
      </c>
      <c r="CG373" s="10"/>
      <c r="CH373" s="10"/>
      <c r="CI373" s="11">
        <v>0</v>
      </c>
      <c r="CJ373" s="10"/>
      <c r="CK373" s="10"/>
      <c r="CL373" s="11">
        <v>0</v>
      </c>
      <c r="CM373" s="10"/>
      <c r="CN373" s="10"/>
      <c r="CO373" s="11">
        <v>0</v>
      </c>
      <c r="CP373" s="10"/>
      <c r="CQ373" s="10"/>
      <c r="CR373" s="11">
        <v>0</v>
      </c>
      <c r="CS373" s="10"/>
      <c r="CT373" s="10"/>
      <c r="CU373" s="11">
        <v>0</v>
      </c>
      <c r="CV373" s="10"/>
      <c r="CW373" s="10"/>
      <c r="CX373" s="11">
        <v>0</v>
      </c>
      <c r="CY373" s="10"/>
      <c r="CZ373" s="10"/>
      <c r="DA373" s="11">
        <v>0</v>
      </c>
      <c r="DB373" s="10"/>
      <c r="DC373" s="10"/>
      <c r="DD373" s="13">
        <v>0</v>
      </c>
      <c r="DE373" s="14"/>
    </row>
    <row r="374" spans="1:109" x14ac:dyDescent="0.35">
      <c r="A374" s="8" t="s">
        <v>809</v>
      </c>
      <c r="B374" s="9" t="s">
        <v>42</v>
      </c>
      <c r="C374" s="9" t="s">
        <v>43</v>
      </c>
      <c r="D374" s="9" t="s">
        <v>810</v>
      </c>
      <c r="E374" s="9" t="s">
        <v>45</v>
      </c>
      <c r="F374" s="9" t="s">
        <v>46</v>
      </c>
      <c r="G374" s="10"/>
      <c r="H374" s="10"/>
      <c r="I374" s="11">
        <v>0</v>
      </c>
      <c r="J374" s="10"/>
      <c r="K374" s="10"/>
      <c r="L374" s="12">
        <v>0</v>
      </c>
      <c r="M374" s="10"/>
      <c r="N374" s="10"/>
      <c r="O374" s="11">
        <v>0</v>
      </c>
      <c r="P374" s="10"/>
      <c r="Q374" s="10"/>
      <c r="R374" s="11">
        <v>0</v>
      </c>
      <c r="S374" s="10"/>
      <c r="T374" s="10"/>
      <c r="U374" s="11">
        <v>0</v>
      </c>
      <c r="V374" s="10"/>
      <c r="W374" s="10"/>
      <c r="X374" s="11">
        <v>0</v>
      </c>
      <c r="Y374" s="10"/>
      <c r="Z374" s="10"/>
      <c r="AA374" s="11"/>
      <c r="AB374" s="10"/>
      <c r="AC374" s="10"/>
      <c r="AD374" s="11">
        <v>0</v>
      </c>
      <c r="AE374" s="10"/>
      <c r="AF374" s="10"/>
      <c r="AG374" s="11">
        <v>0</v>
      </c>
      <c r="AH374" s="10"/>
      <c r="AI374" s="10"/>
      <c r="AJ374" s="11">
        <v>0</v>
      </c>
      <c r="AK374" s="10"/>
      <c r="AL374" s="10"/>
      <c r="AM374" s="11">
        <v>0</v>
      </c>
      <c r="AN374" s="10"/>
      <c r="AO374" s="10"/>
      <c r="AP374" s="11">
        <v>0</v>
      </c>
      <c r="AQ374" s="10"/>
      <c r="AR374" s="10"/>
      <c r="AS374" s="11">
        <v>0</v>
      </c>
      <c r="AT374" s="10"/>
      <c r="AU374" s="10"/>
      <c r="AV374" s="11">
        <v>0</v>
      </c>
      <c r="AW374" s="10"/>
      <c r="AX374" s="10"/>
      <c r="AY374" s="11">
        <v>0</v>
      </c>
      <c r="AZ374" s="10">
        <v>287000</v>
      </c>
      <c r="BA374" s="10"/>
      <c r="BB374" s="11">
        <f t="shared" ref="BB374" si="566">BA374/AZ374</f>
        <v>0</v>
      </c>
      <c r="BC374" s="10"/>
      <c r="BD374" s="10"/>
      <c r="BE374" s="11">
        <v>0</v>
      </c>
      <c r="BF374" s="10"/>
      <c r="BG374" s="10"/>
      <c r="BH374" s="11">
        <v>0</v>
      </c>
      <c r="BI374" s="10"/>
      <c r="BJ374" s="10"/>
      <c r="BK374" s="11">
        <v>0</v>
      </c>
      <c r="BL374" s="10"/>
      <c r="BM374" s="10"/>
      <c r="BN374" s="11">
        <v>0</v>
      </c>
      <c r="BO374" s="10"/>
      <c r="BP374" s="10"/>
      <c r="BQ374" s="11">
        <v>0</v>
      </c>
      <c r="BR374" s="10"/>
      <c r="BS374" s="10"/>
      <c r="BT374" s="11">
        <v>0</v>
      </c>
      <c r="BU374" s="10"/>
      <c r="BV374" s="10"/>
      <c r="BW374" s="11">
        <v>0</v>
      </c>
      <c r="BX374" s="10"/>
      <c r="BY374" s="10"/>
      <c r="BZ374" s="11">
        <v>0</v>
      </c>
      <c r="CA374" s="10"/>
      <c r="CB374" s="10"/>
      <c r="CC374" s="11">
        <v>0</v>
      </c>
      <c r="CD374" s="10"/>
      <c r="CE374" s="10"/>
      <c r="CF374" s="11">
        <v>0</v>
      </c>
      <c r="CG374" s="10"/>
      <c r="CH374" s="10">
        <v>165300</v>
      </c>
      <c r="CI374" s="11">
        <v>0</v>
      </c>
      <c r="CJ374" s="10"/>
      <c r="CK374" s="10"/>
      <c r="CL374" s="11">
        <v>0</v>
      </c>
      <c r="CM374" s="10"/>
      <c r="CN374" s="10"/>
      <c r="CO374" s="11">
        <v>0</v>
      </c>
      <c r="CP374" s="10"/>
      <c r="CQ374" s="10"/>
      <c r="CR374" s="11">
        <v>0</v>
      </c>
      <c r="CS374" s="10"/>
      <c r="CT374" s="10"/>
      <c r="CU374" s="11">
        <v>0</v>
      </c>
      <c r="CV374" s="10"/>
      <c r="CW374" s="10"/>
      <c r="CX374" s="11">
        <v>0</v>
      </c>
      <c r="CY374" s="10"/>
      <c r="CZ374" s="10"/>
      <c r="DA374" s="11">
        <v>0</v>
      </c>
      <c r="DB374" s="10">
        <v>287000</v>
      </c>
      <c r="DC374" s="10">
        <f t="shared" ref="DC374" si="567">SUM(H374,K374,N374,Q374,T374,W374,Z374,AC374,AF374,AI374,AL374,AO374,AR374,AU374,AX374,BA374,BD374,BG374,BJ374,BM374,BP374,BS374,BV374,BY374,CB374,CE374,CH374,CK374,CN374,CQ374,CT374,CW374,CZ374)</f>
        <v>165300</v>
      </c>
      <c r="DD374" s="13">
        <f t="shared" ref="DD374:DD377" si="568">DC374/DB374</f>
        <v>0.57595818815331012</v>
      </c>
      <c r="DE374" s="14"/>
    </row>
    <row r="375" spans="1:109" x14ac:dyDescent="0.35">
      <c r="A375" s="8" t="s">
        <v>811</v>
      </c>
      <c r="B375" s="9" t="s">
        <v>74</v>
      </c>
      <c r="C375" s="9" t="s">
        <v>52</v>
      </c>
      <c r="D375" s="9" t="s">
        <v>812</v>
      </c>
      <c r="E375" s="9" t="s">
        <v>54</v>
      </c>
      <c r="F375" s="9" t="s">
        <v>55</v>
      </c>
      <c r="G375" s="10"/>
      <c r="H375" s="10"/>
      <c r="I375" s="11">
        <v>0</v>
      </c>
      <c r="J375" s="10"/>
      <c r="K375" s="10"/>
      <c r="L375" s="12">
        <v>0</v>
      </c>
      <c r="M375" s="10"/>
      <c r="N375" s="10"/>
      <c r="O375" s="11">
        <v>0</v>
      </c>
      <c r="P375" s="10"/>
      <c r="Q375" s="10"/>
      <c r="R375" s="11">
        <v>0</v>
      </c>
      <c r="S375" s="10"/>
      <c r="T375" s="10"/>
      <c r="U375" s="11">
        <v>0</v>
      </c>
      <c r="V375" s="10"/>
      <c r="W375" s="10"/>
      <c r="X375" s="11">
        <v>0</v>
      </c>
      <c r="Y375" s="10"/>
      <c r="Z375" s="10"/>
      <c r="AA375" s="11"/>
      <c r="AB375" s="10"/>
      <c r="AC375" s="10"/>
      <c r="AD375" s="11">
        <v>0</v>
      </c>
      <c r="AE375" s="10"/>
      <c r="AF375" s="10"/>
      <c r="AG375" s="11">
        <v>0</v>
      </c>
      <c r="AH375" s="10"/>
      <c r="AI375" s="10"/>
      <c r="AJ375" s="11">
        <v>0</v>
      </c>
      <c r="AK375" s="10"/>
      <c r="AL375" s="10"/>
      <c r="AM375" s="11">
        <v>0</v>
      </c>
      <c r="AN375" s="10"/>
      <c r="AO375" s="10"/>
      <c r="AP375" s="11">
        <v>0</v>
      </c>
      <c r="AQ375" s="10"/>
      <c r="AR375" s="10"/>
      <c r="AS375" s="11">
        <v>0</v>
      </c>
      <c r="AT375" s="10"/>
      <c r="AU375" s="10"/>
      <c r="AV375" s="11">
        <v>0</v>
      </c>
      <c r="AW375" s="10"/>
      <c r="AX375" s="10"/>
      <c r="AY375" s="11">
        <v>0</v>
      </c>
      <c r="AZ375" s="10"/>
      <c r="BA375" s="10"/>
      <c r="BB375" s="11">
        <v>0</v>
      </c>
      <c r="BC375" s="10"/>
      <c r="BD375" s="10"/>
      <c r="BE375" s="11">
        <v>0</v>
      </c>
      <c r="BF375" s="10"/>
      <c r="BG375" s="10"/>
      <c r="BH375" s="11">
        <v>0</v>
      </c>
      <c r="BI375" s="10"/>
      <c r="BJ375" s="10"/>
      <c r="BK375" s="11">
        <v>0</v>
      </c>
      <c r="BL375" s="10"/>
      <c r="BM375" s="10"/>
      <c r="BN375" s="11">
        <v>0</v>
      </c>
      <c r="BO375" s="10"/>
      <c r="BP375" s="10"/>
      <c r="BQ375" s="11">
        <v>0</v>
      </c>
      <c r="BR375" s="10"/>
      <c r="BS375" s="10"/>
      <c r="BT375" s="11">
        <v>0</v>
      </c>
      <c r="BU375" s="10"/>
      <c r="BV375" s="10"/>
      <c r="BW375" s="11">
        <v>0</v>
      </c>
      <c r="BX375" s="10"/>
      <c r="BY375" s="10"/>
      <c r="BZ375" s="11">
        <v>0</v>
      </c>
      <c r="CA375" s="10"/>
      <c r="CB375" s="10"/>
      <c r="CC375" s="11">
        <v>0</v>
      </c>
      <c r="CD375" s="10"/>
      <c r="CE375" s="10"/>
      <c r="CF375" s="11">
        <v>0</v>
      </c>
      <c r="CG375" s="10"/>
      <c r="CH375" s="10"/>
      <c r="CI375" s="11">
        <v>0</v>
      </c>
      <c r="CJ375" s="10"/>
      <c r="CK375" s="10"/>
      <c r="CL375" s="11">
        <v>0</v>
      </c>
      <c r="CM375" s="10"/>
      <c r="CN375" s="10"/>
      <c r="CO375" s="11">
        <v>0</v>
      </c>
      <c r="CP375" s="10"/>
      <c r="CQ375" s="10"/>
      <c r="CR375" s="11">
        <v>0</v>
      </c>
      <c r="CS375" s="10"/>
      <c r="CT375" s="10"/>
      <c r="CU375" s="11">
        <v>0</v>
      </c>
      <c r="CV375" s="10"/>
      <c r="CW375" s="10"/>
      <c r="CX375" s="11">
        <v>0</v>
      </c>
      <c r="CY375" s="10"/>
      <c r="CZ375" s="10"/>
      <c r="DA375" s="11">
        <v>0</v>
      </c>
      <c r="DB375" s="10"/>
      <c r="DC375" s="10"/>
      <c r="DD375" s="13">
        <v>0</v>
      </c>
      <c r="DE375" s="14"/>
    </row>
    <row r="376" spans="1:109" x14ac:dyDescent="0.35">
      <c r="A376" s="8" t="s">
        <v>813</v>
      </c>
      <c r="B376" s="9" t="s">
        <v>59</v>
      </c>
      <c r="C376" s="9" t="s">
        <v>43</v>
      </c>
      <c r="D376" s="9" t="s">
        <v>814</v>
      </c>
      <c r="E376" s="9" t="s">
        <v>61</v>
      </c>
      <c r="F376" s="9" t="s">
        <v>62</v>
      </c>
      <c r="G376" s="10"/>
      <c r="H376" s="10"/>
      <c r="I376" s="11">
        <v>0</v>
      </c>
      <c r="J376" s="10"/>
      <c r="K376" s="10"/>
      <c r="L376" s="12">
        <v>0</v>
      </c>
      <c r="M376" s="10"/>
      <c r="N376" s="10"/>
      <c r="O376" s="11">
        <v>0</v>
      </c>
      <c r="P376" s="10"/>
      <c r="Q376" s="10"/>
      <c r="R376" s="11">
        <v>0</v>
      </c>
      <c r="S376" s="10"/>
      <c r="T376" s="10"/>
      <c r="U376" s="11">
        <v>0</v>
      </c>
      <c r="V376" s="10"/>
      <c r="W376" s="10"/>
      <c r="X376" s="11">
        <v>0</v>
      </c>
      <c r="Y376" s="10"/>
      <c r="Z376" s="10"/>
      <c r="AA376" s="11"/>
      <c r="AB376" s="10"/>
      <c r="AC376" s="10"/>
      <c r="AD376" s="11">
        <v>0</v>
      </c>
      <c r="AE376" s="10"/>
      <c r="AF376" s="10"/>
      <c r="AG376" s="11">
        <v>0</v>
      </c>
      <c r="AH376" s="10"/>
      <c r="AI376" s="10"/>
      <c r="AJ376" s="11">
        <v>0</v>
      </c>
      <c r="AK376" s="10"/>
      <c r="AL376" s="10"/>
      <c r="AM376" s="11">
        <v>0</v>
      </c>
      <c r="AN376" s="10"/>
      <c r="AO376" s="10"/>
      <c r="AP376" s="11">
        <v>0</v>
      </c>
      <c r="AQ376" s="10"/>
      <c r="AR376" s="10"/>
      <c r="AS376" s="11">
        <v>0</v>
      </c>
      <c r="AT376" s="10"/>
      <c r="AU376" s="10"/>
      <c r="AV376" s="11">
        <v>0</v>
      </c>
      <c r="AW376" s="10"/>
      <c r="AX376" s="10"/>
      <c r="AY376" s="11">
        <v>0</v>
      </c>
      <c r="AZ376" s="10"/>
      <c r="BA376" s="10"/>
      <c r="BB376" s="11">
        <v>0</v>
      </c>
      <c r="BC376" s="10"/>
      <c r="BD376" s="10"/>
      <c r="BE376" s="11">
        <v>0</v>
      </c>
      <c r="BF376" s="10"/>
      <c r="BG376" s="10"/>
      <c r="BH376" s="11">
        <v>0</v>
      </c>
      <c r="BI376" s="10"/>
      <c r="BJ376" s="10"/>
      <c r="BK376" s="11">
        <v>0</v>
      </c>
      <c r="BL376" s="10"/>
      <c r="BM376" s="10"/>
      <c r="BN376" s="11">
        <v>0</v>
      </c>
      <c r="BO376" s="10"/>
      <c r="BP376" s="10"/>
      <c r="BQ376" s="11">
        <v>0</v>
      </c>
      <c r="BR376" s="10"/>
      <c r="BS376" s="10"/>
      <c r="BT376" s="11">
        <v>0</v>
      </c>
      <c r="BU376" s="10"/>
      <c r="BV376" s="10"/>
      <c r="BW376" s="11">
        <v>0</v>
      </c>
      <c r="BX376" s="10"/>
      <c r="BY376" s="10"/>
      <c r="BZ376" s="11">
        <v>0</v>
      </c>
      <c r="CA376" s="10"/>
      <c r="CB376" s="10"/>
      <c r="CC376" s="11">
        <v>0</v>
      </c>
      <c r="CD376" s="10"/>
      <c r="CE376" s="10"/>
      <c r="CF376" s="11">
        <v>0</v>
      </c>
      <c r="CG376" s="10"/>
      <c r="CH376" s="10"/>
      <c r="CI376" s="11">
        <v>0</v>
      </c>
      <c r="CJ376" s="10"/>
      <c r="CK376" s="10"/>
      <c r="CL376" s="11">
        <v>0</v>
      </c>
      <c r="CM376" s="10"/>
      <c r="CN376" s="10"/>
      <c r="CO376" s="11">
        <v>0</v>
      </c>
      <c r="CP376" s="10"/>
      <c r="CQ376" s="10"/>
      <c r="CR376" s="11">
        <v>0</v>
      </c>
      <c r="CS376" s="10"/>
      <c r="CT376" s="10"/>
      <c r="CU376" s="11">
        <v>0</v>
      </c>
      <c r="CV376" s="10"/>
      <c r="CW376" s="10"/>
      <c r="CX376" s="11">
        <v>0</v>
      </c>
      <c r="CY376" s="10"/>
      <c r="CZ376" s="10"/>
      <c r="DA376" s="11">
        <v>0</v>
      </c>
      <c r="DB376" s="10"/>
      <c r="DC376" s="10"/>
      <c r="DD376" s="13">
        <v>0</v>
      </c>
      <c r="DE376" s="14"/>
    </row>
    <row r="377" spans="1:109" x14ac:dyDescent="0.35">
      <c r="A377" s="8" t="s">
        <v>815</v>
      </c>
      <c r="B377" s="9" t="s">
        <v>42</v>
      </c>
      <c r="C377" s="9" t="s">
        <v>43</v>
      </c>
      <c r="D377" s="9" t="s">
        <v>816</v>
      </c>
      <c r="E377" s="9" t="s">
        <v>45</v>
      </c>
      <c r="F377" s="9" t="s">
        <v>46</v>
      </c>
      <c r="G377" s="10"/>
      <c r="H377" s="10"/>
      <c r="I377" s="11">
        <v>0</v>
      </c>
      <c r="J377" s="10"/>
      <c r="K377" s="10"/>
      <c r="L377" s="12">
        <v>0</v>
      </c>
      <c r="M377" s="10"/>
      <c r="N377" s="10"/>
      <c r="O377" s="11">
        <v>0</v>
      </c>
      <c r="P377" s="10"/>
      <c r="Q377" s="10"/>
      <c r="R377" s="11">
        <v>0</v>
      </c>
      <c r="S377" s="10"/>
      <c r="T377" s="10"/>
      <c r="U377" s="11">
        <v>0</v>
      </c>
      <c r="V377" s="10"/>
      <c r="W377" s="10"/>
      <c r="X377" s="11">
        <v>0</v>
      </c>
      <c r="Y377" s="10"/>
      <c r="Z377" s="10"/>
      <c r="AA377" s="11"/>
      <c r="AB377" s="10"/>
      <c r="AC377" s="10"/>
      <c r="AD377" s="11">
        <v>0</v>
      </c>
      <c r="AE377" s="10"/>
      <c r="AF377" s="10"/>
      <c r="AG377" s="11">
        <v>0</v>
      </c>
      <c r="AH377" s="10"/>
      <c r="AI377" s="10"/>
      <c r="AJ377" s="11">
        <v>0</v>
      </c>
      <c r="AK377" s="10"/>
      <c r="AL377" s="10"/>
      <c r="AM377" s="11">
        <v>0</v>
      </c>
      <c r="AN377" s="10"/>
      <c r="AO377" s="10"/>
      <c r="AP377" s="11">
        <v>0</v>
      </c>
      <c r="AQ377" s="10"/>
      <c r="AR377" s="10"/>
      <c r="AS377" s="11">
        <v>0</v>
      </c>
      <c r="AT377" s="10"/>
      <c r="AU377" s="10"/>
      <c r="AV377" s="11">
        <v>0</v>
      </c>
      <c r="AW377" s="10"/>
      <c r="AX377" s="10"/>
      <c r="AY377" s="11">
        <v>0</v>
      </c>
      <c r="AZ377" s="10"/>
      <c r="BA377" s="10"/>
      <c r="BB377" s="11">
        <v>0</v>
      </c>
      <c r="BC377" s="10"/>
      <c r="BD377" s="10"/>
      <c r="BE377" s="11">
        <v>0</v>
      </c>
      <c r="BF377" s="10"/>
      <c r="BG377" s="10"/>
      <c r="BH377" s="11">
        <v>0</v>
      </c>
      <c r="BI377" s="10"/>
      <c r="BJ377" s="10"/>
      <c r="BK377" s="11">
        <v>0</v>
      </c>
      <c r="BL377" s="10"/>
      <c r="BM377" s="10"/>
      <c r="BN377" s="11">
        <v>0</v>
      </c>
      <c r="BO377" s="10"/>
      <c r="BP377" s="10"/>
      <c r="BQ377" s="11">
        <v>0</v>
      </c>
      <c r="BR377" s="10"/>
      <c r="BS377" s="10"/>
      <c r="BT377" s="11">
        <v>0</v>
      </c>
      <c r="BU377" s="10"/>
      <c r="BV377" s="10"/>
      <c r="BW377" s="11">
        <v>0</v>
      </c>
      <c r="BX377" s="10">
        <v>76320</v>
      </c>
      <c r="BY377" s="10"/>
      <c r="BZ377" s="11">
        <f t="shared" ref="BZ377" si="569">BY377/BX377</f>
        <v>0</v>
      </c>
      <c r="CA377" s="10"/>
      <c r="CB377" s="10"/>
      <c r="CC377" s="11">
        <v>0</v>
      </c>
      <c r="CD377" s="10"/>
      <c r="CE377" s="10"/>
      <c r="CF377" s="11">
        <v>0</v>
      </c>
      <c r="CG377" s="10"/>
      <c r="CH377" s="10"/>
      <c r="CI377" s="11">
        <v>0</v>
      </c>
      <c r="CJ377" s="10"/>
      <c r="CK377" s="10"/>
      <c r="CL377" s="11">
        <v>0</v>
      </c>
      <c r="CM377" s="10"/>
      <c r="CN377" s="10"/>
      <c r="CO377" s="11">
        <v>0</v>
      </c>
      <c r="CP377" s="10"/>
      <c r="CQ377" s="10"/>
      <c r="CR377" s="11">
        <v>0</v>
      </c>
      <c r="CS377" s="10"/>
      <c r="CT377" s="10"/>
      <c r="CU377" s="11">
        <v>0</v>
      </c>
      <c r="CV377" s="10"/>
      <c r="CW377" s="10"/>
      <c r="CX377" s="11">
        <v>0</v>
      </c>
      <c r="CY377" s="10"/>
      <c r="CZ377" s="10"/>
      <c r="DA377" s="11">
        <v>0</v>
      </c>
      <c r="DB377" s="10">
        <v>76320</v>
      </c>
      <c r="DC377" s="10"/>
      <c r="DD377" s="15">
        <f t="shared" si="568"/>
        <v>0</v>
      </c>
      <c r="DE377" s="16"/>
    </row>
    <row r="378" spans="1:109" x14ac:dyDescent="0.35">
      <c r="A378" s="8" t="s">
        <v>817</v>
      </c>
      <c r="B378" s="9" t="s">
        <v>51</v>
      </c>
      <c r="C378" s="9" t="s">
        <v>52</v>
      </c>
      <c r="D378" s="9" t="s">
        <v>818</v>
      </c>
      <c r="E378" s="9" t="s">
        <v>54</v>
      </c>
      <c r="F378" s="9" t="s">
        <v>55</v>
      </c>
      <c r="G378" s="10"/>
      <c r="H378" s="10"/>
      <c r="I378" s="11">
        <v>0</v>
      </c>
      <c r="J378" s="10"/>
      <c r="K378" s="10"/>
      <c r="L378" s="12">
        <v>0</v>
      </c>
      <c r="M378" s="10"/>
      <c r="N378" s="10"/>
      <c r="O378" s="11">
        <v>0</v>
      </c>
      <c r="P378" s="10"/>
      <c r="Q378" s="10"/>
      <c r="R378" s="11">
        <v>0</v>
      </c>
      <c r="S378" s="10"/>
      <c r="T378" s="10"/>
      <c r="U378" s="11">
        <v>0</v>
      </c>
      <c r="V378" s="10"/>
      <c r="W378" s="10"/>
      <c r="X378" s="11">
        <v>0</v>
      </c>
      <c r="Y378" s="10"/>
      <c r="Z378" s="10"/>
      <c r="AA378" s="11"/>
      <c r="AB378" s="10"/>
      <c r="AC378" s="10"/>
      <c r="AD378" s="11">
        <v>0</v>
      </c>
      <c r="AE378" s="10"/>
      <c r="AF378" s="10"/>
      <c r="AG378" s="11">
        <v>0</v>
      </c>
      <c r="AH378" s="10"/>
      <c r="AI378" s="10"/>
      <c r="AJ378" s="11">
        <v>0</v>
      </c>
      <c r="AK378" s="10"/>
      <c r="AL378" s="10"/>
      <c r="AM378" s="11">
        <v>0</v>
      </c>
      <c r="AN378" s="10"/>
      <c r="AO378" s="10"/>
      <c r="AP378" s="11">
        <v>0</v>
      </c>
      <c r="AQ378" s="10"/>
      <c r="AR378" s="10"/>
      <c r="AS378" s="11">
        <v>0</v>
      </c>
      <c r="AT378" s="10"/>
      <c r="AU378" s="10"/>
      <c r="AV378" s="11">
        <v>0</v>
      </c>
      <c r="AW378" s="10"/>
      <c r="AX378" s="10"/>
      <c r="AY378" s="11">
        <v>0</v>
      </c>
      <c r="AZ378" s="10"/>
      <c r="BA378" s="10"/>
      <c r="BB378" s="11">
        <v>0</v>
      </c>
      <c r="BC378" s="10"/>
      <c r="BD378" s="10"/>
      <c r="BE378" s="11">
        <v>0</v>
      </c>
      <c r="BF378" s="10"/>
      <c r="BG378" s="10"/>
      <c r="BH378" s="11">
        <v>0</v>
      </c>
      <c r="BI378" s="10"/>
      <c r="BJ378" s="10"/>
      <c r="BK378" s="11">
        <v>0</v>
      </c>
      <c r="BL378" s="10"/>
      <c r="BM378" s="10"/>
      <c r="BN378" s="11">
        <v>0</v>
      </c>
      <c r="BO378" s="10"/>
      <c r="BP378" s="10"/>
      <c r="BQ378" s="11">
        <v>0</v>
      </c>
      <c r="BR378" s="10"/>
      <c r="BS378" s="10"/>
      <c r="BT378" s="11">
        <v>0</v>
      </c>
      <c r="BU378" s="10"/>
      <c r="BV378" s="10"/>
      <c r="BW378" s="11">
        <v>0</v>
      </c>
      <c r="BX378" s="10"/>
      <c r="BY378" s="10"/>
      <c r="BZ378" s="11">
        <v>0</v>
      </c>
      <c r="CA378" s="10"/>
      <c r="CB378" s="10"/>
      <c r="CC378" s="11">
        <v>0</v>
      </c>
      <c r="CD378" s="10"/>
      <c r="CE378" s="10"/>
      <c r="CF378" s="11">
        <v>0</v>
      </c>
      <c r="CG378" s="10"/>
      <c r="CH378" s="10"/>
      <c r="CI378" s="11">
        <v>0</v>
      </c>
      <c r="CJ378" s="10"/>
      <c r="CK378" s="10"/>
      <c r="CL378" s="11">
        <v>0</v>
      </c>
      <c r="CM378" s="10"/>
      <c r="CN378" s="10"/>
      <c r="CO378" s="11">
        <v>0</v>
      </c>
      <c r="CP378" s="10"/>
      <c r="CQ378" s="10"/>
      <c r="CR378" s="11">
        <v>0</v>
      </c>
      <c r="CS378" s="10"/>
      <c r="CT378" s="10"/>
      <c r="CU378" s="11">
        <v>0</v>
      </c>
      <c r="CV378" s="10"/>
      <c r="CW378" s="10"/>
      <c r="CX378" s="11">
        <v>0</v>
      </c>
      <c r="CY378" s="10"/>
      <c r="CZ378" s="10"/>
      <c r="DA378" s="11">
        <v>0</v>
      </c>
      <c r="DB378" s="10"/>
      <c r="DC378" s="10"/>
      <c r="DD378" s="13">
        <v>0</v>
      </c>
      <c r="DE378" s="14"/>
    </row>
    <row r="379" spans="1:109" x14ac:dyDescent="0.35">
      <c r="A379" s="8" t="s">
        <v>819</v>
      </c>
      <c r="B379" s="9" t="s">
        <v>74</v>
      </c>
      <c r="C379" s="9" t="s">
        <v>52</v>
      </c>
      <c r="D379" s="9" t="s">
        <v>820</v>
      </c>
      <c r="E379" s="9" t="s">
        <v>54</v>
      </c>
      <c r="F379" s="9" t="s">
        <v>55</v>
      </c>
      <c r="G379" s="10"/>
      <c r="H379" s="10"/>
      <c r="I379" s="11">
        <v>0</v>
      </c>
      <c r="J379" s="10"/>
      <c r="K379" s="10"/>
      <c r="L379" s="12">
        <v>0</v>
      </c>
      <c r="M379" s="10"/>
      <c r="N379" s="10"/>
      <c r="O379" s="11">
        <v>0</v>
      </c>
      <c r="P379" s="10"/>
      <c r="Q379" s="10"/>
      <c r="R379" s="11">
        <v>0</v>
      </c>
      <c r="S379" s="10"/>
      <c r="T379" s="10"/>
      <c r="U379" s="11">
        <v>0</v>
      </c>
      <c r="V379" s="10"/>
      <c r="W379" s="10"/>
      <c r="X379" s="11">
        <v>0</v>
      </c>
      <c r="Y379" s="10"/>
      <c r="Z379" s="10"/>
      <c r="AA379" s="11"/>
      <c r="AB379" s="10"/>
      <c r="AC379" s="10"/>
      <c r="AD379" s="11">
        <v>0</v>
      </c>
      <c r="AE379" s="10"/>
      <c r="AF379" s="10"/>
      <c r="AG379" s="11">
        <v>0</v>
      </c>
      <c r="AH379" s="10"/>
      <c r="AI379" s="10"/>
      <c r="AJ379" s="11">
        <v>0</v>
      </c>
      <c r="AK379" s="10"/>
      <c r="AL379" s="10"/>
      <c r="AM379" s="11">
        <v>0</v>
      </c>
      <c r="AN379" s="10"/>
      <c r="AO379" s="10"/>
      <c r="AP379" s="11">
        <v>0</v>
      </c>
      <c r="AQ379" s="10"/>
      <c r="AR379" s="10"/>
      <c r="AS379" s="11">
        <v>0</v>
      </c>
      <c r="AT379" s="10"/>
      <c r="AU379" s="10"/>
      <c r="AV379" s="11">
        <v>0</v>
      </c>
      <c r="AW379" s="10"/>
      <c r="AX379" s="10"/>
      <c r="AY379" s="11">
        <v>0</v>
      </c>
      <c r="AZ379" s="10"/>
      <c r="BA379" s="10"/>
      <c r="BB379" s="11">
        <v>0</v>
      </c>
      <c r="BC379" s="10"/>
      <c r="BD379" s="10"/>
      <c r="BE379" s="11">
        <v>0</v>
      </c>
      <c r="BF379" s="10"/>
      <c r="BG379" s="10"/>
      <c r="BH379" s="11">
        <v>0</v>
      </c>
      <c r="BI379" s="10"/>
      <c r="BJ379" s="10"/>
      <c r="BK379" s="11">
        <v>0</v>
      </c>
      <c r="BL379" s="10"/>
      <c r="BM379" s="10"/>
      <c r="BN379" s="11">
        <v>0</v>
      </c>
      <c r="BO379" s="10"/>
      <c r="BP379" s="10"/>
      <c r="BQ379" s="11">
        <v>0</v>
      </c>
      <c r="BR379" s="10"/>
      <c r="BS379" s="10"/>
      <c r="BT379" s="11">
        <v>0</v>
      </c>
      <c r="BU379" s="10"/>
      <c r="BV379" s="10"/>
      <c r="BW379" s="11">
        <v>0</v>
      </c>
      <c r="BX379" s="10"/>
      <c r="BY379" s="10"/>
      <c r="BZ379" s="11">
        <v>0</v>
      </c>
      <c r="CA379" s="10"/>
      <c r="CB379" s="10"/>
      <c r="CC379" s="11">
        <v>0</v>
      </c>
      <c r="CD379" s="10"/>
      <c r="CE379" s="10"/>
      <c r="CF379" s="11">
        <v>0</v>
      </c>
      <c r="CG379" s="10"/>
      <c r="CH379" s="10"/>
      <c r="CI379" s="11">
        <v>0</v>
      </c>
      <c r="CJ379" s="10"/>
      <c r="CK379" s="10"/>
      <c r="CL379" s="11">
        <v>0</v>
      </c>
      <c r="CM379" s="10"/>
      <c r="CN379" s="10"/>
      <c r="CO379" s="11">
        <v>0</v>
      </c>
      <c r="CP379" s="10"/>
      <c r="CQ379" s="10"/>
      <c r="CR379" s="11">
        <v>0</v>
      </c>
      <c r="CS379" s="10"/>
      <c r="CT379" s="10"/>
      <c r="CU379" s="11">
        <v>0</v>
      </c>
      <c r="CV379" s="10"/>
      <c r="CW379" s="10"/>
      <c r="CX379" s="11">
        <v>0</v>
      </c>
      <c r="CY379" s="10"/>
      <c r="CZ379" s="10"/>
      <c r="DA379" s="11">
        <v>0</v>
      </c>
      <c r="DB379" s="10"/>
      <c r="DC379" s="10"/>
      <c r="DD379" s="13">
        <v>0</v>
      </c>
      <c r="DE379" s="14"/>
    </row>
    <row r="380" spans="1:109" x14ac:dyDescent="0.35">
      <c r="A380" s="8" t="s">
        <v>821</v>
      </c>
      <c r="B380" s="9" t="s">
        <v>74</v>
      </c>
      <c r="C380" s="9" t="s">
        <v>52</v>
      </c>
      <c r="D380" s="9" t="s">
        <v>822</v>
      </c>
      <c r="E380" s="9" t="s">
        <v>54</v>
      </c>
      <c r="F380" s="9" t="s">
        <v>55</v>
      </c>
      <c r="G380" s="10"/>
      <c r="H380" s="10"/>
      <c r="I380" s="11">
        <v>0</v>
      </c>
      <c r="J380" s="10"/>
      <c r="K380" s="10"/>
      <c r="L380" s="12">
        <v>0</v>
      </c>
      <c r="M380" s="10"/>
      <c r="N380" s="10"/>
      <c r="O380" s="11">
        <v>0</v>
      </c>
      <c r="P380" s="10"/>
      <c r="Q380" s="10"/>
      <c r="R380" s="11">
        <v>0</v>
      </c>
      <c r="S380" s="10"/>
      <c r="T380" s="10"/>
      <c r="U380" s="11">
        <v>0</v>
      </c>
      <c r="V380" s="10"/>
      <c r="W380" s="10"/>
      <c r="X380" s="11">
        <v>0</v>
      </c>
      <c r="Y380" s="10"/>
      <c r="Z380" s="10"/>
      <c r="AA380" s="11"/>
      <c r="AB380" s="10"/>
      <c r="AC380" s="10"/>
      <c r="AD380" s="11">
        <v>0</v>
      </c>
      <c r="AE380" s="10"/>
      <c r="AF380" s="10"/>
      <c r="AG380" s="11">
        <v>0</v>
      </c>
      <c r="AH380" s="10"/>
      <c r="AI380" s="10"/>
      <c r="AJ380" s="11">
        <v>0</v>
      </c>
      <c r="AK380" s="10"/>
      <c r="AL380" s="10"/>
      <c r="AM380" s="11">
        <v>0</v>
      </c>
      <c r="AN380" s="10"/>
      <c r="AO380" s="10"/>
      <c r="AP380" s="11">
        <v>0</v>
      </c>
      <c r="AQ380" s="10"/>
      <c r="AR380" s="10"/>
      <c r="AS380" s="11">
        <v>0</v>
      </c>
      <c r="AT380" s="10"/>
      <c r="AU380" s="10"/>
      <c r="AV380" s="11">
        <v>0</v>
      </c>
      <c r="AW380" s="10"/>
      <c r="AX380" s="10"/>
      <c r="AY380" s="11">
        <v>0</v>
      </c>
      <c r="AZ380" s="10"/>
      <c r="BA380" s="10"/>
      <c r="BB380" s="11">
        <v>0</v>
      </c>
      <c r="BC380" s="10"/>
      <c r="BD380" s="10"/>
      <c r="BE380" s="11">
        <v>0</v>
      </c>
      <c r="BF380" s="10"/>
      <c r="BG380" s="10"/>
      <c r="BH380" s="11">
        <v>0</v>
      </c>
      <c r="BI380" s="10"/>
      <c r="BJ380" s="10"/>
      <c r="BK380" s="11">
        <v>0</v>
      </c>
      <c r="BL380" s="10"/>
      <c r="BM380" s="10"/>
      <c r="BN380" s="11">
        <v>0</v>
      </c>
      <c r="BO380" s="10"/>
      <c r="BP380" s="10"/>
      <c r="BQ380" s="11">
        <v>0</v>
      </c>
      <c r="BR380" s="10"/>
      <c r="BS380" s="10"/>
      <c r="BT380" s="11">
        <v>0</v>
      </c>
      <c r="BU380" s="10"/>
      <c r="BV380" s="10"/>
      <c r="BW380" s="11">
        <v>0</v>
      </c>
      <c r="BX380" s="10"/>
      <c r="BY380" s="10"/>
      <c r="BZ380" s="11">
        <v>0</v>
      </c>
      <c r="CA380" s="10"/>
      <c r="CB380" s="10"/>
      <c r="CC380" s="11">
        <v>0</v>
      </c>
      <c r="CD380" s="10"/>
      <c r="CE380" s="10"/>
      <c r="CF380" s="11">
        <v>0</v>
      </c>
      <c r="CG380" s="10"/>
      <c r="CH380" s="10"/>
      <c r="CI380" s="11">
        <v>0</v>
      </c>
      <c r="CJ380" s="10"/>
      <c r="CK380" s="10"/>
      <c r="CL380" s="11">
        <v>0</v>
      </c>
      <c r="CM380" s="10"/>
      <c r="CN380" s="10"/>
      <c r="CO380" s="11">
        <v>0</v>
      </c>
      <c r="CP380" s="10"/>
      <c r="CQ380" s="10"/>
      <c r="CR380" s="11">
        <v>0</v>
      </c>
      <c r="CS380" s="10"/>
      <c r="CT380" s="10"/>
      <c r="CU380" s="11">
        <v>0</v>
      </c>
      <c r="CV380" s="10"/>
      <c r="CW380" s="10"/>
      <c r="CX380" s="11">
        <v>0</v>
      </c>
      <c r="CY380" s="10"/>
      <c r="CZ380" s="10"/>
      <c r="DA380" s="11">
        <v>0</v>
      </c>
      <c r="DB380" s="10"/>
      <c r="DC380" s="10"/>
      <c r="DD380" s="13">
        <v>0</v>
      </c>
      <c r="DE380" s="14"/>
    </row>
    <row r="381" spans="1:109" x14ac:dyDescent="0.35">
      <c r="A381" s="8" t="s">
        <v>823</v>
      </c>
      <c r="B381" s="9" t="s">
        <v>111</v>
      </c>
      <c r="C381" s="9" t="s">
        <v>52</v>
      </c>
      <c r="D381" s="9" t="s">
        <v>824</v>
      </c>
      <c r="E381" s="9" t="s">
        <v>54</v>
      </c>
      <c r="F381" s="9" t="s">
        <v>55</v>
      </c>
      <c r="G381" s="10"/>
      <c r="H381" s="10"/>
      <c r="I381" s="11">
        <v>0</v>
      </c>
      <c r="J381" s="10"/>
      <c r="K381" s="10"/>
      <c r="L381" s="12">
        <v>0</v>
      </c>
      <c r="M381" s="10"/>
      <c r="N381" s="10"/>
      <c r="O381" s="11">
        <v>0</v>
      </c>
      <c r="P381" s="10"/>
      <c r="Q381" s="10"/>
      <c r="R381" s="11">
        <v>0</v>
      </c>
      <c r="S381" s="10"/>
      <c r="T381" s="10"/>
      <c r="U381" s="11">
        <v>0</v>
      </c>
      <c r="V381" s="10"/>
      <c r="W381" s="10"/>
      <c r="X381" s="11">
        <v>0</v>
      </c>
      <c r="Y381" s="10"/>
      <c r="Z381" s="10">
        <v>12800</v>
      </c>
      <c r="AA381" s="11"/>
      <c r="AB381" s="10"/>
      <c r="AC381" s="10"/>
      <c r="AD381" s="11">
        <v>0</v>
      </c>
      <c r="AE381" s="10"/>
      <c r="AF381" s="10"/>
      <c r="AG381" s="11">
        <v>0</v>
      </c>
      <c r="AH381" s="10"/>
      <c r="AI381" s="10"/>
      <c r="AJ381" s="11">
        <v>0</v>
      </c>
      <c r="AK381" s="10"/>
      <c r="AL381" s="10"/>
      <c r="AM381" s="11">
        <v>0</v>
      </c>
      <c r="AN381" s="10"/>
      <c r="AO381" s="10"/>
      <c r="AP381" s="11">
        <v>0</v>
      </c>
      <c r="AQ381" s="10"/>
      <c r="AR381" s="10"/>
      <c r="AS381" s="11">
        <v>0</v>
      </c>
      <c r="AT381" s="10"/>
      <c r="AU381" s="10"/>
      <c r="AV381" s="11">
        <v>0</v>
      </c>
      <c r="AW381" s="10"/>
      <c r="AX381" s="10"/>
      <c r="AY381" s="11">
        <v>0</v>
      </c>
      <c r="AZ381" s="10"/>
      <c r="BA381" s="10"/>
      <c r="BB381" s="11">
        <v>0</v>
      </c>
      <c r="BC381" s="10"/>
      <c r="BD381" s="10"/>
      <c r="BE381" s="11">
        <v>0</v>
      </c>
      <c r="BF381" s="10"/>
      <c r="BG381" s="10"/>
      <c r="BH381" s="11">
        <v>0</v>
      </c>
      <c r="BI381" s="10"/>
      <c r="BJ381" s="10"/>
      <c r="BK381" s="11">
        <v>0</v>
      </c>
      <c r="BL381" s="10"/>
      <c r="BM381" s="10"/>
      <c r="BN381" s="11">
        <v>0</v>
      </c>
      <c r="BO381" s="10"/>
      <c r="BP381" s="10"/>
      <c r="BQ381" s="11">
        <v>0</v>
      </c>
      <c r="BR381" s="10"/>
      <c r="BS381" s="10"/>
      <c r="BT381" s="11">
        <v>0</v>
      </c>
      <c r="BU381" s="10"/>
      <c r="BV381" s="10"/>
      <c r="BW381" s="11">
        <v>0</v>
      </c>
      <c r="BX381" s="10"/>
      <c r="BY381" s="10"/>
      <c r="BZ381" s="11">
        <v>0</v>
      </c>
      <c r="CA381" s="10"/>
      <c r="CB381" s="10"/>
      <c r="CC381" s="11">
        <v>0</v>
      </c>
      <c r="CD381" s="10"/>
      <c r="CE381" s="10"/>
      <c r="CF381" s="11">
        <v>0</v>
      </c>
      <c r="CG381" s="10"/>
      <c r="CH381" s="10"/>
      <c r="CI381" s="11">
        <v>0</v>
      </c>
      <c r="CJ381" s="10"/>
      <c r="CK381" s="10"/>
      <c r="CL381" s="11">
        <v>0</v>
      </c>
      <c r="CM381" s="10"/>
      <c r="CN381" s="10"/>
      <c r="CO381" s="11">
        <v>0</v>
      </c>
      <c r="CP381" s="10"/>
      <c r="CQ381" s="10"/>
      <c r="CR381" s="11">
        <v>0</v>
      </c>
      <c r="CS381" s="10"/>
      <c r="CT381" s="10"/>
      <c r="CU381" s="11">
        <v>0</v>
      </c>
      <c r="CV381" s="10"/>
      <c r="CW381" s="10"/>
      <c r="CX381" s="11">
        <v>0</v>
      </c>
      <c r="CY381" s="10"/>
      <c r="CZ381" s="10"/>
      <c r="DA381" s="11">
        <v>0</v>
      </c>
      <c r="DB381" s="10"/>
      <c r="DC381" s="10">
        <f t="shared" ref="DC381" si="570">SUM(H381,K381,N381,Q381,T381,W381,Z381,AC381,AF381,AI381,AL381,AO381,AR381,AU381,AX381,BA381,BD381,BG381,BJ381,BM381,BP381,BS381,BV381,BY381,CB381,CE381,CH381,CK381,CN381,CQ381,CT381,CW381,CZ381)</f>
        <v>12800</v>
      </c>
      <c r="DD381" s="13">
        <v>0</v>
      </c>
      <c r="DE381" s="14"/>
    </row>
    <row r="382" spans="1:109" x14ac:dyDescent="0.35">
      <c r="A382" s="8" t="s">
        <v>825</v>
      </c>
      <c r="B382" s="9" t="s">
        <v>74</v>
      </c>
      <c r="C382" s="9" t="s">
        <v>52</v>
      </c>
      <c r="D382" s="9" t="s">
        <v>826</v>
      </c>
      <c r="E382" s="9" t="s">
        <v>54</v>
      </c>
      <c r="F382" s="9" t="s">
        <v>55</v>
      </c>
      <c r="G382" s="10"/>
      <c r="H382" s="10"/>
      <c r="I382" s="11">
        <v>0</v>
      </c>
      <c r="J382" s="10"/>
      <c r="K382" s="10"/>
      <c r="L382" s="12">
        <v>0</v>
      </c>
      <c r="M382" s="10"/>
      <c r="N382" s="10"/>
      <c r="O382" s="11">
        <v>0</v>
      </c>
      <c r="P382" s="10"/>
      <c r="Q382" s="10"/>
      <c r="R382" s="11">
        <v>0</v>
      </c>
      <c r="S382" s="10"/>
      <c r="T382" s="10"/>
      <c r="U382" s="11">
        <v>0</v>
      </c>
      <c r="V382" s="10"/>
      <c r="W382" s="10"/>
      <c r="X382" s="11">
        <v>0</v>
      </c>
      <c r="Y382" s="10"/>
      <c r="Z382" s="10"/>
      <c r="AA382" s="11"/>
      <c r="AB382" s="10"/>
      <c r="AC382" s="10"/>
      <c r="AD382" s="11">
        <v>0</v>
      </c>
      <c r="AE382" s="10"/>
      <c r="AF382" s="10"/>
      <c r="AG382" s="11">
        <v>0</v>
      </c>
      <c r="AH382" s="10"/>
      <c r="AI382" s="10"/>
      <c r="AJ382" s="11">
        <v>0</v>
      </c>
      <c r="AK382" s="10"/>
      <c r="AL382" s="10"/>
      <c r="AM382" s="11">
        <v>0</v>
      </c>
      <c r="AN382" s="10"/>
      <c r="AO382" s="10"/>
      <c r="AP382" s="11">
        <v>0</v>
      </c>
      <c r="AQ382" s="10"/>
      <c r="AR382" s="10"/>
      <c r="AS382" s="11">
        <v>0</v>
      </c>
      <c r="AT382" s="10"/>
      <c r="AU382" s="10"/>
      <c r="AV382" s="11">
        <v>0</v>
      </c>
      <c r="AW382" s="10"/>
      <c r="AX382" s="10"/>
      <c r="AY382" s="11">
        <v>0</v>
      </c>
      <c r="AZ382" s="10"/>
      <c r="BA382" s="10"/>
      <c r="BB382" s="11">
        <v>0</v>
      </c>
      <c r="BC382" s="10"/>
      <c r="BD382" s="10"/>
      <c r="BE382" s="11">
        <v>0</v>
      </c>
      <c r="BF382" s="10"/>
      <c r="BG382" s="10"/>
      <c r="BH382" s="11">
        <v>0</v>
      </c>
      <c r="BI382" s="10"/>
      <c r="BJ382" s="10"/>
      <c r="BK382" s="11">
        <v>0</v>
      </c>
      <c r="BL382" s="10"/>
      <c r="BM382" s="10"/>
      <c r="BN382" s="11">
        <v>0</v>
      </c>
      <c r="BO382" s="10"/>
      <c r="BP382" s="10"/>
      <c r="BQ382" s="11">
        <v>0</v>
      </c>
      <c r="BR382" s="10"/>
      <c r="BS382" s="10"/>
      <c r="BT382" s="11">
        <v>0</v>
      </c>
      <c r="BU382" s="10"/>
      <c r="BV382" s="10"/>
      <c r="BW382" s="11">
        <v>0</v>
      </c>
      <c r="BX382" s="10"/>
      <c r="BY382" s="10"/>
      <c r="BZ382" s="11">
        <v>0</v>
      </c>
      <c r="CA382" s="10"/>
      <c r="CB382" s="10"/>
      <c r="CC382" s="11">
        <v>0</v>
      </c>
      <c r="CD382" s="10"/>
      <c r="CE382" s="10"/>
      <c r="CF382" s="11">
        <v>0</v>
      </c>
      <c r="CG382" s="10"/>
      <c r="CH382" s="10"/>
      <c r="CI382" s="11">
        <v>0</v>
      </c>
      <c r="CJ382" s="10"/>
      <c r="CK382" s="10"/>
      <c r="CL382" s="11">
        <v>0</v>
      </c>
      <c r="CM382" s="10"/>
      <c r="CN382" s="10"/>
      <c r="CO382" s="11">
        <v>0</v>
      </c>
      <c r="CP382" s="10"/>
      <c r="CQ382" s="10"/>
      <c r="CR382" s="11">
        <v>0</v>
      </c>
      <c r="CS382" s="10"/>
      <c r="CT382" s="10"/>
      <c r="CU382" s="11">
        <v>0</v>
      </c>
      <c r="CV382" s="10"/>
      <c r="CW382" s="10"/>
      <c r="CX382" s="11">
        <v>0</v>
      </c>
      <c r="CY382" s="10"/>
      <c r="CZ382" s="10"/>
      <c r="DA382" s="11">
        <v>0</v>
      </c>
      <c r="DB382" s="10"/>
      <c r="DC382" s="10"/>
      <c r="DD382" s="13">
        <v>0</v>
      </c>
      <c r="DE382" s="14"/>
    </row>
    <row r="383" spans="1:109" x14ac:dyDescent="0.35">
      <c r="A383" s="8" t="s">
        <v>827</v>
      </c>
      <c r="B383" s="9" t="s">
        <v>51</v>
      </c>
      <c r="C383" s="9" t="s">
        <v>52</v>
      </c>
      <c r="D383" s="9" t="s">
        <v>828</v>
      </c>
      <c r="E383" s="9" t="s">
        <v>54</v>
      </c>
      <c r="F383" s="9" t="s">
        <v>55</v>
      </c>
      <c r="G383" s="10"/>
      <c r="H383" s="10"/>
      <c r="I383" s="11">
        <v>0</v>
      </c>
      <c r="J383" s="10"/>
      <c r="K383" s="10"/>
      <c r="L383" s="12">
        <v>0</v>
      </c>
      <c r="M383" s="10"/>
      <c r="N383" s="10"/>
      <c r="O383" s="11">
        <v>0</v>
      </c>
      <c r="P383" s="10"/>
      <c r="Q383" s="10"/>
      <c r="R383" s="11">
        <v>0</v>
      </c>
      <c r="S383" s="10"/>
      <c r="T383" s="10"/>
      <c r="U383" s="11">
        <v>0</v>
      </c>
      <c r="V383" s="10"/>
      <c r="W383" s="10"/>
      <c r="X383" s="11">
        <v>0</v>
      </c>
      <c r="Y383" s="10"/>
      <c r="Z383" s="10"/>
      <c r="AA383" s="11"/>
      <c r="AB383" s="10"/>
      <c r="AC383" s="10"/>
      <c r="AD383" s="11">
        <v>0</v>
      </c>
      <c r="AE383" s="10"/>
      <c r="AF383" s="10"/>
      <c r="AG383" s="11">
        <v>0</v>
      </c>
      <c r="AH383" s="10"/>
      <c r="AI383" s="10"/>
      <c r="AJ383" s="11">
        <v>0</v>
      </c>
      <c r="AK383" s="10"/>
      <c r="AL383" s="10"/>
      <c r="AM383" s="11">
        <v>0</v>
      </c>
      <c r="AN383" s="10"/>
      <c r="AO383" s="10"/>
      <c r="AP383" s="11">
        <v>0</v>
      </c>
      <c r="AQ383" s="10"/>
      <c r="AR383" s="10"/>
      <c r="AS383" s="11">
        <v>0</v>
      </c>
      <c r="AT383" s="10"/>
      <c r="AU383" s="10"/>
      <c r="AV383" s="11">
        <v>0</v>
      </c>
      <c r="AW383" s="10"/>
      <c r="AX383" s="10"/>
      <c r="AY383" s="11">
        <v>0</v>
      </c>
      <c r="AZ383" s="10"/>
      <c r="BA383" s="10"/>
      <c r="BB383" s="11">
        <v>0</v>
      </c>
      <c r="BC383" s="10"/>
      <c r="BD383" s="10"/>
      <c r="BE383" s="11">
        <v>0</v>
      </c>
      <c r="BF383" s="10"/>
      <c r="BG383" s="10"/>
      <c r="BH383" s="11">
        <v>0</v>
      </c>
      <c r="BI383" s="10"/>
      <c r="BJ383" s="10"/>
      <c r="BK383" s="11">
        <v>0</v>
      </c>
      <c r="BL383" s="10"/>
      <c r="BM383" s="10"/>
      <c r="BN383" s="11">
        <v>0</v>
      </c>
      <c r="BO383" s="10"/>
      <c r="BP383" s="10"/>
      <c r="BQ383" s="11">
        <v>0</v>
      </c>
      <c r="BR383" s="10"/>
      <c r="BS383" s="10"/>
      <c r="BT383" s="11">
        <v>0</v>
      </c>
      <c r="BU383" s="10"/>
      <c r="BV383" s="10"/>
      <c r="BW383" s="11">
        <v>0</v>
      </c>
      <c r="BX383" s="10"/>
      <c r="BY383" s="10"/>
      <c r="BZ383" s="11">
        <v>0</v>
      </c>
      <c r="CA383" s="10"/>
      <c r="CB383" s="10"/>
      <c r="CC383" s="11">
        <v>0</v>
      </c>
      <c r="CD383" s="10"/>
      <c r="CE383" s="10"/>
      <c r="CF383" s="11">
        <v>0</v>
      </c>
      <c r="CG383" s="10"/>
      <c r="CH383" s="10"/>
      <c r="CI383" s="11">
        <v>0</v>
      </c>
      <c r="CJ383" s="10"/>
      <c r="CK383" s="10"/>
      <c r="CL383" s="11">
        <v>0</v>
      </c>
      <c r="CM383" s="10"/>
      <c r="CN383" s="10"/>
      <c r="CO383" s="11">
        <v>0</v>
      </c>
      <c r="CP383" s="10"/>
      <c r="CQ383" s="10"/>
      <c r="CR383" s="11">
        <v>0</v>
      </c>
      <c r="CS383" s="10"/>
      <c r="CT383" s="10"/>
      <c r="CU383" s="11">
        <v>0</v>
      </c>
      <c r="CV383" s="10"/>
      <c r="CW383" s="10"/>
      <c r="CX383" s="11">
        <v>0</v>
      </c>
      <c r="CY383" s="10"/>
      <c r="CZ383" s="10"/>
      <c r="DA383" s="11">
        <v>0</v>
      </c>
      <c r="DB383" s="10"/>
      <c r="DC383" s="10"/>
      <c r="DD383" s="13">
        <v>0</v>
      </c>
      <c r="DE383" s="14"/>
    </row>
    <row r="384" spans="1:109" x14ac:dyDescent="0.35">
      <c r="A384" s="8" t="s">
        <v>829</v>
      </c>
      <c r="B384" s="9" t="s">
        <v>51</v>
      </c>
      <c r="C384" s="9" t="s">
        <v>52</v>
      </c>
      <c r="D384" s="9" t="s">
        <v>830</v>
      </c>
      <c r="E384" s="9" t="s">
        <v>54</v>
      </c>
      <c r="F384" s="9" t="s">
        <v>55</v>
      </c>
      <c r="G384" s="10"/>
      <c r="H384" s="10"/>
      <c r="I384" s="11">
        <v>0</v>
      </c>
      <c r="J384" s="10"/>
      <c r="K384" s="10"/>
      <c r="L384" s="12">
        <v>0</v>
      </c>
      <c r="M384" s="10"/>
      <c r="N384" s="10"/>
      <c r="O384" s="11">
        <v>0</v>
      </c>
      <c r="P384" s="10"/>
      <c r="Q384" s="10"/>
      <c r="R384" s="11">
        <v>0</v>
      </c>
      <c r="S384" s="10"/>
      <c r="T384" s="10"/>
      <c r="U384" s="11">
        <v>0</v>
      </c>
      <c r="V384" s="10"/>
      <c r="W384" s="10"/>
      <c r="X384" s="11">
        <v>0</v>
      </c>
      <c r="Y384" s="10"/>
      <c r="Z384" s="10"/>
      <c r="AA384" s="11"/>
      <c r="AB384" s="10"/>
      <c r="AC384" s="10"/>
      <c r="AD384" s="11">
        <v>0</v>
      </c>
      <c r="AE384" s="10"/>
      <c r="AF384" s="10"/>
      <c r="AG384" s="11">
        <v>0</v>
      </c>
      <c r="AH384" s="10"/>
      <c r="AI384" s="10"/>
      <c r="AJ384" s="11">
        <v>0</v>
      </c>
      <c r="AK384" s="10"/>
      <c r="AL384" s="10"/>
      <c r="AM384" s="11">
        <v>0</v>
      </c>
      <c r="AN384" s="10"/>
      <c r="AO384" s="10"/>
      <c r="AP384" s="11">
        <v>0</v>
      </c>
      <c r="AQ384" s="10"/>
      <c r="AR384" s="10"/>
      <c r="AS384" s="11">
        <v>0</v>
      </c>
      <c r="AT384" s="10"/>
      <c r="AU384" s="10"/>
      <c r="AV384" s="11">
        <v>0</v>
      </c>
      <c r="AW384" s="10"/>
      <c r="AX384" s="10"/>
      <c r="AY384" s="11">
        <v>0</v>
      </c>
      <c r="AZ384" s="10"/>
      <c r="BA384" s="10"/>
      <c r="BB384" s="11">
        <v>0</v>
      </c>
      <c r="BC384" s="10"/>
      <c r="BD384" s="10"/>
      <c r="BE384" s="11">
        <v>0</v>
      </c>
      <c r="BF384" s="10"/>
      <c r="BG384" s="10"/>
      <c r="BH384" s="11">
        <v>0</v>
      </c>
      <c r="BI384" s="10"/>
      <c r="BJ384" s="10"/>
      <c r="BK384" s="11">
        <v>0</v>
      </c>
      <c r="BL384" s="10"/>
      <c r="BM384" s="10"/>
      <c r="BN384" s="11">
        <v>0</v>
      </c>
      <c r="BO384" s="10"/>
      <c r="BP384" s="10"/>
      <c r="BQ384" s="11">
        <v>0</v>
      </c>
      <c r="BR384" s="10"/>
      <c r="BS384" s="10"/>
      <c r="BT384" s="11">
        <v>0</v>
      </c>
      <c r="BU384" s="10"/>
      <c r="BV384" s="10"/>
      <c r="BW384" s="11">
        <v>0</v>
      </c>
      <c r="BX384" s="10"/>
      <c r="BY384" s="10"/>
      <c r="BZ384" s="11">
        <v>0</v>
      </c>
      <c r="CA384" s="10"/>
      <c r="CB384" s="10"/>
      <c r="CC384" s="11">
        <v>0</v>
      </c>
      <c r="CD384" s="10"/>
      <c r="CE384" s="10"/>
      <c r="CF384" s="11">
        <v>0</v>
      </c>
      <c r="CG384" s="10"/>
      <c r="CH384" s="10"/>
      <c r="CI384" s="11">
        <v>0</v>
      </c>
      <c r="CJ384" s="10"/>
      <c r="CK384" s="10"/>
      <c r="CL384" s="11">
        <v>0</v>
      </c>
      <c r="CM384" s="10"/>
      <c r="CN384" s="10"/>
      <c r="CO384" s="11">
        <v>0</v>
      </c>
      <c r="CP384" s="10"/>
      <c r="CQ384" s="10"/>
      <c r="CR384" s="11">
        <v>0</v>
      </c>
      <c r="CS384" s="10"/>
      <c r="CT384" s="10"/>
      <c r="CU384" s="11">
        <v>0</v>
      </c>
      <c r="CV384" s="10"/>
      <c r="CW384" s="10"/>
      <c r="CX384" s="11">
        <v>0</v>
      </c>
      <c r="CY384" s="10"/>
      <c r="CZ384" s="10"/>
      <c r="DA384" s="11">
        <v>0</v>
      </c>
      <c r="DB384" s="10"/>
      <c r="DC384" s="10"/>
      <c r="DD384" s="13">
        <v>0</v>
      </c>
      <c r="DE384" s="14"/>
    </row>
    <row r="385" spans="1:109" x14ac:dyDescent="0.35">
      <c r="A385" s="8" t="s">
        <v>831</v>
      </c>
      <c r="B385" s="9" t="s">
        <v>74</v>
      </c>
      <c r="C385" s="9" t="s">
        <v>52</v>
      </c>
      <c r="D385" s="9" t="s">
        <v>832</v>
      </c>
      <c r="E385" s="9" t="s">
        <v>54</v>
      </c>
      <c r="F385" s="9" t="s">
        <v>55</v>
      </c>
      <c r="G385" s="10"/>
      <c r="H385" s="10"/>
      <c r="I385" s="11">
        <v>0</v>
      </c>
      <c r="J385" s="10"/>
      <c r="K385" s="10"/>
      <c r="L385" s="12">
        <v>0</v>
      </c>
      <c r="M385" s="10"/>
      <c r="N385" s="10"/>
      <c r="O385" s="11">
        <v>0</v>
      </c>
      <c r="P385" s="10"/>
      <c r="Q385" s="10"/>
      <c r="R385" s="11">
        <v>0</v>
      </c>
      <c r="S385" s="10"/>
      <c r="T385" s="10"/>
      <c r="U385" s="11">
        <v>0</v>
      </c>
      <c r="V385" s="10"/>
      <c r="W385" s="10"/>
      <c r="X385" s="11">
        <v>0</v>
      </c>
      <c r="Y385" s="10"/>
      <c r="Z385" s="10"/>
      <c r="AA385" s="11"/>
      <c r="AB385" s="10"/>
      <c r="AC385" s="10"/>
      <c r="AD385" s="11">
        <v>0</v>
      </c>
      <c r="AE385" s="10"/>
      <c r="AF385" s="10"/>
      <c r="AG385" s="11">
        <v>0</v>
      </c>
      <c r="AH385" s="10"/>
      <c r="AI385" s="10"/>
      <c r="AJ385" s="11">
        <v>0</v>
      </c>
      <c r="AK385" s="10"/>
      <c r="AL385" s="10"/>
      <c r="AM385" s="11">
        <v>0</v>
      </c>
      <c r="AN385" s="10"/>
      <c r="AO385" s="10"/>
      <c r="AP385" s="11">
        <v>0</v>
      </c>
      <c r="AQ385" s="10"/>
      <c r="AR385" s="10"/>
      <c r="AS385" s="11">
        <v>0</v>
      </c>
      <c r="AT385" s="10"/>
      <c r="AU385" s="10"/>
      <c r="AV385" s="11">
        <v>0</v>
      </c>
      <c r="AW385" s="10"/>
      <c r="AX385" s="10"/>
      <c r="AY385" s="11">
        <v>0</v>
      </c>
      <c r="AZ385" s="10"/>
      <c r="BA385" s="10"/>
      <c r="BB385" s="11">
        <v>0</v>
      </c>
      <c r="BC385" s="10"/>
      <c r="BD385" s="10"/>
      <c r="BE385" s="11">
        <v>0</v>
      </c>
      <c r="BF385" s="10"/>
      <c r="BG385" s="10"/>
      <c r="BH385" s="11">
        <v>0</v>
      </c>
      <c r="BI385" s="10"/>
      <c r="BJ385" s="10"/>
      <c r="BK385" s="11">
        <v>0</v>
      </c>
      <c r="BL385" s="10"/>
      <c r="BM385" s="10"/>
      <c r="BN385" s="11">
        <v>0</v>
      </c>
      <c r="BO385" s="10"/>
      <c r="BP385" s="10"/>
      <c r="BQ385" s="11">
        <v>0</v>
      </c>
      <c r="BR385" s="10"/>
      <c r="BS385" s="10"/>
      <c r="BT385" s="11">
        <v>0</v>
      </c>
      <c r="BU385" s="10"/>
      <c r="BV385" s="10"/>
      <c r="BW385" s="11">
        <v>0</v>
      </c>
      <c r="BX385" s="10"/>
      <c r="BY385" s="10"/>
      <c r="BZ385" s="11">
        <v>0</v>
      </c>
      <c r="CA385" s="10"/>
      <c r="CB385" s="10"/>
      <c r="CC385" s="11">
        <v>0</v>
      </c>
      <c r="CD385" s="10"/>
      <c r="CE385" s="10"/>
      <c r="CF385" s="11">
        <v>0</v>
      </c>
      <c r="CG385" s="10"/>
      <c r="CH385" s="10"/>
      <c r="CI385" s="11">
        <v>0</v>
      </c>
      <c r="CJ385" s="10"/>
      <c r="CK385" s="10"/>
      <c r="CL385" s="11">
        <v>0</v>
      </c>
      <c r="CM385" s="10"/>
      <c r="CN385" s="10"/>
      <c r="CO385" s="11">
        <v>0</v>
      </c>
      <c r="CP385" s="10"/>
      <c r="CQ385" s="10"/>
      <c r="CR385" s="11">
        <v>0</v>
      </c>
      <c r="CS385" s="10"/>
      <c r="CT385" s="10"/>
      <c r="CU385" s="11">
        <v>0</v>
      </c>
      <c r="CV385" s="10"/>
      <c r="CW385" s="10"/>
      <c r="CX385" s="11">
        <v>0</v>
      </c>
      <c r="CY385" s="10"/>
      <c r="CZ385" s="10"/>
      <c r="DA385" s="11">
        <v>0</v>
      </c>
      <c r="DB385" s="10"/>
      <c r="DC385" s="10"/>
      <c r="DD385" s="13">
        <v>0</v>
      </c>
      <c r="DE385" s="14"/>
    </row>
    <row r="386" spans="1:109" x14ac:dyDescent="0.35">
      <c r="A386" s="8" t="s">
        <v>833</v>
      </c>
      <c r="B386" s="9" t="s">
        <v>74</v>
      </c>
      <c r="C386" s="9" t="s">
        <v>52</v>
      </c>
      <c r="D386" s="9" t="s">
        <v>834</v>
      </c>
      <c r="E386" s="9" t="s">
        <v>54</v>
      </c>
      <c r="F386" s="9" t="s">
        <v>55</v>
      </c>
      <c r="G386" s="10"/>
      <c r="H386" s="10"/>
      <c r="I386" s="11">
        <v>0</v>
      </c>
      <c r="J386" s="10"/>
      <c r="K386" s="10"/>
      <c r="L386" s="12">
        <v>0</v>
      </c>
      <c r="M386" s="10"/>
      <c r="N386" s="10"/>
      <c r="O386" s="11">
        <v>0</v>
      </c>
      <c r="P386" s="10"/>
      <c r="Q386" s="10"/>
      <c r="R386" s="11">
        <v>0</v>
      </c>
      <c r="S386" s="10"/>
      <c r="T386" s="10"/>
      <c r="U386" s="11">
        <v>0</v>
      </c>
      <c r="V386" s="10"/>
      <c r="W386" s="10"/>
      <c r="X386" s="11">
        <v>0</v>
      </c>
      <c r="Y386" s="10"/>
      <c r="Z386" s="10"/>
      <c r="AA386" s="11"/>
      <c r="AB386" s="10"/>
      <c r="AC386" s="10"/>
      <c r="AD386" s="11">
        <v>0</v>
      </c>
      <c r="AE386" s="10"/>
      <c r="AF386" s="10"/>
      <c r="AG386" s="11">
        <v>0</v>
      </c>
      <c r="AH386" s="10"/>
      <c r="AI386" s="10"/>
      <c r="AJ386" s="11">
        <v>0</v>
      </c>
      <c r="AK386" s="10"/>
      <c r="AL386" s="10"/>
      <c r="AM386" s="11">
        <v>0</v>
      </c>
      <c r="AN386" s="10"/>
      <c r="AO386" s="10"/>
      <c r="AP386" s="11">
        <v>0</v>
      </c>
      <c r="AQ386" s="10"/>
      <c r="AR386" s="10"/>
      <c r="AS386" s="11">
        <v>0</v>
      </c>
      <c r="AT386" s="10"/>
      <c r="AU386" s="10"/>
      <c r="AV386" s="11">
        <v>0</v>
      </c>
      <c r="AW386" s="10"/>
      <c r="AX386" s="10"/>
      <c r="AY386" s="11">
        <v>0</v>
      </c>
      <c r="AZ386" s="10"/>
      <c r="BA386" s="10"/>
      <c r="BB386" s="11">
        <v>0</v>
      </c>
      <c r="BC386" s="10"/>
      <c r="BD386" s="10"/>
      <c r="BE386" s="11">
        <v>0</v>
      </c>
      <c r="BF386" s="10"/>
      <c r="BG386" s="10"/>
      <c r="BH386" s="11">
        <v>0</v>
      </c>
      <c r="BI386" s="10"/>
      <c r="BJ386" s="10"/>
      <c r="BK386" s="11">
        <v>0</v>
      </c>
      <c r="BL386" s="10"/>
      <c r="BM386" s="10"/>
      <c r="BN386" s="11">
        <v>0</v>
      </c>
      <c r="BO386" s="10"/>
      <c r="BP386" s="10"/>
      <c r="BQ386" s="11">
        <v>0</v>
      </c>
      <c r="BR386" s="10"/>
      <c r="BS386" s="10"/>
      <c r="BT386" s="11">
        <v>0</v>
      </c>
      <c r="BU386" s="10"/>
      <c r="BV386" s="10"/>
      <c r="BW386" s="11">
        <v>0</v>
      </c>
      <c r="BX386" s="10"/>
      <c r="BY386" s="10"/>
      <c r="BZ386" s="11">
        <v>0</v>
      </c>
      <c r="CA386" s="10"/>
      <c r="CB386" s="10"/>
      <c r="CC386" s="11">
        <v>0</v>
      </c>
      <c r="CD386" s="10"/>
      <c r="CE386" s="10"/>
      <c r="CF386" s="11">
        <v>0</v>
      </c>
      <c r="CG386" s="10"/>
      <c r="CH386" s="10"/>
      <c r="CI386" s="11">
        <v>0</v>
      </c>
      <c r="CJ386" s="10"/>
      <c r="CK386" s="10"/>
      <c r="CL386" s="11">
        <v>0</v>
      </c>
      <c r="CM386" s="10"/>
      <c r="CN386" s="10"/>
      <c r="CO386" s="11">
        <v>0</v>
      </c>
      <c r="CP386" s="10"/>
      <c r="CQ386" s="10"/>
      <c r="CR386" s="11">
        <v>0</v>
      </c>
      <c r="CS386" s="10"/>
      <c r="CT386" s="10"/>
      <c r="CU386" s="11">
        <v>0</v>
      </c>
      <c r="CV386" s="10"/>
      <c r="CW386" s="10"/>
      <c r="CX386" s="11">
        <v>0</v>
      </c>
      <c r="CY386" s="10"/>
      <c r="CZ386" s="10"/>
      <c r="DA386" s="11">
        <v>0</v>
      </c>
      <c r="DB386" s="10"/>
      <c r="DC386" s="10"/>
      <c r="DD386" s="13">
        <v>0</v>
      </c>
      <c r="DE386" s="14"/>
    </row>
    <row r="387" spans="1:109" x14ac:dyDescent="0.35">
      <c r="A387" s="8" t="s">
        <v>835</v>
      </c>
      <c r="B387" s="9" t="s">
        <v>51</v>
      </c>
      <c r="C387" s="9" t="s">
        <v>52</v>
      </c>
      <c r="D387" s="9" t="s">
        <v>836</v>
      </c>
      <c r="E387" s="9" t="s">
        <v>54</v>
      </c>
      <c r="F387" s="9" t="s">
        <v>55</v>
      </c>
      <c r="G387" s="10"/>
      <c r="H387" s="10"/>
      <c r="I387" s="11">
        <v>0</v>
      </c>
      <c r="J387" s="10"/>
      <c r="K387" s="10"/>
      <c r="L387" s="12">
        <v>0</v>
      </c>
      <c r="M387" s="10"/>
      <c r="N387" s="10"/>
      <c r="O387" s="11">
        <v>0</v>
      </c>
      <c r="P387" s="10"/>
      <c r="Q387" s="10"/>
      <c r="R387" s="11">
        <v>0</v>
      </c>
      <c r="S387" s="10"/>
      <c r="T387" s="10"/>
      <c r="U387" s="11">
        <v>0</v>
      </c>
      <c r="V387" s="10"/>
      <c r="W387" s="10"/>
      <c r="X387" s="11">
        <v>0</v>
      </c>
      <c r="Y387" s="10"/>
      <c r="Z387" s="10"/>
      <c r="AA387" s="11"/>
      <c r="AB387" s="10"/>
      <c r="AC387" s="10"/>
      <c r="AD387" s="11">
        <v>0</v>
      </c>
      <c r="AE387" s="10"/>
      <c r="AF387" s="10"/>
      <c r="AG387" s="11">
        <v>0</v>
      </c>
      <c r="AH387" s="10"/>
      <c r="AI387" s="10"/>
      <c r="AJ387" s="11">
        <v>0</v>
      </c>
      <c r="AK387" s="10"/>
      <c r="AL387" s="10"/>
      <c r="AM387" s="11">
        <v>0</v>
      </c>
      <c r="AN387" s="10"/>
      <c r="AO387" s="10"/>
      <c r="AP387" s="11">
        <v>0</v>
      </c>
      <c r="AQ387" s="10"/>
      <c r="AR387" s="10"/>
      <c r="AS387" s="11">
        <v>0</v>
      </c>
      <c r="AT387" s="10"/>
      <c r="AU387" s="10"/>
      <c r="AV387" s="11">
        <v>0</v>
      </c>
      <c r="AW387" s="10"/>
      <c r="AX387" s="10"/>
      <c r="AY387" s="11">
        <v>0</v>
      </c>
      <c r="AZ387" s="10"/>
      <c r="BA387" s="10"/>
      <c r="BB387" s="11">
        <v>0</v>
      </c>
      <c r="BC387" s="10"/>
      <c r="BD387" s="10"/>
      <c r="BE387" s="11">
        <v>0</v>
      </c>
      <c r="BF387" s="10"/>
      <c r="BG387" s="10"/>
      <c r="BH387" s="11">
        <v>0</v>
      </c>
      <c r="BI387" s="10"/>
      <c r="BJ387" s="10"/>
      <c r="BK387" s="11">
        <v>0</v>
      </c>
      <c r="BL387" s="10"/>
      <c r="BM387" s="10"/>
      <c r="BN387" s="11">
        <v>0</v>
      </c>
      <c r="BO387" s="10"/>
      <c r="BP387" s="10"/>
      <c r="BQ387" s="11">
        <v>0</v>
      </c>
      <c r="BR387" s="10"/>
      <c r="BS387" s="10"/>
      <c r="BT387" s="11">
        <v>0</v>
      </c>
      <c r="BU387" s="10"/>
      <c r="BV387" s="10"/>
      <c r="BW387" s="11">
        <v>0</v>
      </c>
      <c r="BX387" s="10"/>
      <c r="BY387" s="10"/>
      <c r="BZ387" s="11">
        <v>0</v>
      </c>
      <c r="CA387" s="10"/>
      <c r="CB387" s="10"/>
      <c r="CC387" s="11">
        <v>0</v>
      </c>
      <c r="CD387" s="10"/>
      <c r="CE387" s="10"/>
      <c r="CF387" s="11">
        <v>0</v>
      </c>
      <c r="CG387" s="10"/>
      <c r="CH387" s="10"/>
      <c r="CI387" s="11">
        <v>0</v>
      </c>
      <c r="CJ387" s="10"/>
      <c r="CK387" s="10"/>
      <c r="CL387" s="11">
        <v>0</v>
      </c>
      <c r="CM387" s="10"/>
      <c r="CN387" s="10"/>
      <c r="CO387" s="11">
        <v>0</v>
      </c>
      <c r="CP387" s="10"/>
      <c r="CQ387" s="10"/>
      <c r="CR387" s="11">
        <v>0</v>
      </c>
      <c r="CS387" s="10"/>
      <c r="CT387" s="10"/>
      <c r="CU387" s="11">
        <v>0</v>
      </c>
      <c r="CV387" s="10"/>
      <c r="CW387" s="10"/>
      <c r="CX387" s="11">
        <v>0</v>
      </c>
      <c r="CY387" s="10"/>
      <c r="CZ387" s="10"/>
      <c r="DA387" s="11">
        <v>0</v>
      </c>
      <c r="DB387" s="10"/>
      <c r="DC387" s="10"/>
      <c r="DD387" s="13">
        <v>0</v>
      </c>
      <c r="DE387" s="14"/>
    </row>
    <row r="388" spans="1:109" x14ac:dyDescent="0.35">
      <c r="A388" s="8" t="s">
        <v>837</v>
      </c>
      <c r="B388" s="9" t="s">
        <v>51</v>
      </c>
      <c r="C388" s="9" t="s">
        <v>52</v>
      </c>
      <c r="D388" s="9" t="s">
        <v>838</v>
      </c>
      <c r="E388" s="9" t="s">
        <v>54</v>
      </c>
      <c r="F388" s="9" t="s">
        <v>55</v>
      </c>
      <c r="G388" s="10"/>
      <c r="H388" s="10"/>
      <c r="I388" s="11">
        <v>0</v>
      </c>
      <c r="J388" s="10"/>
      <c r="K388" s="10"/>
      <c r="L388" s="12">
        <v>0</v>
      </c>
      <c r="M388" s="10"/>
      <c r="N388" s="10"/>
      <c r="O388" s="11">
        <v>0</v>
      </c>
      <c r="P388" s="10"/>
      <c r="Q388" s="10"/>
      <c r="R388" s="11">
        <v>0</v>
      </c>
      <c r="S388" s="10"/>
      <c r="T388" s="10"/>
      <c r="U388" s="11">
        <v>0</v>
      </c>
      <c r="V388" s="10"/>
      <c r="W388" s="10"/>
      <c r="X388" s="11">
        <v>0</v>
      </c>
      <c r="Y388" s="10"/>
      <c r="Z388" s="10"/>
      <c r="AA388" s="11"/>
      <c r="AB388" s="10"/>
      <c r="AC388" s="10"/>
      <c r="AD388" s="11">
        <v>0</v>
      </c>
      <c r="AE388" s="10"/>
      <c r="AF388" s="10"/>
      <c r="AG388" s="11">
        <v>0</v>
      </c>
      <c r="AH388" s="10"/>
      <c r="AI388" s="10"/>
      <c r="AJ388" s="11">
        <v>0</v>
      </c>
      <c r="AK388" s="10"/>
      <c r="AL388" s="10"/>
      <c r="AM388" s="11">
        <v>0</v>
      </c>
      <c r="AN388" s="10"/>
      <c r="AO388" s="10"/>
      <c r="AP388" s="11">
        <v>0</v>
      </c>
      <c r="AQ388" s="10"/>
      <c r="AR388" s="10"/>
      <c r="AS388" s="11">
        <v>0</v>
      </c>
      <c r="AT388" s="10"/>
      <c r="AU388" s="10"/>
      <c r="AV388" s="11">
        <v>0</v>
      </c>
      <c r="AW388" s="10"/>
      <c r="AX388" s="10"/>
      <c r="AY388" s="11">
        <v>0</v>
      </c>
      <c r="AZ388" s="10"/>
      <c r="BA388" s="10"/>
      <c r="BB388" s="11">
        <v>0</v>
      </c>
      <c r="BC388" s="10"/>
      <c r="BD388" s="10"/>
      <c r="BE388" s="11">
        <v>0</v>
      </c>
      <c r="BF388" s="10"/>
      <c r="BG388" s="10"/>
      <c r="BH388" s="11">
        <v>0</v>
      </c>
      <c r="BI388" s="10"/>
      <c r="BJ388" s="10"/>
      <c r="BK388" s="11">
        <v>0</v>
      </c>
      <c r="BL388" s="10"/>
      <c r="BM388" s="10"/>
      <c r="BN388" s="11">
        <v>0</v>
      </c>
      <c r="BO388" s="10"/>
      <c r="BP388" s="10"/>
      <c r="BQ388" s="11">
        <v>0</v>
      </c>
      <c r="BR388" s="10"/>
      <c r="BS388" s="10"/>
      <c r="BT388" s="11">
        <v>0</v>
      </c>
      <c r="BU388" s="10"/>
      <c r="BV388" s="10"/>
      <c r="BW388" s="11">
        <v>0</v>
      </c>
      <c r="BX388" s="10"/>
      <c r="BY388" s="10"/>
      <c r="BZ388" s="11">
        <v>0</v>
      </c>
      <c r="CA388" s="10"/>
      <c r="CB388" s="10"/>
      <c r="CC388" s="11">
        <v>0</v>
      </c>
      <c r="CD388" s="10"/>
      <c r="CE388" s="10"/>
      <c r="CF388" s="11">
        <v>0</v>
      </c>
      <c r="CG388" s="10"/>
      <c r="CH388" s="10"/>
      <c r="CI388" s="11">
        <v>0</v>
      </c>
      <c r="CJ388" s="10"/>
      <c r="CK388" s="10"/>
      <c r="CL388" s="11">
        <v>0</v>
      </c>
      <c r="CM388" s="10"/>
      <c r="CN388" s="10"/>
      <c r="CO388" s="11">
        <v>0</v>
      </c>
      <c r="CP388" s="10"/>
      <c r="CQ388" s="10"/>
      <c r="CR388" s="11">
        <v>0</v>
      </c>
      <c r="CS388" s="10"/>
      <c r="CT388" s="10"/>
      <c r="CU388" s="11">
        <v>0</v>
      </c>
      <c r="CV388" s="10"/>
      <c r="CW388" s="10"/>
      <c r="CX388" s="11">
        <v>0</v>
      </c>
      <c r="CY388" s="10"/>
      <c r="CZ388" s="10"/>
      <c r="DA388" s="11">
        <v>0</v>
      </c>
      <c r="DB388" s="10"/>
      <c r="DC388" s="10"/>
      <c r="DD388" s="13">
        <v>0</v>
      </c>
      <c r="DE388" s="14"/>
    </row>
    <row r="389" spans="1:109" x14ac:dyDescent="0.35">
      <c r="A389" s="8" t="s">
        <v>839</v>
      </c>
      <c r="B389" s="9" t="s">
        <v>74</v>
      </c>
      <c r="C389" s="9" t="s">
        <v>52</v>
      </c>
      <c r="D389" s="9" t="s">
        <v>840</v>
      </c>
      <c r="E389" s="9" t="s">
        <v>54</v>
      </c>
      <c r="F389" s="9" t="s">
        <v>55</v>
      </c>
      <c r="G389" s="10"/>
      <c r="H389" s="10"/>
      <c r="I389" s="11">
        <v>0</v>
      </c>
      <c r="J389" s="10"/>
      <c r="K389" s="10"/>
      <c r="L389" s="12">
        <v>0</v>
      </c>
      <c r="M389" s="10"/>
      <c r="N389" s="10"/>
      <c r="O389" s="11">
        <v>0</v>
      </c>
      <c r="P389" s="10"/>
      <c r="Q389" s="10"/>
      <c r="R389" s="11">
        <v>0</v>
      </c>
      <c r="S389" s="10"/>
      <c r="T389" s="10"/>
      <c r="U389" s="11">
        <v>0</v>
      </c>
      <c r="V389" s="10"/>
      <c r="W389" s="10"/>
      <c r="X389" s="11">
        <v>0</v>
      </c>
      <c r="Y389" s="10"/>
      <c r="Z389" s="10"/>
      <c r="AA389" s="11"/>
      <c r="AB389" s="10"/>
      <c r="AC389" s="10"/>
      <c r="AD389" s="11">
        <v>0</v>
      </c>
      <c r="AE389" s="10"/>
      <c r="AF389" s="10"/>
      <c r="AG389" s="11">
        <v>0</v>
      </c>
      <c r="AH389" s="10"/>
      <c r="AI389" s="10"/>
      <c r="AJ389" s="11">
        <v>0</v>
      </c>
      <c r="AK389" s="10"/>
      <c r="AL389" s="10"/>
      <c r="AM389" s="11">
        <v>0</v>
      </c>
      <c r="AN389" s="10"/>
      <c r="AO389" s="10"/>
      <c r="AP389" s="11">
        <v>0</v>
      </c>
      <c r="AQ389" s="10"/>
      <c r="AR389" s="10"/>
      <c r="AS389" s="11">
        <v>0</v>
      </c>
      <c r="AT389" s="10"/>
      <c r="AU389" s="10"/>
      <c r="AV389" s="11">
        <v>0</v>
      </c>
      <c r="AW389" s="10"/>
      <c r="AX389" s="10"/>
      <c r="AY389" s="11">
        <v>0</v>
      </c>
      <c r="AZ389" s="10"/>
      <c r="BA389" s="10"/>
      <c r="BB389" s="11">
        <v>0</v>
      </c>
      <c r="BC389" s="10"/>
      <c r="BD389" s="10"/>
      <c r="BE389" s="11">
        <v>0</v>
      </c>
      <c r="BF389" s="10"/>
      <c r="BG389" s="10"/>
      <c r="BH389" s="11">
        <v>0</v>
      </c>
      <c r="BI389" s="10"/>
      <c r="BJ389" s="10"/>
      <c r="BK389" s="11">
        <v>0</v>
      </c>
      <c r="BL389" s="10"/>
      <c r="BM389" s="10"/>
      <c r="BN389" s="11">
        <v>0</v>
      </c>
      <c r="BO389" s="10"/>
      <c r="BP389" s="10"/>
      <c r="BQ389" s="11">
        <v>0</v>
      </c>
      <c r="BR389" s="10"/>
      <c r="BS389" s="10"/>
      <c r="BT389" s="11">
        <v>0</v>
      </c>
      <c r="BU389" s="10"/>
      <c r="BV389" s="10"/>
      <c r="BW389" s="11">
        <v>0</v>
      </c>
      <c r="BX389" s="10"/>
      <c r="BY389" s="10"/>
      <c r="BZ389" s="11">
        <v>0</v>
      </c>
      <c r="CA389" s="10"/>
      <c r="CB389" s="10"/>
      <c r="CC389" s="11">
        <v>0</v>
      </c>
      <c r="CD389" s="10"/>
      <c r="CE389" s="10"/>
      <c r="CF389" s="11">
        <v>0</v>
      </c>
      <c r="CG389" s="10"/>
      <c r="CH389" s="10"/>
      <c r="CI389" s="11">
        <v>0</v>
      </c>
      <c r="CJ389" s="10"/>
      <c r="CK389" s="10"/>
      <c r="CL389" s="11">
        <v>0</v>
      </c>
      <c r="CM389" s="10"/>
      <c r="CN389" s="10"/>
      <c r="CO389" s="11">
        <v>0</v>
      </c>
      <c r="CP389" s="10"/>
      <c r="CQ389" s="10"/>
      <c r="CR389" s="11">
        <v>0</v>
      </c>
      <c r="CS389" s="10"/>
      <c r="CT389" s="10"/>
      <c r="CU389" s="11">
        <v>0</v>
      </c>
      <c r="CV389" s="10"/>
      <c r="CW389" s="10"/>
      <c r="CX389" s="11">
        <v>0</v>
      </c>
      <c r="CY389" s="10"/>
      <c r="CZ389" s="10"/>
      <c r="DA389" s="11">
        <v>0</v>
      </c>
      <c r="DB389" s="10"/>
      <c r="DC389" s="10"/>
      <c r="DD389" s="13">
        <v>0</v>
      </c>
      <c r="DE389" s="14"/>
    </row>
    <row r="390" spans="1:109" x14ac:dyDescent="0.35">
      <c r="A390" s="8" t="s">
        <v>841</v>
      </c>
      <c r="B390" s="9" t="s">
        <v>118</v>
      </c>
      <c r="C390" s="9" t="s">
        <v>43</v>
      </c>
      <c r="D390" s="9" t="s">
        <v>842</v>
      </c>
      <c r="E390" s="9" t="s">
        <v>61</v>
      </c>
      <c r="F390" s="9" t="s">
        <v>62</v>
      </c>
      <c r="G390" s="10"/>
      <c r="H390" s="10"/>
      <c r="I390" s="11">
        <v>0</v>
      </c>
      <c r="J390" s="10"/>
      <c r="K390" s="10"/>
      <c r="L390" s="12">
        <v>0</v>
      </c>
      <c r="M390" s="10"/>
      <c r="N390" s="10"/>
      <c r="O390" s="11">
        <v>0</v>
      </c>
      <c r="P390" s="10"/>
      <c r="Q390" s="10"/>
      <c r="R390" s="11">
        <v>0</v>
      </c>
      <c r="S390" s="10"/>
      <c r="T390" s="10"/>
      <c r="U390" s="11">
        <v>0</v>
      </c>
      <c r="V390" s="10"/>
      <c r="W390" s="10"/>
      <c r="X390" s="11">
        <v>0</v>
      </c>
      <c r="Y390" s="10"/>
      <c r="Z390" s="10"/>
      <c r="AA390" s="11"/>
      <c r="AB390" s="10"/>
      <c r="AC390" s="10"/>
      <c r="AD390" s="11">
        <v>0</v>
      </c>
      <c r="AE390" s="10"/>
      <c r="AF390" s="10"/>
      <c r="AG390" s="11">
        <v>0</v>
      </c>
      <c r="AH390" s="10"/>
      <c r="AI390" s="10"/>
      <c r="AJ390" s="11">
        <v>0</v>
      </c>
      <c r="AK390" s="10"/>
      <c r="AL390" s="10"/>
      <c r="AM390" s="11">
        <v>0</v>
      </c>
      <c r="AN390" s="10"/>
      <c r="AO390" s="10"/>
      <c r="AP390" s="11">
        <v>0</v>
      </c>
      <c r="AQ390" s="10"/>
      <c r="AR390" s="10"/>
      <c r="AS390" s="11">
        <v>0</v>
      </c>
      <c r="AT390" s="10"/>
      <c r="AU390" s="10"/>
      <c r="AV390" s="11">
        <v>0</v>
      </c>
      <c r="AW390" s="10"/>
      <c r="AX390" s="10"/>
      <c r="AY390" s="11">
        <v>0</v>
      </c>
      <c r="AZ390" s="10"/>
      <c r="BA390" s="10"/>
      <c r="BB390" s="11">
        <v>0</v>
      </c>
      <c r="BC390" s="10"/>
      <c r="BD390" s="10"/>
      <c r="BE390" s="11">
        <v>0</v>
      </c>
      <c r="BF390" s="10"/>
      <c r="BG390" s="10"/>
      <c r="BH390" s="11">
        <v>0</v>
      </c>
      <c r="BI390" s="10"/>
      <c r="BJ390" s="10"/>
      <c r="BK390" s="11">
        <v>0</v>
      </c>
      <c r="BL390" s="10"/>
      <c r="BM390" s="10"/>
      <c r="BN390" s="11">
        <v>0</v>
      </c>
      <c r="BO390" s="10"/>
      <c r="BP390" s="10"/>
      <c r="BQ390" s="11">
        <v>0</v>
      </c>
      <c r="BR390" s="10"/>
      <c r="BS390" s="10"/>
      <c r="BT390" s="11">
        <v>0</v>
      </c>
      <c r="BU390" s="10"/>
      <c r="BV390" s="10"/>
      <c r="BW390" s="11">
        <v>0</v>
      </c>
      <c r="BX390" s="10"/>
      <c r="BY390" s="10"/>
      <c r="BZ390" s="11">
        <v>0</v>
      </c>
      <c r="CA390" s="10"/>
      <c r="CB390" s="10"/>
      <c r="CC390" s="11">
        <v>0</v>
      </c>
      <c r="CD390" s="10"/>
      <c r="CE390" s="10"/>
      <c r="CF390" s="11">
        <v>0</v>
      </c>
      <c r="CG390" s="10"/>
      <c r="CH390" s="10"/>
      <c r="CI390" s="11">
        <v>0</v>
      </c>
      <c r="CJ390" s="10"/>
      <c r="CK390" s="10"/>
      <c r="CL390" s="11">
        <v>0</v>
      </c>
      <c r="CM390" s="10"/>
      <c r="CN390" s="10"/>
      <c r="CO390" s="11">
        <v>0</v>
      </c>
      <c r="CP390" s="10"/>
      <c r="CQ390" s="10"/>
      <c r="CR390" s="11">
        <v>0</v>
      </c>
      <c r="CS390" s="10"/>
      <c r="CT390" s="10"/>
      <c r="CU390" s="11">
        <v>0</v>
      </c>
      <c r="CV390" s="10"/>
      <c r="CW390" s="10"/>
      <c r="CX390" s="11">
        <v>0</v>
      </c>
      <c r="CY390" s="10"/>
      <c r="CZ390" s="10"/>
      <c r="DA390" s="11">
        <v>0</v>
      </c>
      <c r="DB390" s="10"/>
      <c r="DC390" s="10"/>
      <c r="DD390" s="13">
        <v>0</v>
      </c>
      <c r="DE390" s="14"/>
    </row>
    <row r="391" spans="1:109" x14ac:dyDescent="0.35">
      <c r="A391" s="8" t="s">
        <v>843</v>
      </c>
      <c r="B391" s="9" t="s">
        <v>77</v>
      </c>
      <c r="C391" s="9" t="s">
        <v>43</v>
      </c>
      <c r="D391" s="9" t="s">
        <v>844</v>
      </c>
      <c r="E391" s="9" t="s">
        <v>61</v>
      </c>
      <c r="F391" s="9" t="s">
        <v>62</v>
      </c>
      <c r="G391" s="10"/>
      <c r="H391" s="10"/>
      <c r="I391" s="11">
        <v>0</v>
      </c>
      <c r="J391" s="10"/>
      <c r="K391" s="10"/>
      <c r="L391" s="12">
        <v>0</v>
      </c>
      <c r="M391" s="10"/>
      <c r="N391" s="10"/>
      <c r="O391" s="11">
        <v>0</v>
      </c>
      <c r="P391" s="10"/>
      <c r="Q391" s="10"/>
      <c r="R391" s="11">
        <v>0</v>
      </c>
      <c r="S391" s="10"/>
      <c r="T391" s="10"/>
      <c r="U391" s="11">
        <v>0</v>
      </c>
      <c r="V391" s="10"/>
      <c r="W391" s="10"/>
      <c r="X391" s="11">
        <v>0</v>
      </c>
      <c r="Y391" s="10"/>
      <c r="Z391" s="10"/>
      <c r="AA391" s="11"/>
      <c r="AB391" s="10"/>
      <c r="AC391" s="10"/>
      <c r="AD391" s="11">
        <v>0</v>
      </c>
      <c r="AE391" s="10"/>
      <c r="AF391" s="10"/>
      <c r="AG391" s="11">
        <v>0</v>
      </c>
      <c r="AH391" s="10"/>
      <c r="AI391" s="10"/>
      <c r="AJ391" s="11">
        <v>0</v>
      </c>
      <c r="AK391" s="10"/>
      <c r="AL391" s="10"/>
      <c r="AM391" s="11">
        <v>0</v>
      </c>
      <c r="AN391" s="10"/>
      <c r="AO391" s="10"/>
      <c r="AP391" s="11">
        <v>0</v>
      </c>
      <c r="AQ391" s="10"/>
      <c r="AR391" s="10"/>
      <c r="AS391" s="11">
        <v>0</v>
      </c>
      <c r="AT391" s="10"/>
      <c r="AU391" s="10"/>
      <c r="AV391" s="11">
        <v>0</v>
      </c>
      <c r="AW391" s="10"/>
      <c r="AX391" s="10"/>
      <c r="AY391" s="11">
        <v>0</v>
      </c>
      <c r="AZ391" s="10"/>
      <c r="BA391" s="10"/>
      <c r="BB391" s="11">
        <v>0</v>
      </c>
      <c r="BC391" s="10"/>
      <c r="BD391" s="10"/>
      <c r="BE391" s="11">
        <v>0</v>
      </c>
      <c r="BF391" s="10"/>
      <c r="BG391" s="10"/>
      <c r="BH391" s="11">
        <v>0</v>
      </c>
      <c r="BI391" s="10"/>
      <c r="BJ391" s="10"/>
      <c r="BK391" s="11">
        <v>0</v>
      </c>
      <c r="BL391" s="10"/>
      <c r="BM391" s="10"/>
      <c r="BN391" s="11">
        <v>0</v>
      </c>
      <c r="BO391" s="10"/>
      <c r="BP391" s="10"/>
      <c r="BQ391" s="11">
        <v>0</v>
      </c>
      <c r="BR391" s="10"/>
      <c r="BS391" s="10"/>
      <c r="BT391" s="11">
        <v>0</v>
      </c>
      <c r="BU391" s="10"/>
      <c r="BV391" s="10"/>
      <c r="BW391" s="11">
        <v>0</v>
      </c>
      <c r="BX391" s="10"/>
      <c r="BY391" s="10"/>
      <c r="BZ391" s="11">
        <v>0</v>
      </c>
      <c r="CA391" s="10"/>
      <c r="CB391" s="10"/>
      <c r="CC391" s="11">
        <v>0</v>
      </c>
      <c r="CD391" s="10"/>
      <c r="CE391" s="10"/>
      <c r="CF391" s="11">
        <v>0</v>
      </c>
      <c r="CG391" s="10"/>
      <c r="CH391" s="10"/>
      <c r="CI391" s="11">
        <v>0</v>
      </c>
      <c r="CJ391" s="10"/>
      <c r="CK391" s="10"/>
      <c r="CL391" s="11">
        <v>0</v>
      </c>
      <c r="CM391" s="10"/>
      <c r="CN391" s="10"/>
      <c r="CO391" s="11">
        <v>0</v>
      </c>
      <c r="CP391" s="10"/>
      <c r="CQ391" s="10"/>
      <c r="CR391" s="11">
        <v>0</v>
      </c>
      <c r="CS391" s="10"/>
      <c r="CT391" s="10"/>
      <c r="CU391" s="11">
        <v>0</v>
      </c>
      <c r="CV391" s="10"/>
      <c r="CW391" s="10"/>
      <c r="CX391" s="11">
        <v>0</v>
      </c>
      <c r="CY391" s="10"/>
      <c r="CZ391" s="10"/>
      <c r="DA391" s="11">
        <v>0</v>
      </c>
      <c r="DB391" s="10"/>
      <c r="DC391" s="10"/>
      <c r="DD391" s="13">
        <v>0</v>
      </c>
      <c r="DE391" s="14"/>
    </row>
    <row r="392" spans="1:109" x14ac:dyDescent="0.35">
      <c r="A392" s="8" t="s">
        <v>845</v>
      </c>
      <c r="B392" s="9" t="s">
        <v>74</v>
      </c>
      <c r="C392" s="9" t="s">
        <v>52</v>
      </c>
      <c r="D392" s="9" t="s">
        <v>846</v>
      </c>
      <c r="E392" s="9" t="s">
        <v>54</v>
      </c>
      <c r="F392" s="9" t="s">
        <v>55</v>
      </c>
      <c r="G392" s="10"/>
      <c r="H392" s="10"/>
      <c r="I392" s="11">
        <v>0</v>
      </c>
      <c r="J392" s="10"/>
      <c r="K392" s="10"/>
      <c r="L392" s="12">
        <v>0</v>
      </c>
      <c r="M392" s="10"/>
      <c r="N392" s="10"/>
      <c r="O392" s="11">
        <v>0</v>
      </c>
      <c r="P392" s="10"/>
      <c r="Q392" s="10"/>
      <c r="R392" s="11">
        <v>0</v>
      </c>
      <c r="S392" s="10"/>
      <c r="T392" s="10"/>
      <c r="U392" s="11">
        <v>0</v>
      </c>
      <c r="V392" s="10"/>
      <c r="W392" s="10"/>
      <c r="X392" s="11">
        <v>0</v>
      </c>
      <c r="Y392" s="10"/>
      <c r="Z392" s="10"/>
      <c r="AA392" s="11"/>
      <c r="AB392" s="10"/>
      <c r="AC392" s="10"/>
      <c r="AD392" s="11">
        <v>0</v>
      </c>
      <c r="AE392" s="10"/>
      <c r="AF392" s="10"/>
      <c r="AG392" s="11">
        <v>0</v>
      </c>
      <c r="AH392" s="10"/>
      <c r="AI392" s="10"/>
      <c r="AJ392" s="11">
        <v>0</v>
      </c>
      <c r="AK392" s="10"/>
      <c r="AL392" s="10"/>
      <c r="AM392" s="11">
        <v>0</v>
      </c>
      <c r="AN392" s="10"/>
      <c r="AO392" s="10"/>
      <c r="AP392" s="11">
        <v>0</v>
      </c>
      <c r="AQ392" s="10"/>
      <c r="AR392" s="10"/>
      <c r="AS392" s="11">
        <v>0</v>
      </c>
      <c r="AT392" s="10"/>
      <c r="AU392" s="10"/>
      <c r="AV392" s="11">
        <v>0</v>
      </c>
      <c r="AW392" s="10"/>
      <c r="AX392" s="10"/>
      <c r="AY392" s="11">
        <v>0</v>
      </c>
      <c r="AZ392" s="10"/>
      <c r="BA392" s="10"/>
      <c r="BB392" s="11">
        <v>0</v>
      </c>
      <c r="BC392" s="10"/>
      <c r="BD392" s="10"/>
      <c r="BE392" s="11">
        <v>0</v>
      </c>
      <c r="BF392" s="10"/>
      <c r="BG392" s="10"/>
      <c r="BH392" s="11">
        <v>0</v>
      </c>
      <c r="BI392" s="10"/>
      <c r="BJ392" s="10"/>
      <c r="BK392" s="11">
        <v>0</v>
      </c>
      <c r="BL392" s="10"/>
      <c r="BM392" s="10"/>
      <c r="BN392" s="11">
        <v>0</v>
      </c>
      <c r="BO392" s="10"/>
      <c r="BP392" s="10"/>
      <c r="BQ392" s="11">
        <v>0</v>
      </c>
      <c r="BR392" s="10"/>
      <c r="BS392" s="10"/>
      <c r="BT392" s="11">
        <v>0</v>
      </c>
      <c r="BU392" s="10"/>
      <c r="BV392" s="10"/>
      <c r="BW392" s="11">
        <v>0</v>
      </c>
      <c r="BX392" s="10"/>
      <c r="BY392" s="10"/>
      <c r="BZ392" s="11">
        <v>0</v>
      </c>
      <c r="CA392" s="10"/>
      <c r="CB392" s="10"/>
      <c r="CC392" s="11">
        <v>0</v>
      </c>
      <c r="CD392" s="10"/>
      <c r="CE392" s="10"/>
      <c r="CF392" s="11">
        <v>0</v>
      </c>
      <c r="CG392" s="10"/>
      <c r="CH392" s="10"/>
      <c r="CI392" s="11">
        <v>0</v>
      </c>
      <c r="CJ392" s="10"/>
      <c r="CK392" s="10"/>
      <c r="CL392" s="11">
        <v>0</v>
      </c>
      <c r="CM392" s="10"/>
      <c r="CN392" s="10"/>
      <c r="CO392" s="11">
        <v>0</v>
      </c>
      <c r="CP392" s="10"/>
      <c r="CQ392" s="10"/>
      <c r="CR392" s="11">
        <v>0</v>
      </c>
      <c r="CS392" s="10"/>
      <c r="CT392" s="10"/>
      <c r="CU392" s="11">
        <v>0</v>
      </c>
      <c r="CV392" s="10"/>
      <c r="CW392" s="10"/>
      <c r="CX392" s="11">
        <v>0</v>
      </c>
      <c r="CY392" s="10"/>
      <c r="CZ392" s="10"/>
      <c r="DA392" s="11">
        <v>0</v>
      </c>
      <c r="DB392" s="10"/>
      <c r="DC392" s="10"/>
      <c r="DD392" s="13">
        <v>0</v>
      </c>
      <c r="DE392" s="14"/>
    </row>
    <row r="393" spans="1:109" x14ac:dyDescent="0.35">
      <c r="A393" s="8" t="s">
        <v>847</v>
      </c>
      <c r="B393" s="9" t="s">
        <v>140</v>
      </c>
      <c r="C393" s="9" t="s">
        <v>43</v>
      </c>
      <c r="D393" s="9" t="s">
        <v>848</v>
      </c>
      <c r="E393" s="9" t="s">
        <v>45</v>
      </c>
      <c r="F393" s="9" t="s">
        <v>46</v>
      </c>
      <c r="G393" s="10"/>
      <c r="H393" s="10"/>
      <c r="I393" s="11">
        <v>0</v>
      </c>
      <c r="J393" s="10"/>
      <c r="K393" s="10"/>
      <c r="L393" s="12">
        <v>0</v>
      </c>
      <c r="M393" s="10"/>
      <c r="N393" s="10"/>
      <c r="O393" s="11">
        <v>0</v>
      </c>
      <c r="P393" s="10"/>
      <c r="Q393" s="10"/>
      <c r="R393" s="11">
        <v>0</v>
      </c>
      <c r="S393" s="10"/>
      <c r="T393" s="10"/>
      <c r="U393" s="11">
        <v>0</v>
      </c>
      <c r="V393" s="10"/>
      <c r="W393" s="10"/>
      <c r="X393" s="11">
        <v>0</v>
      </c>
      <c r="Y393" s="10"/>
      <c r="Z393" s="10"/>
      <c r="AA393" s="11"/>
      <c r="AB393" s="10"/>
      <c r="AC393" s="10"/>
      <c r="AD393" s="11">
        <v>0</v>
      </c>
      <c r="AE393" s="10"/>
      <c r="AF393" s="10"/>
      <c r="AG393" s="11">
        <v>0</v>
      </c>
      <c r="AH393" s="10"/>
      <c r="AI393" s="10"/>
      <c r="AJ393" s="11">
        <v>0</v>
      </c>
      <c r="AK393" s="10"/>
      <c r="AL393" s="10"/>
      <c r="AM393" s="11">
        <v>0</v>
      </c>
      <c r="AN393" s="10"/>
      <c r="AO393" s="10"/>
      <c r="AP393" s="11">
        <v>0</v>
      </c>
      <c r="AQ393" s="10"/>
      <c r="AR393" s="10"/>
      <c r="AS393" s="11">
        <v>0</v>
      </c>
      <c r="AT393" s="10"/>
      <c r="AU393" s="10"/>
      <c r="AV393" s="11">
        <v>0</v>
      </c>
      <c r="AW393" s="10"/>
      <c r="AX393" s="10"/>
      <c r="AY393" s="11">
        <v>0</v>
      </c>
      <c r="AZ393" s="10"/>
      <c r="BA393" s="10"/>
      <c r="BB393" s="11">
        <v>0</v>
      </c>
      <c r="BC393" s="10"/>
      <c r="BD393" s="10"/>
      <c r="BE393" s="11">
        <v>0</v>
      </c>
      <c r="BF393" s="10"/>
      <c r="BG393" s="10"/>
      <c r="BH393" s="11">
        <v>0</v>
      </c>
      <c r="BI393" s="10"/>
      <c r="BJ393" s="10"/>
      <c r="BK393" s="11">
        <v>0</v>
      </c>
      <c r="BL393" s="10"/>
      <c r="BM393" s="10"/>
      <c r="BN393" s="11">
        <v>0</v>
      </c>
      <c r="BO393" s="10"/>
      <c r="BP393" s="10"/>
      <c r="BQ393" s="11">
        <v>0</v>
      </c>
      <c r="BR393" s="10"/>
      <c r="BS393" s="10"/>
      <c r="BT393" s="11">
        <v>0</v>
      </c>
      <c r="BU393" s="10"/>
      <c r="BV393" s="10"/>
      <c r="BW393" s="11">
        <v>0</v>
      </c>
      <c r="BX393" s="10"/>
      <c r="BY393" s="10"/>
      <c r="BZ393" s="11">
        <v>0</v>
      </c>
      <c r="CA393" s="10"/>
      <c r="CB393" s="10"/>
      <c r="CC393" s="11">
        <v>0</v>
      </c>
      <c r="CD393" s="10"/>
      <c r="CE393" s="10"/>
      <c r="CF393" s="11">
        <v>0</v>
      </c>
      <c r="CG393" s="10"/>
      <c r="CH393" s="10"/>
      <c r="CI393" s="11">
        <v>0</v>
      </c>
      <c r="CJ393" s="10"/>
      <c r="CK393" s="10"/>
      <c r="CL393" s="11">
        <v>0</v>
      </c>
      <c r="CM393" s="10"/>
      <c r="CN393" s="10"/>
      <c r="CO393" s="11">
        <v>0</v>
      </c>
      <c r="CP393" s="10"/>
      <c r="CQ393" s="10"/>
      <c r="CR393" s="11">
        <v>0</v>
      </c>
      <c r="CS393" s="10"/>
      <c r="CT393" s="10"/>
      <c r="CU393" s="11">
        <v>0</v>
      </c>
      <c r="CV393" s="10"/>
      <c r="CW393" s="10"/>
      <c r="CX393" s="11">
        <v>0</v>
      </c>
      <c r="CY393" s="10"/>
      <c r="CZ393" s="10"/>
      <c r="DA393" s="11">
        <v>0</v>
      </c>
      <c r="DB393" s="10"/>
      <c r="DC393" s="10"/>
      <c r="DD393" s="13">
        <v>0</v>
      </c>
      <c r="DE393" s="14"/>
    </row>
    <row r="394" spans="1:109" x14ac:dyDescent="0.35">
      <c r="A394" s="8" t="s">
        <v>849</v>
      </c>
      <c r="B394" s="9" t="s">
        <v>59</v>
      </c>
      <c r="C394" s="9" t="s">
        <v>43</v>
      </c>
      <c r="D394" s="9" t="s">
        <v>850</v>
      </c>
      <c r="E394" s="9" t="s">
        <v>61</v>
      </c>
      <c r="F394" s="9" t="s">
        <v>62</v>
      </c>
      <c r="G394" s="10"/>
      <c r="H394" s="10"/>
      <c r="I394" s="11">
        <v>0</v>
      </c>
      <c r="J394" s="10"/>
      <c r="K394" s="10"/>
      <c r="L394" s="12">
        <v>0</v>
      </c>
      <c r="M394" s="10"/>
      <c r="N394" s="10"/>
      <c r="O394" s="11">
        <v>0</v>
      </c>
      <c r="P394" s="10"/>
      <c r="Q394" s="10"/>
      <c r="R394" s="11">
        <v>0</v>
      </c>
      <c r="S394" s="10"/>
      <c r="T394" s="10"/>
      <c r="U394" s="11">
        <v>0</v>
      </c>
      <c r="V394" s="10"/>
      <c r="W394" s="10"/>
      <c r="X394" s="11">
        <v>0</v>
      </c>
      <c r="Y394" s="10"/>
      <c r="Z394" s="10"/>
      <c r="AA394" s="11"/>
      <c r="AB394" s="10"/>
      <c r="AC394" s="10"/>
      <c r="AD394" s="11">
        <v>0</v>
      </c>
      <c r="AE394" s="10"/>
      <c r="AF394" s="10"/>
      <c r="AG394" s="11">
        <v>0</v>
      </c>
      <c r="AH394" s="10"/>
      <c r="AI394" s="10"/>
      <c r="AJ394" s="11">
        <v>0</v>
      </c>
      <c r="AK394" s="10"/>
      <c r="AL394" s="10"/>
      <c r="AM394" s="11">
        <v>0</v>
      </c>
      <c r="AN394" s="10"/>
      <c r="AO394" s="10"/>
      <c r="AP394" s="11">
        <v>0</v>
      </c>
      <c r="AQ394" s="10"/>
      <c r="AR394" s="10"/>
      <c r="AS394" s="11">
        <v>0</v>
      </c>
      <c r="AT394" s="10"/>
      <c r="AU394" s="10"/>
      <c r="AV394" s="11">
        <v>0</v>
      </c>
      <c r="AW394" s="10"/>
      <c r="AX394" s="10"/>
      <c r="AY394" s="11">
        <v>0</v>
      </c>
      <c r="AZ394" s="10"/>
      <c r="BA394" s="10"/>
      <c r="BB394" s="11">
        <v>0</v>
      </c>
      <c r="BC394" s="10"/>
      <c r="BD394" s="10"/>
      <c r="BE394" s="11">
        <v>0</v>
      </c>
      <c r="BF394" s="10"/>
      <c r="BG394" s="10"/>
      <c r="BH394" s="11">
        <v>0</v>
      </c>
      <c r="BI394" s="10"/>
      <c r="BJ394" s="10"/>
      <c r="BK394" s="11">
        <v>0</v>
      </c>
      <c r="BL394" s="10"/>
      <c r="BM394" s="10"/>
      <c r="BN394" s="11">
        <v>0</v>
      </c>
      <c r="BO394" s="10"/>
      <c r="BP394" s="10"/>
      <c r="BQ394" s="11">
        <v>0</v>
      </c>
      <c r="BR394" s="10"/>
      <c r="BS394" s="10"/>
      <c r="BT394" s="11">
        <v>0</v>
      </c>
      <c r="BU394" s="10"/>
      <c r="BV394" s="10"/>
      <c r="BW394" s="11">
        <v>0</v>
      </c>
      <c r="BX394" s="10"/>
      <c r="BY394" s="10"/>
      <c r="BZ394" s="11">
        <v>0</v>
      </c>
      <c r="CA394" s="10"/>
      <c r="CB394" s="10"/>
      <c r="CC394" s="11">
        <v>0</v>
      </c>
      <c r="CD394" s="10"/>
      <c r="CE394" s="10"/>
      <c r="CF394" s="11">
        <v>0</v>
      </c>
      <c r="CG394" s="10"/>
      <c r="CH394" s="10"/>
      <c r="CI394" s="11">
        <v>0</v>
      </c>
      <c r="CJ394" s="10"/>
      <c r="CK394" s="10"/>
      <c r="CL394" s="11">
        <v>0</v>
      </c>
      <c r="CM394" s="10"/>
      <c r="CN394" s="10"/>
      <c r="CO394" s="11">
        <v>0</v>
      </c>
      <c r="CP394" s="10"/>
      <c r="CQ394" s="10"/>
      <c r="CR394" s="11">
        <v>0</v>
      </c>
      <c r="CS394" s="10"/>
      <c r="CT394" s="10"/>
      <c r="CU394" s="11">
        <v>0</v>
      </c>
      <c r="CV394" s="10"/>
      <c r="CW394" s="10"/>
      <c r="CX394" s="11">
        <v>0</v>
      </c>
      <c r="CY394" s="10"/>
      <c r="CZ394" s="10"/>
      <c r="DA394" s="11">
        <v>0</v>
      </c>
      <c r="DB394" s="10"/>
      <c r="DC394" s="10"/>
      <c r="DD394" s="13">
        <v>0</v>
      </c>
      <c r="DE394" s="14"/>
    </row>
    <row r="395" spans="1:109" x14ac:dyDescent="0.35">
      <c r="A395" s="8" t="s">
        <v>851</v>
      </c>
      <c r="B395" s="9" t="s">
        <v>48</v>
      </c>
      <c r="C395" s="9" t="s">
        <v>43</v>
      </c>
      <c r="D395" s="9" t="s">
        <v>852</v>
      </c>
      <c r="E395" s="9" t="s">
        <v>45</v>
      </c>
      <c r="F395" s="9" t="s">
        <v>46</v>
      </c>
      <c r="G395" s="10"/>
      <c r="H395" s="10"/>
      <c r="I395" s="11">
        <v>0</v>
      </c>
      <c r="J395" s="10"/>
      <c r="K395" s="10"/>
      <c r="L395" s="12">
        <v>0</v>
      </c>
      <c r="M395" s="10"/>
      <c r="N395" s="10"/>
      <c r="O395" s="11">
        <v>0</v>
      </c>
      <c r="P395" s="10"/>
      <c r="Q395" s="10"/>
      <c r="R395" s="11">
        <v>0</v>
      </c>
      <c r="S395" s="10"/>
      <c r="T395" s="10"/>
      <c r="U395" s="11">
        <v>0</v>
      </c>
      <c r="V395" s="10"/>
      <c r="W395" s="10"/>
      <c r="X395" s="11">
        <v>0</v>
      </c>
      <c r="Y395" s="10"/>
      <c r="Z395" s="10"/>
      <c r="AA395" s="11"/>
      <c r="AB395" s="10"/>
      <c r="AC395" s="10"/>
      <c r="AD395" s="11">
        <v>0</v>
      </c>
      <c r="AE395" s="10"/>
      <c r="AF395" s="10"/>
      <c r="AG395" s="11">
        <v>0</v>
      </c>
      <c r="AH395" s="10"/>
      <c r="AI395" s="10"/>
      <c r="AJ395" s="11">
        <v>0</v>
      </c>
      <c r="AK395" s="10"/>
      <c r="AL395" s="10"/>
      <c r="AM395" s="11">
        <v>0</v>
      </c>
      <c r="AN395" s="10"/>
      <c r="AO395" s="10"/>
      <c r="AP395" s="11">
        <v>0</v>
      </c>
      <c r="AQ395" s="10"/>
      <c r="AR395" s="10"/>
      <c r="AS395" s="11">
        <v>0</v>
      </c>
      <c r="AT395" s="10"/>
      <c r="AU395" s="10"/>
      <c r="AV395" s="11">
        <v>0</v>
      </c>
      <c r="AW395" s="10"/>
      <c r="AX395" s="10"/>
      <c r="AY395" s="11">
        <v>0</v>
      </c>
      <c r="AZ395" s="10"/>
      <c r="BA395" s="10"/>
      <c r="BB395" s="11">
        <v>0</v>
      </c>
      <c r="BC395" s="10"/>
      <c r="BD395" s="10"/>
      <c r="BE395" s="11">
        <v>0</v>
      </c>
      <c r="BF395" s="10"/>
      <c r="BG395" s="10"/>
      <c r="BH395" s="11">
        <v>0</v>
      </c>
      <c r="BI395" s="10"/>
      <c r="BJ395" s="10"/>
      <c r="BK395" s="11">
        <v>0</v>
      </c>
      <c r="BL395" s="10"/>
      <c r="BM395" s="10"/>
      <c r="BN395" s="11">
        <v>0</v>
      </c>
      <c r="BO395" s="10"/>
      <c r="BP395" s="10"/>
      <c r="BQ395" s="11">
        <v>0</v>
      </c>
      <c r="BR395" s="10"/>
      <c r="BS395" s="10"/>
      <c r="BT395" s="11">
        <v>0</v>
      </c>
      <c r="BU395" s="10"/>
      <c r="BV395" s="10"/>
      <c r="BW395" s="11">
        <v>0</v>
      </c>
      <c r="BX395" s="10"/>
      <c r="BY395" s="10"/>
      <c r="BZ395" s="11">
        <v>0</v>
      </c>
      <c r="CA395" s="10"/>
      <c r="CB395" s="10"/>
      <c r="CC395" s="11">
        <v>0</v>
      </c>
      <c r="CD395" s="10"/>
      <c r="CE395" s="10"/>
      <c r="CF395" s="11">
        <v>0</v>
      </c>
      <c r="CG395" s="10"/>
      <c r="CH395" s="10"/>
      <c r="CI395" s="11">
        <v>0</v>
      </c>
      <c r="CJ395" s="10"/>
      <c r="CK395" s="10"/>
      <c r="CL395" s="11">
        <v>0</v>
      </c>
      <c r="CM395" s="10"/>
      <c r="CN395" s="10"/>
      <c r="CO395" s="11">
        <v>0</v>
      </c>
      <c r="CP395" s="10"/>
      <c r="CQ395" s="10"/>
      <c r="CR395" s="11">
        <v>0</v>
      </c>
      <c r="CS395" s="10"/>
      <c r="CT395" s="10"/>
      <c r="CU395" s="11">
        <v>0</v>
      </c>
      <c r="CV395" s="10"/>
      <c r="CW395" s="10"/>
      <c r="CX395" s="11">
        <v>0</v>
      </c>
      <c r="CY395" s="10"/>
      <c r="CZ395" s="10"/>
      <c r="DA395" s="11">
        <v>0</v>
      </c>
      <c r="DB395" s="10"/>
      <c r="DC395" s="10"/>
      <c r="DD395" s="13">
        <v>0</v>
      </c>
      <c r="DE395" s="14"/>
    </row>
    <row r="396" spans="1:109" x14ac:dyDescent="0.35">
      <c r="A396" s="8" t="s">
        <v>853</v>
      </c>
      <c r="B396" s="9" t="s">
        <v>77</v>
      </c>
      <c r="C396" s="9" t="s">
        <v>43</v>
      </c>
      <c r="D396" s="9" t="s">
        <v>854</v>
      </c>
      <c r="E396" s="9" t="s">
        <v>61</v>
      </c>
      <c r="F396" s="9" t="s">
        <v>62</v>
      </c>
      <c r="G396" s="10"/>
      <c r="H396" s="10"/>
      <c r="I396" s="11">
        <v>0</v>
      </c>
      <c r="J396" s="10"/>
      <c r="K396" s="10"/>
      <c r="L396" s="12">
        <v>0</v>
      </c>
      <c r="M396" s="10"/>
      <c r="N396" s="10"/>
      <c r="O396" s="11">
        <v>0</v>
      </c>
      <c r="P396" s="10"/>
      <c r="Q396" s="10"/>
      <c r="R396" s="11">
        <v>0</v>
      </c>
      <c r="S396" s="10"/>
      <c r="T396" s="10"/>
      <c r="U396" s="11">
        <v>0</v>
      </c>
      <c r="V396" s="10"/>
      <c r="W396" s="10"/>
      <c r="X396" s="11">
        <v>0</v>
      </c>
      <c r="Y396" s="10"/>
      <c r="Z396" s="10"/>
      <c r="AA396" s="11"/>
      <c r="AB396" s="10"/>
      <c r="AC396" s="10"/>
      <c r="AD396" s="11">
        <v>0</v>
      </c>
      <c r="AE396" s="10"/>
      <c r="AF396" s="10"/>
      <c r="AG396" s="11">
        <v>0</v>
      </c>
      <c r="AH396" s="10"/>
      <c r="AI396" s="10"/>
      <c r="AJ396" s="11">
        <v>0</v>
      </c>
      <c r="AK396" s="10"/>
      <c r="AL396" s="10"/>
      <c r="AM396" s="11">
        <v>0</v>
      </c>
      <c r="AN396" s="10"/>
      <c r="AO396" s="10"/>
      <c r="AP396" s="11">
        <v>0</v>
      </c>
      <c r="AQ396" s="10"/>
      <c r="AR396" s="10"/>
      <c r="AS396" s="11">
        <v>0</v>
      </c>
      <c r="AT396" s="10"/>
      <c r="AU396" s="10"/>
      <c r="AV396" s="11">
        <v>0</v>
      </c>
      <c r="AW396" s="10"/>
      <c r="AX396" s="10"/>
      <c r="AY396" s="11">
        <v>0</v>
      </c>
      <c r="AZ396" s="10"/>
      <c r="BA396" s="10"/>
      <c r="BB396" s="11">
        <v>0</v>
      </c>
      <c r="BC396" s="10"/>
      <c r="BD396" s="10"/>
      <c r="BE396" s="11">
        <v>0</v>
      </c>
      <c r="BF396" s="10"/>
      <c r="BG396" s="10"/>
      <c r="BH396" s="11">
        <v>0</v>
      </c>
      <c r="BI396" s="10"/>
      <c r="BJ396" s="10"/>
      <c r="BK396" s="11">
        <v>0</v>
      </c>
      <c r="BL396" s="10"/>
      <c r="BM396" s="10"/>
      <c r="BN396" s="11">
        <v>0</v>
      </c>
      <c r="BO396" s="10"/>
      <c r="BP396" s="10"/>
      <c r="BQ396" s="11">
        <v>0</v>
      </c>
      <c r="BR396" s="10"/>
      <c r="BS396" s="10"/>
      <c r="BT396" s="11">
        <v>0</v>
      </c>
      <c r="BU396" s="10"/>
      <c r="BV396" s="10"/>
      <c r="BW396" s="11">
        <v>0</v>
      </c>
      <c r="BX396" s="10"/>
      <c r="BY396" s="10"/>
      <c r="BZ396" s="11">
        <v>0</v>
      </c>
      <c r="CA396" s="10"/>
      <c r="CB396" s="10"/>
      <c r="CC396" s="11">
        <v>0</v>
      </c>
      <c r="CD396" s="10"/>
      <c r="CE396" s="10"/>
      <c r="CF396" s="11">
        <v>0</v>
      </c>
      <c r="CG396" s="10"/>
      <c r="CH396" s="10"/>
      <c r="CI396" s="11">
        <v>0</v>
      </c>
      <c r="CJ396" s="10"/>
      <c r="CK396" s="10"/>
      <c r="CL396" s="11">
        <v>0</v>
      </c>
      <c r="CM396" s="10"/>
      <c r="CN396" s="10"/>
      <c r="CO396" s="11">
        <v>0</v>
      </c>
      <c r="CP396" s="10"/>
      <c r="CQ396" s="10"/>
      <c r="CR396" s="11">
        <v>0</v>
      </c>
      <c r="CS396" s="10"/>
      <c r="CT396" s="10"/>
      <c r="CU396" s="11">
        <v>0</v>
      </c>
      <c r="CV396" s="10"/>
      <c r="CW396" s="10"/>
      <c r="CX396" s="11">
        <v>0</v>
      </c>
      <c r="CY396" s="10"/>
      <c r="CZ396" s="10"/>
      <c r="DA396" s="11">
        <v>0</v>
      </c>
      <c r="DB396" s="10"/>
      <c r="DC396" s="10"/>
      <c r="DD396" s="13">
        <v>0</v>
      </c>
      <c r="DE396" s="14"/>
    </row>
    <row r="397" spans="1:109" x14ac:dyDescent="0.35">
      <c r="A397" s="8" t="s">
        <v>855</v>
      </c>
      <c r="B397" s="9" t="s">
        <v>48</v>
      </c>
      <c r="C397" s="9" t="s">
        <v>43</v>
      </c>
      <c r="D397" s="9" t="s">
        <v>856</v>
      </c>
      <c r="E397" s="9" t="s">
        <v>45</v>
      </c>
      <c r="F397" s="9" t="s">
        <v>46</v>
      </c>
      <c r="G397" s="10"/>
      <c r="H397" s="10"/>
      <c r="I397" s="11">
        <v>0</v>
      </c>
      <c r="J397" s="10"/>
      <c r="K397" s="10"/>
      <c r="L397" s="12">
        <v>0</v>
      </c>
      <c r="M397" s="10"/>
      <c r="N397" s="10"/>
      <c r="O397" s="11">
        <v>0</v>
      </c>
      <c r="P397" s="10"/>
      <c r="Q397" s="10"/>
      <c r="R397" s="11">
        <v>0</v>
      </c>
      <c r="S397" s="10"/>
      <c r="T397" s="10"/>
      <c r="U397" s="11">
        <v>0</v>
      </c>
      <c r="V397" s="10"/>
      <c r="W397" s="10"/>
      <c r="X397" s="11">
        <v>0</v>
      </c>
      <c r="Y397" s="10"/>
      <c r="Z397" s="10"/>
      <c r="AA397" s="11"/>
      <c r="AB397" s="10"/>
      <c r="AC397" s="10"/>
      <c r="AD397" s="11">
        <v>0</v>
      </c>
      <c r="AE397" s="10"/>
      <c r="AF397" s="10"/>
      <c r="AG397" s="11">
        <v>0</v>
      </c>
      <c r="AH397" s="10"/>
      <c r="AI397" s="10"/>
      <c r="AJ397" s="11">
        <v>0</v>
      </c>
      <c r="AK397" s="10"/>
      <c r="AL397" s="10"/>
      <c r="AM397" s="11">
        <v>0</v>
      </c>
      <c r="AN397" s="10"/>
      <c r="AO397" s="10"/>
      <c r="AP397" s="11">
        <v>0</v>
      </c>
      <c r="AQ397" s="10"/>
      <c r="AR397" s="10"/>
      <c r="AS397" s="11">
        <v>0</v>
      </c>
      <c r="AT397" s="10"/>
      <c r="AU397" s="10"/>
      <c r="AV397" s="11">
        <v>0</v>
      </c>
      <c r="AW397" s="10"/>
      <c r="AX397" s="10"/>
      <c r="AY397" s="11">
        <v>0</v>
      </c>
      <c r="AZ397" s="10"/>
      <c r="BA397" s="10"/>
      <c r="BB397" s="11">
        <v>0</v>
      </c>
      <c r="BC397" s="10"/>
      <c r="BD397" s="10"/>
      <c r="BE397" s="11">
        <v>0</v>
      </c>
      <c r="BF397" s="10"/>
      <c r="BG397" s="10"/>
      <c r="BH397" s="11">
        <v>0</v>
      </c>
      <c r="BI397" s="10"/>
      <c r="BJ397" s="10"/>
      <c r="BK397" s="11">
        <v>0</v>
      </c>
      <c r="BL397" s="10"/>
      <c r="BM397" s="10"/>
      <c r="BN397" s="11">
        <v>0</v>
      </c>
      <c r="BO397" s="10"/>
      <c r="BP397" s="10"/>
      <c r="BQ397" s="11">
        <v>0</v>
      </c>
      <c r="BR397" s="10"/>
      <c r="BS397" s="10"/>
      <c r="BT397" s="11">
        <v>0</v>
      </c>
      <c r="BU397" s="10"/>
      <c r="BV397" s="10"/>
      <c r="BW397" s="11">
        <v>0</v>
      </c>
      <c r="BX397" s="10"/>
      <c r="BY397" s="10"/>
      <c r="BZ397" s="11">
        <v>0</v>
      </c>
      <c r="CA397" s="10"/>
      <c r="CB397" s="10"/>
      <c r="CC397" s="11">
        <v>0</v>
      </c>
      <c r="CD397" s="10"/>
      <c r="CE397" s="10"/>
      <c r="CF397" s="11">
        <v>0</v>
      </c>
      <c r="CG397" s="10"/>
      <c r="CH397" s="10"/>
      <c r="CI397" s="11">
        <v>0</v>
      </c>
      <c r="CJ397" s="10"/>
      <c r="CK397" s="10"/>
      <c r="CL397" s="11">
        <v>0</v>
      </c>
      <c r="CM397" s="10"/>
      <c r="CN397" s="10"/>
      <c r="CO397" s="11">
        <v>0</v>
      </c>
      <c r="CP397" s="10"/>
      <c r="CQ397" s="10"/>
      <c r="CR397" s="11">
        <v>0</v>
      </c>
      <c r="CS397" s="10"/>
      <c r="CT397" s="10"/>
      <c r="CU397" s="11">
        <v>0</v>
      </c>
      <c r="CV397" s="10"/>
      <c r="CW397" s="10"/>
      <c r="CX397" s="11">
        <v>0</v>
      </c>
      <c r="CY397" s="10"/>
      <c r="CZ397" s="10"/>
      <c r="DA397" s="11">
        <v>0</v>
      </c>
      <c r="DB397" s="10"/>
      <c r="DC397" s="10"/>
      <c r="DD397" s="13">
        <v>0</v>
      </c>
      <c r="DE397" s="14"/>
    </row>
    <row r="398" spans="1:109" x14ac:dyDescent="0.35">
      <c r="A398" s="8" t="s">
        <v>857</v>
      </c>
      <c r="B398" s="9" t="s">
        <v>858</v>
      </c>
      <c r="C398" s="9" t="s">
        <v>43</v>
      </c>
      <c r="D398" s="9" t="s">
        <v>859</v>
      </c>
      <c r="E398" s="9" t="s">
        <v>61</v>
      </c>
      <c r="F398" s="9" t="s">
        <v>62</v>
      </c>
      <c r="G398" s="10"/>
      <c r="H398" s="10"/>
      <c r="I398" s="11">
        <v>0</v>
      </c>
      <c r="J398" s="10"/>
      <c r="K398" s="10"/>
      <c r="L398" s="12">
        <v>0</v>
      </c>
      <c r="M398" s="10"/>
      <c r="N398" s="10"/>
      <c r="O398" s="11">
        <v>0</v>
      </c>
      <c r="P398" s="10"/>
      <c r="Q398" s="10"/>
      <c r="R398" s="11">
        <v>0</v>
      </c>
      <c r="S398" s="10"/>
      <c r="T398" s="10"/>
      <c r="U398" s="11">
        <v>0</v>
      </c>
      <c r="V398" s="10"/>
      <c r="W398" s="10"/>
      <c r="X398" s="11">
        <v>0</v>
      </c>
      <c r="Y398" s="10"/>
      <c r="Z398" s="10"/>
      <c r="AA398" s="11"/>
      <c r="AB398" s="10"/>
      <c r="AC398" s="10"/>
      <c r="AD398" s="11">
        <v>0</v>
      </c>
      <c r="AE398" s="10"/>
      <c r="AF398" s="10"/>
      <c r="AG398" s="11">
        <v>0</v>
      </c>
      <c r="AH398" s="10"/>
      <c r="AI398" s="10"/>
      <c r="AJ398" s="11">
        <v>0</v>
      </c>
      <c r="AK398" s="10"/>
      <c r="AL398" s="10"/>
      <c r="AM398" s="11">
        <v>0</v>
      </c>
      <c r="AN398" s="10"/>
      <c r="AO398" s="10"/>
      <c r="AP398" s="11">
        <v>0</v>
      </c>
      <c r="AQ398" s="10"/>
      <c r="AR398" s="10"/>
      <c r="AS398" s="11">
        <v>0</v>
      </c>
      <c r="AT398" s="10"/>
      <c r="AU398" s="10"/>
      <c r="AV398" s="11">
        <v>0</v>
      </c>
      <c r="AW398" s="10"/>
      <c r="AX398" s="10"/>
      <c r="AY398" s="11">
        <v>0</v>
      </c>
      <c r="AZ398" s="10"/>
      <c r="BA398" s="10"/>
      <c r="BB398" s="11">
        <v>0</v>
      </c>
      <c r="BC398" s="10"/>
      <c r="BD398" s="10"/>
      <c r="BE398" s="11">
        <v>0</v>
      </c>
      <c r="BF398" s="10"/>
      <c r="BG398" s="10"/>
      <c r="BH398" s="11">
        <v>0</v>
      </c>
      <c r="BI398" s="10"/>
      <c r="BJ398" s="10"/>
      <c r="BK398" s="11">
        <v>0</v>
      </c>
      <c r="BL398" s="10"/>
      <c r="BM398" s="10"/>
      <c r="BN398" s="11">
        <v>0</v>
      </c>
      <c r="BO398" s="10"/>
      <c r="BP398" s="10"/>
      <c r="BQ398" s="11">
        <v>0</v>
      </c>
      <c r="BR398" s="10"/>
      <c r="BS398" s="10"/>
      <c r="BT398" s="11">
        <v>0</v>
      </c>
      <c r="BU398" s="10"/>
      <c r="BV398" s="10"/>
      <c r="BW398" s="11">
        <v>0</v>
      </c>
      <c r="BX398" s="10"/>
      <c r="BY398" s="10"/>
      <c r="BZ398" s="11">
        <v>0</v>
      </c>
      <c r="CA398" s="10"/>
      <c r="CB398" s="10"/>
      <c r="CC398" s="11">
        <v>0</v>
      </c>
      <c r="CD398" s="10"/>
      <c r="CE398" s="10"/>
      <c r="CF398" s="11">
        <v>0</v>
      </c>
      <c r="CG398" s="10"/>
      <c r="CH398" s="10"/>
      <c r="CI398" s="11">
        <v>0</v>
      </c>
      <c r="CJ398" s="10"/>
      <c r="CK398" s="10"/>
      <c r="CL398" s="11">
        <v>0</v>
      </c>
      <c r="CM398" s="10"/>
      <c r="CN398" s="10"/>
      <c r="CO398" s="11">
        <v>0</v>
      </c>
      <c r="CP398" s="10">
        <v>100000</v>
      </c>
      <c r="CQ398" s="10"/>
      <c r="CR398" s="11">
        <f t="shared" ref="CR398" si="571">CQ398/CP398</f>
        <v>0</v>
      </c>
      <c r="CS398" s="10"/>
      <c r="CT398" s="10"/>
      <c r="CU398" s="11">
        <v>0</v>
      </c>
      <c r="CV398" s="10"/>
      <c r="CW398" s="10"/>
      <c r="CX398" s="11">
        <v>0</v>
      </c>
      <c r="CY398" s="10"/>
      <c r="CZ398" s="10"/>
      <c r="DA398" s="11">
        <v>0</v>
      </c>
      <c r="DB398" s="10">
        <v>100000</v>
      </c>
      <c r="DC398" s="10"/>
      <c r="DD398" s="15">
        <f t="shared" ref="DD398" si="572">DC398/DB398</f>
        <v>0</v>
      </c>
      <c r="DE398" s="16"/>
    </row>
    <row r="399" spans="1:109" x14ac:dyDescent="0.35">
      <c r="A399" s="8" t="s">
        <v>861</v>
      </c>
      <c r="B399" s="9" t="s">
        <v>77</v>
      </c>
      <c r="C399" s="9" t="s">
        <v>43</v>
      </c>
      <c r="D399" s="9" t="s">
        <v>862</v>
      </c>
      <c r="E399" s="9" t="s">
        <v>61</v>
      </c>
      <c r="F399" s="9" t="s">
        <v>62</v>
      </c>
      <c r="G399" s="10"/>
      <c r="H399" s="10"/>
      <c r="I399" s="11">
        <v>0</v>
      </c>
      <c r="J399" s="10"/>
      <c r="K399" s="10"/>
      <c r="L399" s="12">
        <v>0</v>
      </c>
      <c r="M399" s="10"/>
      <c r="N399" s="10"/>
      <c r="O399" s="11">
        <v>0</v>
      </c>
      <c r="P399" s="10"/>
      <c r="Q399" s="10"/>
      <c r="R399" s="11">
        <v>0</v>
      </c>
      <c r="S399" s="10"/>
      <c r="T399" s="10"/>
      <c r="U399" s="11">
        <v>0</v>
      </c>
      <c r="V399" s="10"/>
      <c r="W399" s="10"/>
      <c r="X399" s="11">
        <v>0</v>
      </c>
      <c r="Y399" s="10"/>
      <c r="Z399" s="10"/>
      <c r="AA399" s="11"/>
      <c r="AB399" s="10"/>
      <c r="AC399" s="10"/>
      <c r="AD399" s="11">
        <v>0</v>
      </c>
      <c r="AE399" s="10"/>
      <c r="AF399" s="10"/>
      <c r="AG399" s="11">
        <v>0</v>
      </c>
      <c r="AH399" s="10"/>
      <c r="AI399" s="10"/>
      <c r="AJ399" s="11">
        <v>0</v>
      </c>
      <c r="AK399" s="10"/>
      <c r="AL399" s="10"/>
      <c r="AM399" s="11">
        <v>0</v>
      </c>
      <c r="AN399" s="10"/>
      <c r="AO399" s="10"/>
      <c r="AP399" s="11">
        <v>0</v>
      </c>
      <c r="AQ399" s="10"/>
      <c r="AR399" s="10"/>
      <c r="AS399" s="11">
        <v>0</v>
      </c>
      <c r="AT399" s="10"/>
      <c r="AU399" s="10"/>
      <c r="AV399" s="11">
        <v>0</v>
      </c>
      <c r="AW399" s="10"/>
      <c r="AX399" s="10"/>
      <c r="AY399" s="11">
        <v>0</v>
      </c>
      <c r="AZ399" s="10"/>
      <c r="BA399" s="10"/>
      <c r="BB399" s="11">
        <v>0</v>
      </c>
      <c r="BC399" s="10"/>
      <c r="BD399" s="10"/>
      <c r="BE399" s="11">
        <v>0</v>
      </c>
      <c r="BF399" s="10"/>
      <c r="BG399" s="10"/>
      <c r="BH399" s="11">
        <v>0</v>
      </c>
      <c r="BI399" s="10"/>
      <c r="BJ399" s="10"/>
      <c r="BK399" s="11">
        <v>0</v>
      </c>
      <c r="BL399" s="10"/>
      <c r="BM399" s="10"/>
      <c r="BN399" s="11">
        <v>0</v>
      </c>
      <c r="BO399" s="10"/>
      <c r="BP399" s="10"/>
      <c r="BQ399" s="11">
        <v>0</v>
      </c>
      <c r="BR399" s="10"/>
      <c r="BS399" s="10"/>
      <c r="BT399" s="11">
        <v>0</v>
      </c>
      <c r="BU399" s="10"/>
      <c r="BV399" s="10"/>
      <c r="BW399" s="11">
        <v>0</v>
      </c>
      <c r="BX399" s="10"/>
      <c r="BY399" s="10"/>
      <c r="BZ399" s="11">
        <v>0</v>
      </c>
      <c r="CA399" s="10"/>
      <c r="CB399" s="10"/>
      <c r="CC399" s="11">
        <v>0</v>
      </c>
      <c r="CD399" s="10"/>
      <c r="CE399" s="10"/>
      <c r="CF399" s="11">
        <v>0</v>
      </c>
      <c r="CG399" s="10"/>
      <c r="CH399" s="10"/>
      <c r="CI399" s="11">
        <v>0</v>
      </c>
      <c r="CJ399" s="10"/>
      <c r="CK399" s="10"/>
      <c r="CL399" s="11">
        <v>0</v>
      </c>
      <c r="CM399" s="10"/>
      <c r="CN399" s="10"/>
      <c r="CO399" s="11">
        <v>0</v>
      </c>
      <c r="CP399" s="10"/>
      <c r="CQ399" s="10"/>
      <c r="CR399" s="11">
        <v>0</v>
      </c>
      <c r="CS399" s="10"/>
      <c r="CT399" s="10"/>
      <c r="CU399" s="11">
        <v>0</v>
      </c>
      <c r="CV399" s="10"/>
      <c r="CW399" s="10"/>
      <c r="CX399" s="11">
        <v>0</v>
      </c>
      <c r="CY399" s="10"/>
      <c r="CZ399" s="10"/>
      <c r="DA399" s="11">
        <v>0</v>
      </c>
      <c r="DB399" s="10"/>
      <c r="DC399" s="10"/>
      <c r="DD399" s="13">
        <v>0</v>
      </c>
      <c r="DE399" s="14"/>
    </row>
    <row r="400" spans="1:109" x14ac:dyDescent="0.35">
      <c r="A400" s="8" t="s">
        <v>863</v>
      </c>
      <c r="B400" s="9" t="s">
        <v>77</v>
      </c>
      <c r="C400" s="9" t="s">
        <v>43</v>
      </c>
      <c r="D400" s="9" t="s">
        <v>864</v>
      </c>
      <c r="E400" s="9" t="s">
        <v>61</v>
      </c>
      <c r="F400" s="9" t="s">
        <v>62</v>
      </c>
      <c r="G400" s="10"/>
      <c r="H400" s="10"/>
      <c r="I400" s="11">
        <v>0</v>
      </c>
      <c r="J400" s="10"/>
      <c r="K400" s="10"/>
      <c r="L400" s="12">
        <v>0</v>
      </c>
      <c r="M400" s="10"/>
      <c r="N400" s="10"/>
      <c r="O400" s="11">
        <v>0</v>
      </c>
      <c r="P400" s="10"/>
      <c r="Q400" s="10"/>
      <c r="R400" s="11">
        <v>0</v>
      </c>
      <c r="S400" s="10"/>
      <c r="T400" s="10"/>
      <c r="U400" s="11">
        <v>0</v>
      </c>
      <c r="V400" s="10"/>
      <c r="W400" s="10"/>
      <c r="X400" s="11">
        <v>0</v>
      </c>
      <c r="Y400" s="10"/>
      <c r="Z400" s="10"/>
      <c r="AA400" s="11"/>
      <c r="AB400" s="10"/>
      <c r="AC400" s="10"/>
      <c r="AD400" s="11">
        <v>0</v>
      </c>
      <c r="AE400" s="10"/>
      <c r="AF400" s="10"/>
      <c r="AG400" s="11">
        <v>0</v>
      </c>
      <c r="AH400" s="10"/>
      <c r="AI400" s="10"/>
      <c r="AJ400" s="11">
        <v>0</v>
      </c>
      <c r="AK400" s="10"/>
      <c r="AL400" s="10"/>
      <c r="AM400" s="11">
        <v>0</v>
      </c>
      <c r="AN400" s="10"/>
      <c r="AO400" s="10"/>
      <c r="AP400" s="11">
        <v>0</v>
      </c>
      <c r="AQ400" s="10"/>
      <c r="AR400" s="10"/>
      <c r="AS400" s="11">
        <v>0</v>
      </c>
      <c r="AT400" s="10"/>
      <c r="AU400" s="10"/>
      <c r="AV400" s="11">
        <v>0</v>
      </c>
      <c r="AW400" s="10"/>
      <c r="AX400" s="10"/>
      <c r="AY400" s="11">
        <v>0</v>
      </c>
      <c r="AZ400" s="10"/>
      <c r="BA400" s="10"/>
      <c r="BB400" s="11">
        <v>0</v>
      </c>
      <c r="BC400" s="10"/>
      <c r="BD400" s="10"/>
      <c r="BE400" s="11">
        <v>0</v>
      </c>
      <c r="BF400" s="10"/>
      <c r="BG400" s="10"/>
      <c r="BH400" s="11">
        <v>0</v>
      </c>
      <c r="BI400" s="10"/>
      <c r="BJ400" s="10"/>
      <c r="BK400" s="11">
        <v>0</v>
      </c>
      <c r="BL400" s="10"/>
      <c r="BM400" s="10"/>
      <c r="BN400" s="11">
        <v>0</v>
      </c>
      <c r="BO400" s="10"/>
      <c r="BP400" s="10"/>
      <c r="BQ400" s="11">
        <v>0</v>
      </c>
      <c r="BR400" s="10"/>
      <c r="BS400" s="10"/>
      <c r="BT400" s="11">
        <v>0</v>
      </c>
      <c r="BU400" s="10"/>
      <c r="BV400" s="10"/>
      <c r="BW400" s="11">
        <v>0</v>
      </c>
      <c r="BX400" s="10"/>
      <c r="BY400" s="10"/>
      <c r="BZ400" s="11">
        <v>0</v>
      </c>
      <c r="CA400" s="10"/>
      <c r="CB400" s="10"/>
      <c r="CC400" s="11">
        <v>0</v>
      </c>
      <c r="CD400" s="10"/>
      <c r="CE400" s="10"/>
      <c r="CF400" s="11">
        <v>0</v>
      </c>
      <c r="CG400" s="10"/>
      <c r="CH400" s="10"/>
      <c r="CI400" s="11">
        <v>0</v>
      </c>
      <c r="CJ400" s="10"/>
      <c r="CK400" s="10"/>
      <c r="CL400" s="11">
        <v>0</v>
      </c>
      <c r="CM400" s="10"/>
      <c r="CN400" s="10"/>
      <c r="CO400" s="11">
        <v>0</v>
      </c>
      <c r="CP400" s="10"/>
      <c r="CQ400" s="10"/>
      <c r="CR400" s="11">
        <v>0</v>
      </c>
      <c r="CS400" s="10"/>
      <c r="CT400" s="10"/>
      <c r="CU400" s="11">
        <v>0</v>
      </c>
      <c r="CV400" s="10"/>
      <c r="CW400" s="10"/>
      <c r="CX400" s="11">
        <v>0</v>
      </c>
      <c r="CY400" s="10"/>
      <c r="CZ400" s="10"/>
      <c r="DA400" s="11">
        <v>0</v>
      </c>
      <c r="DB400" s="10"/>
      <c r="DC400" s="10"/>
      <c r="DD400" s="13">
        <v>0</v>
      </c>
      <c r="DE400" s="14"/>
    </row>
    <row r="401" spans="1:109" x14ac:dyDescent="0.35">
      <c r="A401" s="8" t="s">
        <v>865</v>
      </c>
      <c r="B401" s="9" t="s">
        <v>172</v>
      </c>
      <c r="C401" s="9" t="s">
        <v>52</v>
      </c>
      <c r="D401" s="9" t="s">
        <v>866</v>
      </c>
      <c r="E401" s="9" t="s">
        <v>54</v>
      </c>
      <c r="F401" s="9" t="s">
        <v>55</v>
      </c>
      <c r="G401" s="10"/>
      <c r="H401" s="10"/>
      <c r="I401" s="11">
        <v>0</v>
      </c>
      <c r="J401" s="10"/>
      <c r="K401" s="10"/>
      <c r="L401" s="12">
        <v>0</v>
      </c>
      <c r="M401" s="10"/>
      <c r="N401" s="10"/>
      <c r="O401" s="11">
        <v>0</v>
      </c>
      <c r="P401" s="10"/>
      <c r="Q401" s="10"/>
      <c r="R401" s="11">
        <v>0</v>
      </c>
      <c r="S401" s="10"/>
      <c r="T401" s="10"/>
      <c r="U401" s="11">
        <v>0</v>
      </c>
      <c r="V401" s="10"/>
      <c r="W401" s="10"/>
      <c r="X401" s="11">
        <v>0</v>
      </c>
      <c r="Y401" s="10"/>
      <c r="Z401" s="10"/>
      <c r="AA401" s="11"/>
      <c r="AB401" s="10"/>
      <c r="AC401" s="10"/>
      <c r="AD401" s="11">
        <v>0</v>
      </c>
      <c r="AE401" s="10"/>
      <c r="AF401" s="10"/>
      <c r="AG401" s="11">
        <v>0</v>
      </c>
      <c r="AH401" s="10"/>
      <c r="AI401" s="10"/>
      <c r="AJ401" s="11">
        <v>0</v>
      </c>
      <c r="AK401" s="10"/>
      <c r="AL401" s="10"/>
      <c r="AM401" s="11">
        <v>0</v>
      </c>
      <c r="AN401" s="10"/>
      <c r="AO401" s="10"/>
      <c r="AP401" s="11">
        <v>0</v>
      </c>
      <c r="AQ401" s="10"/>
      <c r="AR401" s="10"/>
      <c r="AS401" s="11">
        <v>0</v>
      </c>
      <c r="AT401" s="10"/>
      <c r="AU401" s="10"/>
      <c r="AV401" s="11">
        <v>0</v>
      </c>
      <c r="AW401" s="10"/>
      <c r="AX401" s="10"/>
      <c r="AY401" s="11">
        <v>0</v>
      </c>
      <c r="AZ401" s="10"/>
      <c r="BA401" s="10"/>
      <c r="BB401" s="11">
        <v>0</v>
      </c>
      <c r="BC401" s="10"/>
      <c r="BD401" s="10"/>
      <c r="BE401" s="11">
        <v>0</v>
      </c>
      <c r="BF401" s="10"/>
      <c r="BG401" s="10"/>
      <c r="BH401" s="11">
        <v>0</v>
      </c>
      <c r="BI401" s="10"/>
      <c r="BJ401" s="10"/>
      <c r="BK401" s="11">
        <v>0</v>
      </c>
      <c r="BL401" s="10"/>
      <c r="BM401" s="10"/>
      <c r="BN401" s="11">
        <v>0</v>
      </c>
      <c r="BO401" s="10"/>
      <c r="BP401" s="10"/>
      <c r="BQ401" s="11">
        <v>0</v>
      </c>
      <c r="BR401" s="10"/>
      <c r="BS401" s="10"/>
      <c r="BT401" s="11">
        <v>0</v>
      </c>
      <c r="BU401" s="10"/>
      <c r="BV401" s="10"/>
      <c r="BW401" s="11">
        <v>0</v>
      </c>
      <c r="BX401" s="10"/>
      <c r="BY401" s="10"/>
      <c r="BZ401" s="11">
        <v>0</v>
      </c>
      <c r="CA401" s="10"/>
      <c r="CB401" s="10"/>
      <c r="CC401" s="11">
        <v>0</v>
      </c>
      <c r="CD401" s="10"/>
      <c r="CE401" s="10"/>
      <c r="CF401" s="11">
        <v>0</v>
      </c>
      <c r="CG401" s="10"/>
      <c r="CH401" s="10"/>
      <c r="CI401" s="11">
        <v>0</v>
      </c>
      <c r="CJ401" s="10"/>
      <c r="CK401" s="10"/>
      <c r="CL401" s="11">
        <v>0</v>
      </c>
      <c r="CM401" s="10"/>
      <c r="CN401" s="10"/>
      <c r="CO401" s="11">
        <v>0</v>
      </c>
      <c r="CP401" s="10"/>
      <c r="CQ401" s="10"/>
      <c r="CR401" s="11">
        <v>0</v>
      </c>
      <c r="CS401" s="10"/>
      <c r="CT401" s="10"/>
      <c r="CU401" s="11">
        <v>0</v>
      </c>
      <c r="CV401" s="10"/>
      <c r="CW401" s="10"/>
      <c r="CX401" s="11">
        <v>0</v>
      </c>
      <c r="CY401" s="10"/>
      <c r="CZ401" s="10"/>
      <c r="DA401" s="11">
        <v>0</v>
      </c>
      <c r="DB401" s="10"/>
      <c r="DC401" s="10"/>
      <c r="DD401" s="13">
        <v>0</v>
      </c>
      <c r="DE401" s="14"/>
    </row>
    <row r="402" spans="1:109" x14ac:dyDescent="0.35">
      <c r="A402" s="8" t="s">
        <v>867</v>
      </c>
      <c r="B402" s="9" t="s">
        <v>74</v>
      </c>
      <c r="C402" s="9" t="s">
        <v>52</v>
      </c>
      <c r="D402" s="9" t="s">
        <v>868</v>
      </c>
      <c r="E402" s="9" t="s">
        <v>54</v>
      </c>
      <c r="F402" s="9" t="s">
        <v>55</v>
      </c>
      <c r="G402" s="10"/>
      <c r="H402" s="10"/>
      <c r="I402" s="11">
        <v>0</v>
      </c>
      <c r="J402" s="10"/>
      <c r="K402" s="10"/>
      <c r="L402" s="12">
        <v>0</v>
      </c>
      <c r="M402" s="10"/>
      <c r="N402" s="10"/>
      <c r="O402" s="11">
        <v>0</v>
      </c>
      <c r="P402" s="10"/>
      <c r="Q402" s="10"/>
      <c r="R402" s="11">
        <v>0</v>
      </c>
      <c r="S402" s="10"/>
      <c r="T402" s="10"/>
      <c r="U402" s="11">
        <v>0</v>
      </c>
      <c r="V402" s="10"/>
      <c r="W402" s="10"/>
      <c r="X402" s="11">
        <v>0</v>
      </c>
      <c r="Y402" s="10"/>
      <c r="Z402" s="10"/>
      <c r="AA402" s="11"/>
      <c r="AB402" s="10"/>
      <c r="AC402" s="10"/>
      <c r="AD402" s="11">
        <v>0</v>
      </c>
      <c r="AE402" s="10"/>
      <c r="AF402" s="10"/>
      <c r="AG402" s="11">
        <v>0</v>
      </c>
      <c r="AH402" s="10"/>
      <c r="AI402" s="10"/>
      <c r="AJ402" s="11">
        <v>0</v>
      </c>
      <c r="AK402" s="10"/>
      <c r="AL402" s="10"/>
      <c r="AM402" s="11">
        <v>0</v>
      </c>
      <c r="AN402" s="10"/>
      <c r="AO402" s="10"/>
      <c r="AP402" s="11">
        <v>0</v>
      </c>
      <c r="AQ402" s="10"/>
      <c r="AR402" s="10"/>
      <c r="AS402" s="11">
        <v>0</v>
      </c>
      <c r="AT402" s="10"/>
      <c r="AU402" s="10"/>
      <c r="AV402" s="11">
        <v>0</v>
      </c>
      <c r="AW402" s="10"/>
      <c r="AX402" s="10"/>
      <c r="AY402" s="11">
        <v>0</v>
      </c>
      <c r="AZ402" s="10"/>
      <c r="BA402" s="10"/>
      <c r="BB402" s="11">
        <v>0</v>
      </c>
      <c r="BC402" s="10"/>
      <c r="BD402" s="10"/>
      <c r="BE402" s="11">
        <v>0</v>
      </c>
      <c r="BF402" s="10"/>
      <c r="BG402" s="10"/>
      <c r="BH402" s="11">
        <v>0</v>
      </c>
      <c r="BI402" s="10"/>
      <c r="BJ402" s="10"/>
      <c r="BK402" s="11">
        <v>0</v>
      </c>
      <c r="BL402" s="10"/>
      <c r="BM402" s="10"/>
      <c r="BN402" s="11">
        <v>0</v>
      </c>
      <c r="BO402" s="10"/>
      <c r="BP402" s="10"/>
      <c r="BQ402" s="11">
        <v>0</v>
      </c>
      <c r="BR402" s="10"/>
      <c r="BS402" s="10"/>
      <c r="BT402" s="11">
        <v>0</v>
      </c>
      <c r="BU402" s="10"/>
      <c r="BV402" s="10"/>
      <c r="BW402" s="11">
        <v>0</v>
      </c>
      <c r="BX402" s="10"/>
      <c r="BY402" s="10"/>
      <c r="BZ402" s="11">
        <v>0</v>
      </c>
      <c r="CA402" s="10"/>
      <c r="CB402" s="10"/>
      <c r="CC402" s="11">
        <v>0</v>
      </c>
      <c r="CD402" s="10"/>
      <c r="CE402" s="10"/>
      <c r="CF402" s="11">
        <v>0</v>
      </c>
      <c r="CG402" s="10"/>
      <c r="CH402" s="10"/>
      <c r="CI402" s="11">
        <v>0</v>
      </c>
      <c r="CJ402" s="10"/>
      <c r="CK402" s="10"/>
      <c r="CL402" s="11">
        <v>0</v>
      </c>
      <c r="CM402" s="10"/>
      <c r="CN402" s="10"/>
      <c r="CO402" s="11">
        <v>0</v>
      </c>
      <c r="CP402" s="10"/>
      <c r="CQ402" s="10"/>
      <c r="CR402" s="11">
        <v>0</v>
      </c>
      <c r="CS402" s="10"/>
      <c r="CT402" s="10"/>
      <c r="CU402" s="11">
        <v>0</v>
      </c>
      <c r="CV402" s="10"/>
      <c r="CW402" s="10"/>
      <c r="CX402" s="11">
        <v>0</v>
      </c>
      <c r="CY402" s="10"/>
      <c r="CZ402" s="10"/>
      <c r="DA402" s="11">
        <v>0</v>
      </c>
      <c r="DB402" s="10"/>
      <c r="DC402" s="10"/>
      <c r="DD402" s="13">
        <v>0</v>
      </c>
      <c r="DE402" s="14"/>
    </row>
    <row r="403" spans="1:109" x14ac:dyDescent="0.35">
      <c r="A403" s="8" t="s">
        <v>869</v>
      </c>
      <c r="B403" s="9" t="s">
        <v>77</v>
      </c>
      <c r="C403" s="9" t="s">
        <v>43</v>
      </c>
      <c r="D403" s="9" t="s">
        <v>870</v>
      </c>
      <c r="E403" s="9" t="s">
        <v>61</v>
      </c>
      <c r="F403" s="9" t="s">
        <v>62</v>
      </c>
      <c r="G403" s="10"/>
      <c r="H403" s="10"/>
      <c r="I403" s="11">
        <v>0</v>
      </c>
      <c r="J403" s="10"/>
      <c r="K403" s="10"/>
      <c r="L403" s="12">
        <v>0</v>
      </c>
      <c r="M403" s="10"/>
      <c r="N403" s="10"/>
      <c r="O403" s="11">
        <v>0</v>
      </c>
      <c r="P403" s="10"/>
      <c r="Q403" s="10"/>
      <c r="R403" s="11">
        <v>0</v>
      </c>
      <c r="S403" s="10"/>
      <c r="T403" s="10"/>
      <c r="U403" s="11">
        <v>0</v>
      </c>
      <c r="V403" s="10"/>
      <c r="W403" s="10"/>
      <c r="X403" s="11">
        <v>0</v>
      </c>
      <c r="Y403" s="10"/>
      <c r="Z403" s="10"/>
      <c r="AA403" s="11"/>
      <c r="AB403" s="10"/>
      <c r="AC403" s="10"/>
      <c r="AD403" s="11">
        <v>0</v>
      </c>
      <c r="AE403" s="10"/>
      <c r="AF403" s="10"/>
      <c r="AG403" s="11">
        <v>0</v>
      </c>
      <c r="AH403" s="10"/>
      <c r="AI403" s="10"/>
      <c r="AJ403" s="11">
        <v>0</v>
      </c>
      <c r="AK403" s="10"/>
      <c r="AL403" s="10"/>
      <c r="AM403" s="11">
        <v>0</v>
      </c>
      <c r="AN403" s="10"/>
      <c r="AO403" s="10"/>
      <c r="AP403" s="11">
        <v>0</v>
      </c>
      <c r="AQ403" s="10"/>
      <c r="AR403" s="10"/>
      <c r="AS403" s="11">
        <v>0</v>
      </c>
      <c r="AT403" s="10"/>
      <c r="AU403" s="10"/>
      <c r="AV403" s="11">
        <v>0</v>
      </c>
      <c r="AW403" s="10"/>
      <c r="AX403" s="10"/>
      <c r="AY403" s="11">
        <v>0</v>
      </c>
      <c r="AZ403" s="10"/>
      <c r="BA403" s="10"/>
      <c r="BB403" s="11">
        <v>0</v>
      </c>
      <c r="BC403" s="10"/>
      <c r="BD403" s="10"/>
      <c r="BE403" s="11">
        <v>0</v>
      </c>
      <c r="BF403" s="10"/>
      <c r="BG403" s="10"/>
      <c r="BH403" s="11">
        <v>0</v>
      </c>
      <c r="BI403" s="10"/>
      <c r="BJ403" s="10"/>
      <c r="BK403" s="11">
        <v>0</v>
      </c>
      <c r="BL403" s="10"/>
      <c r="BM403" s="10"/>
      <c r="BN403" s="11">
        <v>0</v>
      </c>
      <c r="BO403" s="10"/>
      <c r="BP403" s="10"/>
      <c r="BQ403" s="11">
        <v>0</v>
      </c>
      <c r="BR403" s="10"/>
      <c r="BS403" s="10"/>
      <c r="BT403" s="11">
        <v>0</v>
      </c>
      <c r="BU403" s="10"/>
      <c r="BV403" s="10"/>
      <c r="BW403" s="11">
        <v>0</v>
      </c>
      <c r="BX403" s="10"/>
      <c r="BY403" s="10"/>
      <c r="BZ403" s="11">
        <v>0</v>
      </c>
      <c r="CA403" s="10"/>
      <c r="CB403" s="10"/>
      <c r="CC403" s="11">
        <v>0</v>
      </c>
      <c r="CD403" s="10"/>
      <c r="CE403" s="10"/>
      <c r="CF403" s="11">
        <v>0</v>
      </c>
      <c r="CG403" s="10"/>
      <c r="CH403" s="10"/>
      <c r="CI403" s="11">
        <v>0</v>
      </c>
      <c r="CJ403" s="10"/>
      <c r="CK403" s="10"/>
      <c r="CL403" s="11">
        <v>0</v>
      </c>
      <c r="CM403" s="10"/>
      <c r="CN403" s="10"/>
      <c r="CO403" s="11">
        <v>0</v>
      </c>
      <c r="CP403" s="10">
        <v>150000</v>
      </c>
      <c r="CQ403" s="10"/>
      <c r="CR403" s="11">
        <f t="shared" ref="CR403" si="573">CQ403/CP403</f>
        <v>0</v>
      </c>
      <c r="CS403" s="10"/>
      <c r="CT403" s="10"/>
      <c r="CU403" s="11">
        <v>0</v>
      </c>
      <c r="CV403" s="10"/>
      <c r="CW403" s="10"/>
      <c r="CX403" s="11">
        <v>0</v>
      </c>
      <c r="CY403" s="10"/>
      <c r="CZ403" s="10"/>
      <c r="DA403" s="11">
        <v>0</v>
      </c>
      <c r="DB403" s="10">
        <v>150000</v>
      </c>
      <c r="DC403" s="10"/>
      <c r="DD403" s="15">
        <f t="shared" ref="DD403" si="574">DC403/DB403</f>
        <v>0</v>
      </c>
      <c r="DE403" s="16"/>
    </row>
    <row r="404" spans="1:109" x14ac:dyDescent="0.35">
      <c r="A404" s="8" t="s">
        <v>871</v>
      </c>
      <c r="B404" s="9" t="s">
        <v>140</v>
      </c>
      <c r="C404" s="9" t="s">
        <v>43</v>
      </c>
      <c r="D404" s="9" t="s">
        <v>872</v>
      </c>
      <c r="E404" s="9" t="s">
        <v>45</v>
      </c>
      <c r="F404" s="9" t="s">
        <v>46</v>
      </c>
      <c r="G404" s="10"/>
      <c r="H404" s="10"/>
      <c r="I404" s="11">
        <v>0</v>
      </c>
      <c r="J404" s="10"/>
      <c r="K404" s="10"/>
      <c r="L404" s="12">
        <v>0</v>
      </c>
      <c r="M404" s="10"/>
      <c r="N404" s="10"/>
      <c r="O404" s="11">
        <v>0</v>
      </c>
      <c r="P404" s="10"/>
      <c r="Q404" s="10"/>
      <c r="R404" s="11">
        <v>0</v>
      </c>
      <c r="S404" s="10"/>
      <c r="T404" s="10"/>
      <c r="U404" s="11">
        <v>0</v>
      </c>
      <c r="V404" s="10"/>
      <c r="W404" s="10"/>
      <c r="X404" s="11">
        <v>0</v>
      </c>
      <c r="Y404" s="10"/>
      <c r="Z404" s="10"/>
      <c r="AA404" s="11"/>
      <c r="AB404" s="10"/>
      <c r="AC404" s="10"/>
      <c r="AD404" s="11">
        <v>0</v>
      </c>
      <c r="AE404" s="10"/>
      <c r="AF404" s="10"/>
      <c r="AG404" s="11">
        <v>0</v>
      </c>
      <c r="AH404" s="10"/>
      <c r="AI404" s="10"/>
      <c r="AJ404" s="11">
        <v>0</v>
      </c>
      <c r="AK404" s="10"/>
      <c r="AL404" s="10"/>
      <c r="AM404" s="11">
        <v>0</v>
      </c>
      <c r="AN404" s="10"/>
      <c r="AO404" s="10"/>
      <c r="AP404" s="11">
        <v>0</v>
      </c>
      <c r="AQ404" s="10"/>
      <c r="AR404" s="10"/>
      <c r="AS404" s="11">
        <v>0</v>
      </c>
      <c r="AT404" s="10"/>
      <c r="AU404" s="10"/>
      <c r="AV404" s="11">
        <v>0</v>
      </c>
      <c r="AW404" s="10"/>
      <c r="AX404" s="10"/>
      <c r="AY404" s="11">
        <v>0</v>
      </c>
      <c r="AZ404" s="10"/>
      <c r="BA404" s="10"/>
      <c r="BB404" s="11">
        <v>0</v>
      </c>
      <c r="BC404" s="10"/>
      <c r="BD404" s="10"/>
      <c r="BE404" s="11">
        <v>0</v>
      </c>
      <c r="BF404" s="10"/>
      <c r="BG404" s="10"/>
      <c r="BH404" s="11">
        <v>0</v>
      </c>
      <c r="BI404" s="10"/>
      <c r="BJ404" s="10"/>
      <c r="BK404" s="11">
        <v>0</v>
      </c>
      <c r="BL404" s="10"/>
      <c r="BM404" s="10"/>
      <c r="BN404" s="11">
        <v>0</v>
      </c>
      <c r="BO404" s="10"/>
      <c r="BP404" s="10"/>
      <c r="BQ404" s="11">
        <v>0</v>
      </c>
      <c r="BR404" s="10"/>
      <c r="BS404" s="10"/>
      <c r="BT404" s="11">
        <v>0</v>
      </c>
      <c r="BU404" s="10"/>
      <c r="BV404" s="10"/>
      <c r="BW404" s="11">
        <v>0</v>
      </c>
      <c r="BX404" s="10"/>
      <c r="BY404" s="10"/>
      <c r="BZ404" s="11">
        <v>0</v>
      </c>
      <c r="CA404" s="10"/>
      <c r="CB404" s="10"/>
      <c r="CC404" s="11">
        <v>0</v>
      </c>
      <c r="CD404" s="10"/>
      <c r="CE404" s="10"/>
      <c r="CF404" s="11">
        <v>0</v>
      </c>
      <c r="CG404" s="10"/>
      <c r="CH404" s="10"/>
      <c r="CI404" s="11">
        <v>0</v>
      </c>
      <c r="CJ404" s="10"/>
      <c r="CK404" s="10"/>
      <c r="CL404" s="11">
        <v>0</v>
      </c>
      <c r="CM404" s="10"/>
      <c r="CN404" s="10"/>
      <c r="CO404" s="11">
        <v>0</v>
      </c>
      <c r="CP404" s="10"/>
      <c r="CQ404" s="10"/>
      <c r="CR404" s="11">
        <v>0</v>
      </c>
      <c r="CS404" s="10"/>
      <c r="CT404" s="10"/>
      <c r="CU404" s="11">
        <v>0</v>
      </c>
      <c r="CV404" s="10"/>
      <c r="CW404" s="10"/>
      <c r="CX404" s="11">
        <v>0</v>
      </c>
      <c r="CY404" s="10"/>
      <c r="CZ404" s="10"/>
      <c r="DA404" s="11">
        <v>0</v>
      </c>
      <c r="DB404" s="10"/>
      <c r="DC404" s="10"/>
      <c r="DD404" s="13">
        <v>0</v>
      </c>
      <c r="DE404" s="14"/>
    </row>
    <row r="405" spans="1:109" x14ac:dyDescent="0.35">
      <c r="A405" s="8" t="s">
        <v>873</v>
      </c>
      <c r="B405" s="9" t="s">
        <v>74</v>
      </c>
      <c r="C405" s="9" t="s">
        <v>52</v>
      </c>
      <c r="D405" s="9" t="s">
        <v>874</v>
      </c>
      <c r="E405" s="9" t="s">
        <v>54</v>
      </c>
      <c r="F405" s="9" t="s">
        <v>55</v>
      </c>
      <c r="G405" s="10"/>
      <c r="H405" s="10"/>
      <c r="I405" s="11">
        <v>0</v>
      </c>
      <c r="J405" s="10"/>
      <c r="K405" s="10"/>
      <c r="L405" s="12">
        <v>0</v>
      </c>
      <c r="M405" s="10"/>
      <c r="N405" s="10"/>
      <c r="O405" s="11">
        <v>0</v>
      </c>
      <c r="P405" s="10"/>
      <c r="Q405" s="10"/>
      <c r="R405" s="11">
        <v>0</v>
      </c>
      <c r="S405" s="10"/>
      <c r="T405" s="10"/>
      <c r="U405" s="11">
        <v>0</v>
      </c>
      <c r="V405" s="10"/>
      <c r="W405" s="10"/>
      <c r="X405" s="11">
        <v>0</v>
      </c>
      <c r="Y405" s="10"/>
      <c r="Z405" s="10"/>
      <c r="AA405" s="11"/>
      <c r="AB405" s="10"/>
      <c r="AC405" s="10"/>
      <c r="AD405" s="11">
        <v>0</v>
      </c>
      <c r="AE405" s="10"/>
      <c r="AF405" s="10"/>
      <c r="AG405" s="11">
        <v>0</v>
      </c>
      <c r="AH405" s="10"/>
      <c r="AI405" s="10"/>
      <c r="AJ405" s="11">
        <v>0</v>
      </c>
      <c r="AK405" s="10"/>
      <c r="AL405" s="10"/>
      <c r="AM405" s="11">
        <v>0</v>
      </c>
      <c r="AN405" s="10"/>
      <c r="AO405" s="10"/>
      <c r="AP405" s="11">
        <v>0</v>
      </c>
      <c r="AQ405" s="10"/>
      <c r="AR405" s="10"/>
      <c r="AS405" s="11">
        <v>0</v>
      </c>
      <c r="AT405" s="10"/>
      <c r="AU405" s="10"/>
      <c r="AV405" s="11">
        <v>0</v>
      </c>
      <c r="AW405" s="10"/>
      <c r="AX405" s="10"/>
      <c r="AY405" s="11">
        <v>0</v>
      </c>
      <c r="AZ405" s="10"/>
      <c r="BA405" s="10"/>
      <c r="BB405" s="11">
        <v>0</v>
      </c>
      <c r="BC405" s="10"/>
      <c r="BD405" s="10"/>
      <c r="BE405" s="11">
        <v>0</v>
      </c>
      <c r="BF405" s="10"/>
      <c r="BG405" s="10"/>
      <c r="BH405" s="11">
        <v>0</v>
      </c>
      <c r="BI405" s="10"/>
      <c r="BJ405" s="10"/>
      <c r="BK405" s="11">
        <v>0</v>
      </c>
      <c r="BL405" s="10"/>
      <c r="BM405" s="10"/>
      <c r="BN405" s="11">
        <v>0</v>
      </c>
      <c r="BO405" s="10"/>
      <c r="BP405" s="10"/>
      <c r="BQ405" s="11">
        <v>0</v>
      </c>
      <c r="BR405" s="10"/>
      <c r="BS405" s="10"/>
      <c r="BT405" s="11">
        <v>0</v>
      </c>
      <c r="BU405" s="10"/>
      <c r="BV405" s="10"/>
      <c r="BW405" s="11">
        <v>0</v>
      </c>
      <c r="BX405" s="10"/>
      <c r="BY405" s="10"/>
      <c r="BZ405" s="11">
        <v>0</v>
      </c>
      <c r="CA405" s="10"/>
      <c r="CB405" s="10"/>
      <c r="CC405" s="11">
        <v>0</v>
      </c>
      <c r="CD405" s="10"/>
      <c r="CE405" s="10"/>
      <c r="CF405" s="11">
        <v>0</v>
      </c>
      <c r="CG405" s="10"/>
      <c r="CH405" s="10"/>
      <c r="CI405" s="11">
        <v>0</v>
      </c>
      <c r="CJ405" s="10"/>
      <c r="CK405" s="10"/>
      <c r="CL405" s="11">
        <v>0</v>
      </c>
      <c r="CM405" s="10"/>
      <c r="CN405" s="10"/>
      <c r="CO405" s="11">
        <v>0</v>
      </c>
      <c r="CP405" s="10"/>
      <c r="CQ405" s="10"/>
      <c r="CR405" s="11">
        <v>0</v>
      </c>
      <c r="CS405" s="10"/>
      <c r="CT405" s="10"/>
      <c r="CU405" s="11">
        <v>0</v>
      </c>
      <c r="CV405" s="10"/>
      <c r="CW405" s="10"/>
      <c r="CX405" s="11">
        <v>0</v>
      </c>
      <c r="CY405" s="10"/>
      <c r="CZ405" s="10"/>
      <c r="DA405" s="11">
        <v>0</v>
      </c>
      <c r="DB405" s="10"/>
      <c r="DC405" s="10"/>
      <c r="DD405" s="13">
        <v>0</v>
      </c>
      <c r="DE405" s="14"/>
    </row>
    <row r="406" spans="1:109" x14ac:dyDescent="0.35">
      <c r="A406" s="8" t="s">
        <v>875</v>
      </c>
      <c r="B406" s="9" t="s">
        <v>48</v>
      </c>
      <c r="C406" s="9" t="s">
        <v>43</v>
      </c>
      <c r="D406" s="9" t="s">
        <v>876</v>
      </c>
      <c r="E406" s="9" t="s">
        <v>45</v>
      </c>
      <c r="F406" s="9" t="s">
        <v>46</v>
      </c>
      <c r="G406" s="10"/>
      <c r="H406" s="10"/>
      <c r="I406" s="11">
        <v>0</v>
      </c>
      <c r="J406" s="10"/>
      <c r="K406" s="10"/>
      <c r="L406" s="12">
        <v>0</v>
      </c>
      <c r="M406" s="10"/>
      <c r="N406" s="10"/>
      <c r="O406" s="11">
        <v>0</v>
      </c>
      <c r="P406" s="10"/>
      <c r="Q406" s="10"/>
      <c r="R406" s="11">
        <v>0</v>
      </c>
      <c r="S406" s="10"/>
      <c r="T406" s="10"/>
      <c r="U406" s="11">
        <v>0</v>
      </c>
      <c r="V406" s="10"/>
      <c r="W406" s="10"/>
      <c r="X406" s="11">
        <v>0</v>
      </c>
      <c r="Y406" s="10"/>
      <c r="Z406" s="10"/>
      <c r="AA406" s="11"/>
      <c r="AB406" s="10"/>
      <c r="AC406" s="10"/>
      <c r="AD406" s="11">
        <v>0</v>
      </c>
      <c r="AE406" s="10"/>
      <c r="AF406" s="10"/>
      <c r="AG406" s="11">
        <v>0</v>
      </c>
      <c r="AH406" s="10"/>
      <c r="AI406" s="10"/>
      <c r="AJ406" s="11">
        <v>0</v>
      </c>
      <c r="AK406" s="10"/>
      <c r="AL406" s="10"/>
      <c r="AM406" s="11">
        <v>0</v>
      </c>
      <c r="AN406" s="10"/>
      <c r="AO406" s="10"/>
      <c r="AP406" s="11">
        <v>0</v>
      </c>
      <c r="AQ406" s="10"/>
      <c r="AR406" s="10"/>
      <c r="AS406" s="11">
        <v>0</v>
      </c>
      <c r="AT406" s="10"/>
      <c r="AU406" s="10"/>
      <c r="AV406" s="11">
        <v>0</v>
      </c>
      <c r="AW406" s="10"/>
      <c r="AX406" s="10"/>
      <c r="AY406" s="11">
        <v>0</v>
      </c>
      <c r="AZ406" s="10"/>
      <c r="BA406" s="10"/>
      <c r="BB406" s="11">
        <v>0</v>
      </c>
      <c r="BC406" s="10"/>
      <c r="BD406" s="10"/>
      <c r="BE406" s="11">
        <v>0</v>
      </c>
      <c r="BF406" s="10"/>
      <c r="BG406" s="10"/>
      <c r="BH406" s="11">
        <v>0</v>
      </c>
      <c r="BI406" s="10"/>
      <c r="BJ406" s="10"/>
      <c r="BK406" s="11">
        <v>0</v>
      </c>
      <c r="BL406" s="10"/>
      <c r="BM406" s="10"/>
      <c r="BN406" s="11">
        <v>0</v>
      </c>
      <c r="BO406" s="10"/>
      <c r="BP406" s="10"/>
      <c r="BQ406" s="11">
        <v>0</v>
      </c>
      <c r="BR406" s="10"/>
      <c r="BS406" s="10"/>
      <c r="BT406" s="11">
        <v>0</v>
      </c>
      <c r="BU406" s="10"/>
      <c r="BV406" s="10"/>
      <c r="BW406" s="11">
        <v>0</v>
      </c>
      <c r="BX406" s="10"/>
      <c r="BY406" s="10"/>
      <c r="BZ406" s="11">
        <v>0</v>
      </c>
      <c r="CA406" s="10"/>
      <c r="CB406" s="10"/>
      <c r="CC406" s="11">
        <v>0</v>
      </c>
      <c r="CD406" s="10"/>
      <c r="CE406" s="10"/>
      <c r="CF406" s="11">
        <v>0</v>
      </c>
      <c r="CG406" s="10"/>
      <c r="CH406" s="10"/>
      <c r="CI406" s="11">
        <v>0</v>
      </c>
      <c r="CJ406" s="10"/>
      <c r="CK406" s="10"/>
      <c r="CL406" s="11">
        <v>0</v>
      </c>
      <c r="CM406" s="10"/>
      <c r="CN406" s="10"/>
      <c r="CO406" s="11">
        <v>0</v>
      </c>
      <c r="CP406" s="10"/>
      <c r="CQ406" s="10"/>
      <c r="CR406" s="11">
        <v>0</v>
      </c>
      <c r="CS406" s="10"/>
      <c r="CT406" s="10"/>
      <c r="CU406" s="11">
        <v>0</v>
      </c>
      <c r="CV406" s="10"/>
      <c r="CW406" s="10"/>
      <c r="CX406" s="11">
        <v>0</v>
      </c>
      <c r="CY406" s="10"/>
      <c r="CZ406" s="10"/>
      <c r="DA406" s="11">
        <v>0</v>
      </c>
      <c r="DB406" s="10"/>
      <c r="DC406" s="10"/>
      <c r="DD406" s="13">
        <v>0</v>
      </c>
      <c r="DE406" s="14"/>
    </row>
    <row r="407" spans="1:109" x14ac:dyDescent="0.35">
      <c r="A407" s="8" t="s">
        <v>877</v>
      </c>
      <c r="B407" s="9" t="s">
        <v>74</v>
      </c>
      <c r="C407" s="9" t="s">
        <v>52</v>
      </c>
      <c r="D407" s="9" t="s">
        <v>878</v>
      </c>
      <c r="E407" s="9" t="s">
        <v>54</v>
      </c>
      <c r="F407" s="9" t="s">
        <v>55</v>
      </c>
      <c r="G407" s="10"/>
      <c r="H407" s="10"/>
      <c r="I407" s="11">
        <v>0</v>
      </c>
      <c r="J407" s="10"/>
      <c r="K407" s="10"/>
      <c r="L407" s="12">
        <v>0</v>
      </c>
      <c r="M407" s="10"/>
      <c r="N407" s="10"/>
      <c r="O407" s="11">
        <v>0</v>
      </c>
      <c r="P407" s="10"/>
      <c r="Q407" s="10"/>
      <c r="R407" s="11">
        <v>0</v>
      </c>
      <c r="S407" s="10"/>
      <c r="T407" s="10"/>
      <c r="U407" s="11">
        <v>0</v>
      </c>
      <c r="V407" s="10"/>
      <c r="W407" s="10"/>
      <c r="X407" s="11">
        <v>0</v>
      </c>
      <c r="Y407" s="10"/>
      <c r="Z407" s="10"/>
      <c r="AA407" s="11"/>
      <c r="AB407" s="10"/>
      <c r="AC407" s="10"/>
      <c r="AD407" s="11">
        <v>0</v>
      </c>
      <c r="AE407" s="10"/>
      <c r="AF407" s="10"/>
      <c r="AG407" s="11">
        <v>0</v>
      </c>
      <c r="AH407" s="10"/>
      <c r="AI407" s="10"/>
      <c r="AJ407" s="11">
        <v>0</v>
      </c>
      <c r="AK407" s="10"/>
      <c r="AL407" s="10"/>
      <c r="AM407" s="11">
        <v>0</v>
      </c>
      <c r="AN407" s="10"/>
      <c r="AO407" s="10"/>
      <c r="AP407" s="11">
        <v>0</v>
      </c>
      <c r="AQ407" s="10"/>
      <c r="AR407" s="10"/>
      <c r="AS407" s="11">
        <v>0</v>
      </c>
      <c r="AT407" s="10"/>
      <c r="AU407" s="10"/>
      <c r="AV407" s="11">
        <v>0</v>
      </c>
      <c r="AW407" s="10"/>
      <c r="AX407" s="10"/>
      <c r="AY407" s="11">
        <v>0</v>
      </c>
      <c r="AZ407" s="10"/>
      <c r="BA407" s="10"/>
      <c r="BB407" s="11">
        <v>0</v>
      </c>
      <c r="BC407" s="10"/>
      <c r="BD407" s="10"/>
      <c r="BE407" s="11">
        <v>0</v>
      </c>
      <c r="BF407" s="10"/>
      <c r="BG407" s="10"/>
      <c r="BH407" s="11">
        <v>0</v>
      </c>
      <c r="BI407" s="10"/>
      <c r="BJ407" s="10"/>
      <c r="BK407" s="11">
        <v>0</v>
      </c>
      <c r="BL407" s="10"/>
      <c r="BM407" s="10"/>
      <c r="BN407" s="11">
        <v>0</v>
      </c>
      <c r="BO407" s="10"/>
      <c r="BP407" s="10"/>
      <c r="BQ407" s="11">
        <v>0</v>
      </c>
      <c r="BR407" s="10"/>
      <c r="BS407" s="10"/>
      <c r="BT407" s="11">
        <v>0</v>
      </c>
      <c r="BU407" s="10"/>
      <c r="BV407" s="10"/>
      <c r="BW407" s="11">
        <v>0</v>
      </c>
      <c r="BX407" s="10"/>
      <c r="BY407" s="10"/>
      <c r="BZ407" s="11">
        <v>0</v>
      </c>
      <c r="CA407" s="10"/>
      <c r="CB407" s="10"/>
      <c r="CC407" s="11">
        <v>0</v>
      </c>
      <c r="CD407" s="10"/>
      <c r="CE407" s="10"/>
      <c r="CF407" s="11">
        <v>0</v>
      </c>
      <c r="CG407" s="10"/>
      <c r="CH407" s="10"/>
      <c r="CI407" s="11">
        <v>0</v>
      </c>
      <c r="CJ407" s="10"/>
      <c r="CK407" s="10"/>
      <c r="CL407" s="11">
        <v>0</v>
      </c>
      <c r="CM407" s="10"/>
      <c r="CN407" s="10"/>
      <c r="CO407" s="11">
        <v>0</v>
      </c>
      <c r="CP407" s="10"/>
      <c r="CQ407" s="10"/>
      <c r="CR407" s="11">
        <v>0</v>
      </c>
      <c r="CS407" s="10"/>
      <c r="CT407" s="10"/>
      <c r="CU407" s="11">
        <v>0</v>
      </c>
      <c r="CV407" s="10"/>
      <c r="CW407" s="10"/>
      <c r="CX407" s="11">
        <v>0</v>
      </c>
      <c r="CY407" s="10"/>
      <c r="CZ407" s="10"/>
      <c r="DA407" s="11">
        <v>0</v>
      </c>
      <c r="DB407" s="10"/>
      <c r="DC407" s="10"/>
      <c r="DD407" s="13">
        <v>0</v>
      </c>
      <c r="DE407" s="14"/>
    </row>
    <row r="408" spans="1:109" x14ac:dyDescent="0.35">
      <c r="A408" s="8" t="s">
        <v>879</v>
      </c>
      <c r="B408" s="9" t="s">
        <v>48</v>
      </c>
      <c r="C408" s="9" t="s">
        <v>43</v>
      </c>
      <c r="D408" s="9" t="s">
        <v>880</v>
      </c>
      <c r="E408" s="9" t="s">
        <v>45</v>
      </c>
      <c r="F408" s="9" t="s">
        <v>46</v>
      </c>
      <c r="G408" s="10"/>
      <c r="H408" s="10"/>
      <c r="I408" s="11">
        <v>0</v>
      </c>
      <c r="J408" s="10"/>
      <c r="K408" s="10"/>
      <c r="L408" s="12">
        <v>0</v>
      </c>
      <c r="M408" s="10"/>
      <c r="N408" s="10"/>
      <c r="O408" s="11">
        <v>0</v>
      </c>
      <c r="P408" s="10"/>
      <c r="Q408" s="10"/>
      <c r="R408" s="11">
        <v>0</v>
      </c>
      <c r="S408" s="10"/>
      <c r="T408" s="10"/>
      <c r="U408" s="11">
        <v>0</v>
      </c>
      <c r="V408" s="10"/>
      <c r="W408" s="10"/>
      <c r="X408" s="11">
        <v>0</v>
      </c>
      <c r="Y408" s="10"/>
      <c r="Z408" s="10"/>
      <c r="AA408" s="11"/>
      <c r="AB408" s="10"/>
      <c r="AC408" s="10"/>
      <c r="AD408" s="11">
        <v>0</v>
      </c>
      <c r="AE408" s="10"/>
      <c r="AF408" s="10"/>
      <c r="AG408" s="11">
        <v>0</v>
      </c>
      <c r="AH408" s="10"/>
      <c r="AI408" s="10"/>
      <c r="AJ408" s="11">
        <v>0</v>
      </c>
      <c r="AK408" s="10"/>
      <c r="AL408" s="10"/>
      <c r="AM408" s="11">
        <v>0</v>
      </c>
      <c r="AN408" s="10"/>
      <c r="AO408" s="10"/>
      <c r="AP408" s="11">
        <v>0</v>
      </c>
      <c r="AQ408" s="10"/>
      <c r="AR408" s="10"/>
      <c r="AS408" s="11">
        <v>0</v>
      </c>
      <c r="AT408" s="10"/>
      <c r="AU408" s="10"/>
      <c r="AV408" s="11">
        <v>0</v>
      </c>
      <c r="AW408" s="10"/>
      <c r="AX408" s="10"/>
      <c r="AY408" s="11">
        <v>0</v>
      </c>
      <c r="AZ408" s="10"/>
      <c r="BA408" s="10"/>
      <c r="BB408" s="11">
        <v>0</v>
      </c>
      <c r="BC408" s="10"/>
      <c r="BD408" s="10"/>
      <c r="BE408" s="11">
        <v>0</v>
      </c>
      <c r="BF408" s="10"/>
      <c r="BG408" s="10"/>
      <c r="BH408" s="11">
        <v>0</v>
      </c>
      <c r="BI408" s="10"/>
      <c r="BJ408" s="10"/>
      <c r="BK408" s="11">
        <v>0</v>
      </c>
      <c r="BL408" s="10"/>
      <c r="BM408" s="10"/>
      <c r="BN408" s="11">
        <v>0</v>
      </c>
      <c r="BO408" s="10"/>
      <c r="BP408" s="10"/>
      <c r="BQ408" s="11">
        <v>0</v>
      </c>
      <c r="BR408" s="10"/>
      <c r="BS408" s="10"/>
      <c r="BT408" s="11">
        <v>0</v>
      </c>
      <c r="BU408" s="10"/>
      <c r="BV408" s="10"/>
      <c r="BW408" s="11">
        <v>0</v>
      </c>
      <c r="BX408" s="10"/>
      <c r="BY408" s="10"/>
      <c r="BZ408" s="11">
        <v>0</v>
      </c>
      <c r="CA408" s="10"/>
      <c r="CB408" s="10"/>
      <c r="CC408" s="11">
        <v>0</v>
      </c>
      <c r="CD408" s="10"/>
      <c r="CE408" s="10"/>
      <c r="CF408" s="11">
        <v>0</v>
      </c>
      <c r="CG408" s="10"/>
      <c r="CH408" s="10"/>
      <c r="CI408" s="11">
        <v>0</v>
      </c>
      <c r="CJ408" s="10"/>
      <c r="CK408" s="10"/>
      <c r="CL408" s="11">
        <v>0</v>
      </c>
      <c r="CM408" s="10"/>
      <c r="CN408" s="10"/>
      <c r="CO408" s="11">
        <v>0</v>
      </c>
      <c r="CP408" s="10"/>
      <c r="CQ408" s="10"/>
      <c r="CR408" s="11">
        <v>0</v>
      </c>
      <c r="CS408" s="10"/>
      <c r="CT408" s="10"/>
      <c r="CU408" s="11">
        <v>0</v>
      </c>
      <c r="CV408" s="10"/>
      <c r="CW408" s="10"/>
      <c r="CX408" s="11">
        <v>0</v>
      </c>
      <c r="CY408" s="10"/>
      <c r="CZ408" s="10"/>
      <c r="DA408" s="11">
        <v>0</v>
      </c>
      <c r="DB408" s="10"/>
      <c r="DC408" s="10"/>
      <c r="DD408" s="13">
        <v>0</v>
      </c>
      <c r="DE408" s="14"/>
    </row>
    <row r="409" spans="1:109" x14ac:dyDescent="0.35">
      <c r="A409" s="8" t="s">
        <v>881</v>
      </c>
      <c r="B409" s="9" t="s">
        <v>74</v>
      </c>
      <c r="C409" s="9" t="s">
        <v>52</v>
      </c>
      <c r="D409" s="9" t="s">
        <v>882</v>
      </c>
      <c r="E409" s="9" t="s">
        <v>54</v>
      </c>
      <c r="F409" s="9" t="s">
        <v>55</v>
      </c>
      <c r="G409" s="10"/>
      <c r="H409" s="10"/>
      <c r="I409" s="11">
        <v>0</v>
      </c>
      <c r="J409" s="10"/>
      <c r="K409" s="10"/>
      <c r="L409" s="12">
        <v>0</v>
      </c>
      <c r="M409" s="10"/>
      <c r="N409" s="10"/>
      <c r="O409" s="11">
        <v>0</v>
      </c>
      <c r="P409" s="10"/>
      <c r="Q409" s="10"/>
      <c r="R409" s="11">
        <v>0</v>
      </c>
      <c r="S409" s="10"/>
      <c r="T409" s="10"/>
      <c r="U409" s="11">
        <v>0</v>
      </c>
      <c r="V409" s="10"/>
      <c r="W409" s="10"/>
      <c r="X409" s="11">
        <v>0</v>
      </c>
      <c r="Y409" s="10"/>
      <c r="Z409" s="10"/>
      <c r="AA409" s="11"/>
      <c r="AB409" s="10"/>
      <c r="AC409" s="10"/>
      <c r="AD409" s="11">
        <v>0</v>
      </c>
      <c r="AE409" s="10"/>
      <c r="AF409" s="10"/>
      <c r="AG409" s="11">
        <v>0</v>
      </c>
      <c r="AH409" s="10"/>
      <c r="AI409" s="10"/>
      <c r="AJ409" s="11">
        <v>0</v>
      </c>
      <c r="AK409" s="10"/>
      <c r="AL409" s="10"/>
      <c r="AM409" s="11">
        <v>0</v>
      </c>
      <c r="AN409" s="10"/>
      <c r="AO409" s="10"/>
      <c r="AP409" s="11">
        <v>0</v>
      </c>
      <c r="AQ409" s="10"/>
      <c r="AR409" s="10"/>
      <c r="AS409" s="11">
        <v>0</v>
      </c>
      <c r="AT409" s="10"/>
      <c r="AU409" s="10"/>
      <c r="AV409" s="11">
        <v>0</v>
      </c>
      <c r="AW409" s="10"/>
      <c r="AX409" s="10"/>
      <c r="AY409" s="11">
        <v>0</v>
      </c>
      <c r="AZ409" s="10"/>
      <c r="BA409" s="10"/>
      <c r="BB409" s="11">
        <v>0</v>
      </c>
      <c r="BC409" s="10"/>
      <c r="BD409" s="10"/>
      <c r="BE409" s="11">
        <v>0</v>
      </c>
      <c r="BF409" s="10"/>
      <c r="BG409" s="10"/>
      <c r="BH409" s="11">
        <v>0</v>
      </c>
      <c r="BI409" s="10"/>
      <c r="BJ409" s="10"/>
      <c r="BK409" s="11">
        <v>0</v>
      </c>
      <c r="BL409" s="10"/>
      <c r="BM409" s="10"/>
      <c r="BN409" s="11">
        <v>0</v>
      </c>
      <c r="BO409" s="10"/>
      <c r="BP409" s="10"/>
      <c r="BQ409" s="11">
        <v>0</v>
      </c>
      <c r="BR409" s="10"/>
      <c r="BS409" s="10"/>
      <c r="BT409" s="11">
        <v>0</v>
      </c>
      <c r="BU409" s="10"/>
      <c r="BV409" s="10"/>
      <c r="BW409" s="11">
        <v>0</v>
      </c>
      <c r="BX409" s="10"/>
      <c r="BY409" s="10"/>
      <c r="BZ409" s="11">
        <v>0</v>
      </c>
      <c r="CA409" s="10"/>
      <c r="CB409" s="10"/>
      <c r="CC409" s="11">
        <v>0</v>
      </c>
      <c r="CD409" s="10"/>
      <c r="CE409" s="10"/>
      <c r="CF409" s="11">
        <v>0</v>
      </c>
      <c r="CG409" s="10"/>
      <c r="CH409" s="10"/>
      <c r="CI409" s="11">
        <v>0</v>
      </c>
      <c r="CJ409" s="10"/>
      <c r="CK409" s="10"/>
      <c r="CL409" s="11">
        <v>0</v>
      </c>
      <c r="CM409" s="10"/>
      <c r="CN409" s="10"/>
      <c r="CO409" s="11">
        <v>0</v>
      </c>
      <c r="CP409" s="10"/>
      <c r="CQ409" s="10"/>
      <c r="CR409" s="11">
        <v>0</v>
      </c>
      <c r="CS409" s="10"/>
      <c r="CT409" s="10"/>
      <c r="CU409" s="11">
        <v>0</v>
      </c>
      <c r="CV409" s="10"/>
      <c r="CW409" s="10"/>
      <c r="CX409" s="11">
        <v>0</v>
      </c>
      <c r="CY409" s="10"/>
      <c r="CZ409" s="10"/>
      <c r="DA409" s="11">
        <v>0</v>
      </c>
      <c r="DB409" s="10"/>
      <c r="DC409" s="10"/>
      <c r="DD409" s="13">
        <v>0</v>
      </c>
      <c r="DE409" s="14"/>
    </row>
    <row r="410" spans="1:109" x14ac:dyDescent="0.35">
      <c r="A410" s="8" t="s">
        <v>883</v>
      </c>
      <c r="B410" s="9" t="s">
        <v>74</v>
      </c>
      <c r="C410" s="9" t="s">
        <v>52</v>
      </c>
      <c r="D410" s="9" t="s">
        <v>884</v>
      </c>
      <c r="E410" s="9" t="s">
        <v>54</v>
      </c>
      <c r="F410" s="9" t="s">
        <v>55</v>
      </c>
      <c r="G410" s="10"/>
      <c r="H410" s="10"/>
      <c r="I410" s="11">
        <v>0</v>
      </c>
      <c r="J410" s="10"/>
      <c r="K410" s="10"/>
      <c r="L410" s="12">
        <v>0</v>
      </c>
      <c r="M410" s="10"/>
      <c r="N410" s="10"/>
      <c r="O410" s="11">
        <v>0</v>
      </c>
      <c r="P410" s="10"/>
      <c r="Q410" s="10"/>
      <c r="R410" s="11">
        <v>0</v>
      </c>
      <c r="S410" s="10"/>
      <c r="T410" s="10"/>
      <c r="U410" s="11">
        <v>0</v>
      </c>
      <c r="V410" s="10"/>
      <c r="W410" s="10"/>
      <c r="X410" s="11">
        <v>0</v>
      </c>
      <c r="Y410" s="10"/>
      <c r="Z410" s="10"/>
      <c r="AA410" s="11"/>
      <c r="AB410" s="10"/>
      <c r="AC410" s="10"/>
      <c r="AD410" s="11">
        <v>0</v>
      </c>
      <c r="AE410" s="10"/>
      <c r="AF410" s="10"/>
      <c r="AG410" s="11">
        <v>0</v>
      </c>
      <c r="AH410" s="10"/>
      <c r="AI410" s="10"/>
      <c r="AJ410" s="11">
        <v>0</v>
      </c>
      <c r="AK410" s="10"/>
      <c r="AL410" s="10"/>
      <c r="AM410" s="11">
        <v>0</v>
      </c>
      <c r="AN410" s="10"/>
      <c r="AO410" s="10"/>
      <c r="AP410" s="11">
        <v>0</v>
      </c>
      <c r="AQ410" s="10"/>
      <c r="AR410" s="10"/>
      <c r="AS410" s="11">
        <v>0</v>
      </c>
      <c r="AT410" s="10"/>
      <c r="AU410" s="10"/>
      <c r="AV410" s="11">
        <v>0</v>
      </c>
      <c r="AW410" s="10"/>
      <c r="AX410" s="10"/>
      <c r="AY410" s="11">
        <v>0</v>
      </c>
      <c r="AZ410" s="10"/>
      <c r="BA410" s="10"/>
      <c r="BB410" s="11">
        <v>0</v>
      </c>
      <c r="BC410" s="10"/>
      <c r="BD410" s="10"/>
      <c r="BE410" s="11">
        <v>0</v>
      </c>
      <c r="BF410" s="10"/>
      <c r="BG410" s="10"/>
      <c r="BH410" s="11">
        <v>0</v>
      </c>
      <c r="BI410" s="10"/>
      <c r="BJ410" s="10"/>
      <c r="BK410" s="11">
        <v>0</v>
      </c>
      <c r="BL410" s="10"/>
      <c r="BM410" s="10"/>
      <c r="BN410" s="11">
        <v>0</v>
      </c>
      <c r="BO410" s="10"/>
      <c r="BP410" s="10"/>
      <c r="BQ410" s="11">
        <v>0</v>
      </c>
      <c r="BR410" s="10"/>
      <c r="BS410" s="10"/>
      <c r="BT410" s="11">
        <v>0</v>
      </c>
      <c r="BU410" s="10"/>
      <c r="BV410" s="10"/>
      <c r="BW410" s="11">
        <v>0</v>
      </c>
      <c r="BX410" s="10"/>
      <c r="BY410" s="10"/>
      <c r="BZ410" s="11">
        <v>0</v>
      </c>
      <c r="CA410" s="10"/>
      <c r="CB410" s="10"/>
      <c r="CC410" s="11">
        <v>0</v>
      </c>
      <c r="CD410" s="10"/>
      <c r="CE410" s="10"/>
      <c r="CF410" s="11">
        <v>0</v>
      </c>
      <c r="CG410" s="10"/>
      <c r="CH410" s="10"/>
      <c r="CI410" s="11">
        <v>0</v>
      </c>
      <c r="CJ410" s="10"/>
      <c r="CK410" s="10"/>
      <c r="CL410" s="11">
        <v>0</v>
      </c>
      <c r="CM410" s="10"/>
      <c r="CN410" s="10"/>
      <c r="CO410" s="11">
        <v>0</v>
      </c>
      <c r="CP410" s="10"/>
      <c r="CQ410" s="10"/>
      <c r="CR410" s="11">
        <v>0</v>
      </c>
      <c r="CS410" s="10"/>
      <c r="CT410" s="10"/>
      <c r="CU410" s="11">
        <v>0</v>
      </c>
      <c r="CV410" s="10"/>
      <c r="CW410" s="10"/>
      <c r="CX410" s="11">
        <v>0</v>
      </c>
      <c r="CY410" s="10"/>
      <c r="CZ410" s="10"/>
      <c r="DA410" s="11">
        <v>0</v>
      </c>
      <c r="DB410" s="10"/>
      <c r="DC410" s="10"/>
      <c r="DD410" s="13">
        <v>0</v>
      </c>
      <c r="DE410" s="14"/>
    </row>
    <row r="411" spans="1:109" x14ac:dyDescent="0.35">
      <c r="A411" s="8" t="s">
        <v>885</v>
      </c>
      <c r="B411" s="9" t="s">
        <v>74</v>
      </c>
      <c r="C411" s="9" t="s">
        <v>52</v>
      </c>
      <c r="D411" s="9" t="s">
        <v>886</v>
      </c>
      <c r="E411" s="9" t="s">
        <v>54</v>
      </c>
      <c r="F411" s="9" t="s">
        <v>55</v>
      </c>
      <c r="G411" s="10"/>
      <c r="H411" s="10"/>
      <c r="I411" s="11">
        <v>0</v>
      </c>
      <c r="J411" s="10"/>
      <c r="K411" s="10"/>
      <c r="L411" s="12">
        <v>0</v>
      </c>
      <c r="M411" s="10"/>
      <c r="N411" s="10"/>
      <c r="O411" s="11">
        <v>0</v>
      </c>
      <c r="P411" s="10"/>
      <c r="Q411" s="10"/>
      <c r="R411" s="11">
        <v>0</v>
      </c>
      <c r="S411" s="10"/>
      <c r="T411" s="10"/>
      <c r="U411" s="11">
        <v>0</v>
      </c>
      <c r="V411" s="10"/>
      <c r="W411" s="10"/>
      <c r="X411" s="11">
        <v>0</v>
      </c>
      <c r="Y411" s="10"/>
      <c r="Z411" s="10"/>
      <c r="AA411" s="11"/>
      <c r="AB411" s="10"/>
      <c r="AC411" s="10"/>
      <c r="AD411" s="11">
        <v>0</v>
      </c>
      <c r="AE411" s="10"/>
      <c r="AF411" s="10"/>
      <c r="AG411" s="11">
        <v>0</v>
      </c>
      <c r="AH411" s="10"/>
      <c r="AI411" s="10"/>
      <c r="AJ411" s="11">
        <v>0</v>
      </c>
      <c r="AK411" s="10"/>
      <c r="AL411" s="10"/>
      <c r="AM411" s="11">
        <v>0</v>
      </c>
      <c r="AN411" s="10"/>
      <c r="AO411" s="10"/>
      <c r="AP411" s="11">
        <v>0</v>
      </c>
      <c r="AQ411" s="10"/>
      <c r="AR411" s="10"/>
      <c r="AS411" s="11">
        <v>0</v>
      </c>
      <c r="AT411" s="10"/>
      <c r="AU411" s="10"/>
      <c r="AV411" s="11">
        <v>0</v>
      </c>
      <c r="AW411" s="10"/>
      <c r="AX411" s="10"/>
      <c r="AY411" s="11">
        <v>0</v>
      </c>
      <c r="AZ411" s="10"/>
      <c r="BA411" s="10"/>
      <c r="BB411" s="11">
        <v>0</v>
      </c>
      <c r="BC411" s="10"/>
      <c r="BD411" s="10"/>
      <c r="BE411" s="11">
        <v>0</v>
      </c>
      <c r="BF411" s="10"/>
      <c r="BG411" s="10"/>
      <c r="BH411" s="11">
        <v>0</v>
      </c>
      <c r="BI411" s="10"/>
      <c r="BJ411" s="10"/>
      <c r="BK411" s="11">
        <v>0</v>
      </c>
      <c r="BL411" s="10"/>
      <c r="BM411" s="10"/>
      <c r="BN411" s="11">
        <v>0</v>
      </c>
      <c r="BO411" s="10"/>
      <c r="BP411" s="10"/>
      <c r="BQ411" s="11">
        <v>0</v>
      </c>
      <c r="BR411" s="10"/>
      <c r="BS411" s="10"/>
      <c r="BT411" s="11">
        <v>0</v>
      </c>
      <c r="BU411" s="10"/>
      <c r="BV411" s="10"/>
      <c r="BW411" s="11">
        <v>0</v>
      </c>
      <c r="BX411" s="10"/>
      <c r="BY411" s="10"/>
      <c r="BZ411" s="11">
        <v>0</v>
      </c>
      <c r="CA411" s="10"/>
      <c r="CB411" s="10"/>
      <c r="CC411" s="11">
        <v>0</v>
      </c>
      <c r="CD411" s="10"/>
      <c r="CE411" s="10"/>
      <c r="CF411" s="11">
        <v>0</v>
      </c>
      <c r="CG411" s="10"/>
      <c r="CH411" s="10"/>
      <c r="CI411" s="11">
        <v>0</v>
      </c>
      <c r="CJ411" s="10"/>
      <c r="CK411" s="10"/>
      <c r="CL411" s="11">
        <v>0</v>
      </c>
      <c r="CM411" s="10"/>
      <c r="CN411" s="10"/>
      <c r="CO411" s="11">
        <v>0</v>
      </c>
      <c r="CP411" s="10"/>
      <c r="CQ411" s="10"/>
      <c r="CR411" s="11">
        <v>0</v>
      </c>
      <c r="CS411" s="10"/>
      <c r="CT411" s="10"/>
      <c r="CU411" s="11">
        <v>0</v>
      </c>
      <c r="CV411" s="10"/>
      <c r="CW411" s="10"/>
      <c r="CX411" s="11">
        <v>0</v>
      </c>
      <c r="CY411" s="10"/>
      <c r="CZ411" s="10"/>
      <c r="DA411" s="11">
        <v>0</v>
      </c>
      <c r="DB411" s="10"/>
      <c r="DC411" s="10"/>
      <c r="DD411" s="13">
        <v>0</v>
      </c>
      <c r="DE411" s="14"/>
    </row>
    <row r="412" spans="1:109" x14ac:dyDescent="0.35">
      <c r="A412" s="8" t="s">
        <v>887</v>
      </c>
      <c r="B412" s="9" t="s">
        <v>48</v>
      </c>
      <c r="C412" s="9" t="s">
        <v>43</v>
      </c>
      <c r="D412" s="9" t="s">
        <v>888</v>
      </c>
      <c r="E412" s="9" t="s">
        <v>45</v>
      </c>
      <c r="F412" s="9" t="s">
        <v>46</v>
      </c>
      <c r="G412" s="10"/>
      <c r="H412" s="10"/>
      <c r="I412" s="11">
        <v>0</v>
      </c>
      <c r="J412" s="10"/>
      <c r="K412" s="10"/>
      <c r="L412" s="12">
        <v>0</v>
      </c>
      <c r="M412" s="10"/>
      <c r="N412" s="10"/>
      <c r="O412" s="11">
        <v>0</v>
      </c>
      <c r="P412" s="10"/>
      <c r="Q412" s="10"/>
      <c r="R412" s="11">
        <v>0</v>
      </c>
      <c r="S412" s="10"/>
      <c r="T412" s="10"/>
      <c r="U412" s="11">
        <v>0</v>
      </c>
      <c r="V412" s="10"/>
      <c r="W412" s="10"/>
      <c r="X412" s="11">
        <v>0</v>
      </c>
      <c r="Y412" s="10"/>
      <c r="Z412" s="10"/>
      <c r="AA412" s="11"/>
      <c r="AB412" s="10"/>
      <c r="AC412" s="10"/>
      <c r="AD412" s="11">
        <v>0</v>
      </c>
      <c r="AE412" s="10"/>
      <c r="AF412" s="10"/>
      <c r="AG412" s="11">
        <v>0</v>
      </c>
      <c r="AH412" s="10"/>
      <c r="AI412" s="10"/>
      <c r="AJ412" s="11">
        <v>0</v>
      </c>
      <c r="AK412" s="10"/>
      <c r="AL412" s="10"/>
      <c r="AM412" s="11">
        <v>0</v>
      </c>
      <c r="AN412" s="10"/>
      <c r="AO412" s="10"/>
      <c r="AP412" s="11">
        <v>0</v>
      </c>
      <c r="AQ412" s="10"/>
      <c r="AR412" s="10"/>
      <c r="AS412" s="11">
        <v>0</v>
      </c>
      <c r="AT412" s="10"/>
      <c r="AU412" s="10"/>
      <c r="AV412" s="11">
        <v>0</v>
      </c>
      <c r="AW412" s="10"/>
      <c r="AX412" s="10"/>
      <c r="AY412" s="11">
        <v>0</v>
      </c>
      <c r="AZ412" s="10"/>
      <c r="BA412" s="10"/>
      <c r="BB412" s="11">
        <v>0</v>
      </c>
      <c r="BC412" s="10"/>
      <c r="BD412" s="10"/>
      <c r="BE412" s="11">
        <v>0</v>
      </c>
      <c r="BF412" s="10"/>
      <c r="BG412" s="10"/>
      <c r="BH412" s="11">
        <v>0</v>
      </c>
      <c r="BI412" s="10"/>
      <c r="BJ412" s="10"/>
      <c r="BK412" s="11">
        <v>0</v>
      </c>
      <c r="BL412" s="10"/>
      <c r="BM412" s="10"/>
      <c r="BN412" s="11">
        <v>0</v>
      </c>
      <c r="BO412" s="10"/>
      <c r="BP412" s="10"/>
      <c r="BQ412" s="11">
        <v>0</v>
      </c>
      <c r="BR412" s="10"/>
      <c r="BS412" s="10"/>
      <c r="BT412" s="11">
        <v>0</v>
      </c>
      <c r="BU412" s="10"/>
      <c r="BV412" s="10"/>
      <c r="BW412" s="11">
        <v>0</v>
      </c>
      <c r="BX412" s="10"/>
      <c r="BY412" s="10"/>
      <c r="BZ412" s="11">
        <v>0</v>
      </c>
      <c r="CA412" s="10"/>
      <c r="CB412" s="10"/>
      <c r="CC412" s="11">
        <v>0</v>
      </c>
      <c r="CD412" s="10"/>
      <c r="CE412" s="10"/>
      <c r="CF412" s="11">
        <v>0</v>
      </c>
      <c r="CG412" s="10"/>
      <c r="CH412" s="10"/>
      <c r="CI412" s="11">
        <v>0</v>
      </c>
      <c r="CJ412" s="10"/>
      <c r="CK412" s="10"/>
      <c r="CL412" s="11">
        <v>0</v>
      </c>
      <c r="CM412" s="10"/>
      <c r="CN412" s="10"/>
      <c r="CO412" s="11">
        <v>0</v>
      </c>
      <c r="CP412" s="10"/>
      <c r="CQ412" s="10"/>
      <c r="CR412" s="11">
        <v>0</v>
      </c>
      <c r="CS412" s="10"/>
      <c r="CT412" s="10"/>
      <c r="CU412" s="11">
        <v>0</v>
      </c>
      <c r="CV412" s="10"/>
      <c r="CW412" s="10"/>
      <c r="CX412" s="11">
        <v>0</v>
      </c>
      <c r="CY412" s="10"/>
      <c r="CZ412" s="10"/>
      <c r="DA412" s="11">
        <v>0</v>
      </c>
      <c r="DB412" s="10"/>
      <c r="DC412" s="10"/>
      <c r="DD412" s="13">
        <v>0</v>
      </c>
      <c r="DE412" s="14"/>
    </row>
    <row r="413" spans="1:109" x14ac:dyDescent="0.35">
      <c r="A413" s="8" t="s">
        <v>889</v>
      </c>
      <c r="B413" s="9" t="s">
        <v>48</v>
      </c>
      <c r="C413" s="9" t="s">
        <v>43</v>
      </c>
      <c r="D413" s="9" t="s">
        <v>890</v>
      </c>
      <c r="E413" s="9" t="s">
        <v>45</v>
      </c>
      <c r="F413" s="9" t="s">
        <v>46</v>
      </c>
      <c r="G413" s="10"/>
      <c r="H413" s="10"/>
      <c r="I413" s="11">
        <v>0</v>
      </c>
      <c r="J413" s="10"/>
      <c r="K413" s="10"/>
      <c r="L413" s="12">
        <v>0</v>
      </c>
      <c r="M413" s="10"/>
      <c r="N413" s="10"/>
      <c r="O413" s="11">
        <v>0</v>
      </c>
      <c r="P413" s="10"/>
      <c r="Q413" s="10"/>
      <c r="R413" s="11">
        <v>0</v>
      </c>
      <c r="S413" s="10"/>
      <c r="T413" s="10"/>
      <c r="U413" s="11">
        <v>0</v>
      </c>
      <c r="V413" s="10"/>
      <c r="W413" s="10"/>
      <c r="X413" s="11">
        <v>0</v>
      </c>
      <c r="Y413" s="10"/>
      <c r="Z413" s="10"/>
      <c r="AA413" s="11"/>
      <c r="AB413" s="10"/>
      <c r="AC413" s="10"/>
      <c r="AD413" s="11">
        <v>0</v>
      </c>
      <c r="AE413" s="10"/>
      <c r="AF413" s="10"/>
      <c r="AG413" s="11">
        <v>0</v>
      </c>
      <c r="AH413" s="10"/>
      <c r="AI413" s="10"/>
      <c r="AJ413" s="11">
        <v>0</v>
      </c>
      <c r="AK413" s="10"/>
      <c r="AL413" s="10"/>
      <c r="AM413" s="11">
        <v>0</v>
      </c>
      <c r="AN413" s="10"/>
      <c r="AO413" s="10"/>
      <c r="AP413" s="11">
        <v>0</v>
      </c>
      <c r="AQ413" s="10"/>
      <c r="AR413" s="10"/>
      <c r="AS413" s="11">
        <v>0</v>
      </c>
      <c r="AT413" s="10"/>
      <c r="AU413" s="10"/>
      <c r="AV413" s="11">
        <v>0</v>
      </c>
      <c r="AW413" s="10"/>
      <c r="AX413" s="10"/>
      <c r="AY413" s="11">
        <v>0</v>
      </c>
      <c r="AZ413" s="10"/>
      <c r="BA413" s="10"/>
      <c r="BB413" s="11">
        <v>0</v>
      </c>
      <c r="BC413" s="10"/>
      <c r="BD413" s="10"/>
      <c r="BE413" s="11">
        <v>0</v>
      </c>
      <c r="BF413" s="10"/>
      <c r="BG413" s="10"/>
      <c r="BH413" s="11">
        <v>0</v>
      </c>
      <c r="BI413" s="10"/>
      <c r="BJ413" s="10"/>
      <c r="BK413" s="11">
        <v>0</v>
      </c>
      <c r="BL413" s="10"/>
      <c r="BM413" s="10"/>
      <c r="BN413" s="11">
        <v>0</v>
      </c>
      <c r="BO413" s="10"/>
      <c r="BP413" s="10"/>
      <c r="BQ413" s="11">
        <v>0</v>
      </c>
      <c r="BR413" s="10"/>
      <c r="BS413" s="10"/>
      <c r="BT413" s="11">
        <v>0</v>
      </c>
      <c r="BU413" s="10"/>
      <c r="BV413" s="10"/>
      <c r="BW413" s="11">
        <v>0</v>
      </c>
      <c r="BX413" s="10"/>
      <c r="BY413" s="10"/>
      <c r="BZ413" s="11">
        <v>0</v>
      </c>
      <c r="CA413" s="10"/>
      <c r="CB413" s="10"/>
      <c r="CC413" s="11">
        <v>0</v>
      </c>
      <c r="CD413" s="10"/>
      <c r="CE413" s="10"/>
      <c r="CF413" s="11">
        <v>0</v>
      </c>
      <c r="CG413" s="10"/>
      <c r="CH413" s="10"/>
      <c r="CI413" s="11">
        <v>0</v>
      </c>
      <c r="CJ413" s="10"/>
      <c r="CK413" s="10"/>
      <c r="CL413" s="11">
        <v>0</v>
      </c>
      <c r="CM413" s="10"/>
      <c r="CN413" s="10"/>
      <c r="CO413" s="11">
        <v>0</v>
      </c>
      <c r="CP413" s="10"/>
      <c r="CQ413" s="10"/>
      <c r="CR413" s="11">
        <v>0</v>
      </c>
      <c r="CS413" s="10"/>
      <c r="CT413" s="10"/>
      <c r="CU413" s="11">
        <v>0</v>
      </c>
      <c r="CV413" s="10"/>
      <c r="CW413" s="10"/>
      <c r="CX413" s="11">
        <v>0</v>
      </c>
      <c r="CY413" s="10"/>
      <c r="CZ413" s="10"/>
      <c r="DA413" s="11">
        <v>0</v>
      </c>
      <c r="DB413" s="10"/>
      <c r="DC413" s="10"/>
      <c r="DD413" s="13">
        <v>0</v>
      </c>
      <c r="DE413" s="14"/>
    </row>
    <row r="414" spans="1:109" x14ac:dyDescent="0.35">
      <c r="A414" s="8" t="s">
        <v>891</v>
      </c>
      <c r="B414" s="9" t="s">
        <v>74</v>
      </c>
      <c r="C414" s="9" t="s">
        <v>52</v>
      </c>
      <c r="D414" s="9" t="s">
        <v>892</v>
      </c>
      <c r="E414" s="9" t="s">
        <v>54</v>
      </c>
      <c r="F414" s="9" t="s">
        <v>55</v>
      </c>
      <c r="G414" s="10"/>
      <c r="H414" s="10"/>
      <c r="I414" s="11">
        <v>0</v>
      </c>
      <c r="J414" s="10"/>
      <c r="K414" s="10"/>
      <c r="L414" s="12">
        <v>0</v>
      </c>
      <c r="M414" s="10"/>
      <c r="N414" s="10"/>
      <c r="O414" s="11">
        <v>0</v>
      </c>
      <c r="P414" s="10"/>
      <c r="Q414" s="10"/>
      <c r="R414" s="11">
        <v>0</v>
      </c>
      <c r="S414" s="10"/>
      <c r="T414" s="10"/>
      <c r="U414" s="11">
        <v>0</v>
      </c>
      <c r="V414" s="10"/>
      <c r="W414" s="10"/>
      <c r="X414" s="11">
        <v>0</v>
      </c>
      <c r="Y414" s="10"/>
      <c r="Z414" s="10"/>
      <c r="AA414" s="11"/>
      <c r="AB414" s="10"/>
      <c r="AC414" s="10"/>
      <c r="AD414" s="11">
        <v>0</v>
      </c>
      <c r="AE414" s="10"/>
      <c r="AF414" s="10"/>
      <c r="AG414" s="11">
        <v>0</v>
      </c>
      <c r="AH414" s="10"/>
      <c r="AI414" s="10"/>
      <c r="AJ414" s="11">
        <v>0</v>
      </c>
      <c r="AK414" s="10"/>
      <c r="AL414" s="10"/>
      <c r="AM414" s="11">
        <v>0</v>
      </c>
      <c r="AN414" s="10"/>
      <c r="AO414" s="10"/>
      <c r="AP414" s="11">
        <v>0</v>
      </c>
      <c r="AQ414" s="10"/>
      <c r="AR414" s="10"/>
      <c r="AS414" s="11">
        <v>0</v>
      </c>
      <c r="AT414" s="10"/>
      <c r="AU414" s="10"/>
      <c r="AV414" s="11">
        <v>0</v>
      </c>
      <c r="AW414" s="10"/>
      <c r="AX414" s="10"/>
      <c r="AY414" s="11">
        <v>0</v>
      </c>
      <c r="AZ414" s="10"/>
      <c r="BA414" s="10"/>
      <c r="BB414" s="11">
        <v>0</v>
      </c>
      <c r="BC414" s="10"/>
      <c r="BD414" s="10"/>
      <c r="BE414" s="11">
        <v>0</v>
      </c>
      <c r="BF414" s="10"/>
      <c r="BG414" s="10"/>
      <c r="BH414" s="11">
        <v>0</v>
      </c>
      <c r="BI414" s="10"/>
      <c r="BJ414" s="10"/>
      <c r="BK414" s="11">
        <v>0</v>
      </c>
      <c r="BL414" s="10"/>
      <c r="BM414" s="10"/>
      <c r="BN414" s="11">
        <v>0</v>
      </c>
      <c r="BO414" s="10"/>
      <c r="BP414" s="10"/>
      <c r="BQ414" s="11">
        <v>0</v>
      </c>
      <c r="BR414" s="10"/>
      <c r="BS414" s="10"/>
      <c r="BT414" s="11">
        <v>0</v>
      </c>
      <c r="BU414" s="10"/>
      <c r="BV414" s="10"/>
      <c r="BW414" s="11">
        <v>0</v>
      </c>
      <c r="BX414" s="10"/>
      <c r="BY414" s="10"/>
      <c r="BZ414" s="11">
        <v>0</v>
      </c>
      <c r="CA414" s="10"/>
      <c r="CB414" s="10"/>
      <c r="CC414" s="11">
        <v>0</v>
      </c>
      <c r="CD414" s="10"/>
      <c r="CE414" s="10"/>
      <c r="CF414" s="11">
        <v>0</v>
      </c>
      <c r="CG414" s="10"/>
      <c r="CH414" s="10"/>
      <c r="CI414" s="11">
        <v>0</v>
      </c>
      <c r="CJ414" s="10"/>
      <c r="CK414" s="10"/>
      <c r="CL414" s="11">
        <v>0</v>
      </c>
      <c r="CM414" s="10"/>
      <c r="CN414" s="10"/>
      <c r="CO414" s="11">
        <v>0</v>
      </c>
      <c r="CP414" s="10"/>
      <c r="CQ414" s="10"/>
      <c r="CR414" s="11">
        <v>0</v>
      </c>
      <c r="CS414" s="10"/>
      <c r="CT414" s="10"/>
      <c r="CU414" s="11">
        <v>0</v>
      </c>
      <c r="CV414" s="10"/>
      <c r="CW414" s="10"/>
      <c r="CX414" s="11">
        <v>0</v>
      </c>
      <c r="CY414" s="10"/>
      <c r="CZ414" s="10"/>
      <c r="DA414" s="11">
        <v>0</v>
      </c>
      <c r="DB414" s="10"/>
      <c r="DC414" s="10"/>
      <c r="DD414" s="13">
        <v>0</v>
      </c>
      <c r="DE414" s="14"/>
    </row>
    <row r="415" spans="1:109" x14ac:dyDescent="0.35">
      <c r="A415" s="8" t="s">
        <v>893</v>
      </c>
      <c r="B415" s="9" t="s">
        <v>51</v>
      </c>
      <c r="C415" s="9" t="s">
        <v>52</v>
      </c>
      <c r="D415" s="9" t="s">
        <v>894</v>
      </c>
      <c r="E415" s="9" t="s">
        <v>54</v>
      </c>
      <c r="F415" s="9" t="s">
        <v>55</v>
      </c>
      <c r="G415" s="10"/>
      <c r="H415" s="10"/>
      <c r="I415" s="11">
        <v>0</v>
      </c>
      <c r="J415" s="10"/>
      <c r="K415" s="10"/>
      <c r="L415" s="12">
        <v>0</v>
      </c>
      <c r="M415" s="10"/>
      <c r="N415" s="10"/>
      <c r="O415" s="11">
        <v>0</v>
      </c>
      <c r="P415" s="10"/>
      <c r="Q415" s="10"/>
      <c r="R415" s="11">
        <v>0</v>
      </c>
      <c r="S415" s="10"/>
      <c r="T415" s="10"/>
      <c r="U415" s="11">
        <v>0</v>
      </c>
      <c r="V415" s="10"/>
      <c r="W415" s="10"/>
      <c r="X415" s="11">
        <v>0</v>
      </c>
      <c r="Y415" s="10"/>
      <c r="Z415" s="10"/>
      <c r="AA415" s="11"/>
      <c r="AB415" s="10"/>
      <c r="AC415" s="10"/>
      <c r="AD415" s="11">
        <v>0</v>
      </c>
      <c r="AE415" s="10"/>
      <c r="AF415" s="10"/>
      <c r="AG415" s="11">
        <v>0</v>
      </c>
      <c r="AH415" s="10"/>
      <c r="AI415" s="10"/>
      <c r="AJ415" s="11">
        <v>0</v>
      </c>
      <c r="AK415" s="10"/>
      <c r="AL415" s="10"/>
      <c r="AM415" s="11">
        <v>0</v>
      </c>
      <c r="AN415" s="10"/>
      <c r="AO415" s="10"/>
      <c r="AP415" s="11">
        <v>0</v>
      </c>
      <c r="AQ415" s="10"/>
      <c r="AR415" s="10"/>
      <c r="AS415" s="11">
        <v>0</v>
      </c>
      <c r="AT415" s="10"/>
      <c r="AU415" s="10"/>
      <c r="AV415" s="11">
        <v>0</v>
      </c>
      <c r="AW415" s="10"/>
      <c r="AX415" s="10"/>
      <c r="AY415" s="11">
        <v>0</v>
      </c>
      <c r="AZ415" s="10"/>
      <c r="BA415" s="10"/>
      <c r="BB415" s="11">
        <v>0</v>
      </c>
      <c r="BC415" s="10"/>
      <c r="BD415" s="10"/>
      <c r="BE415" s="11">
        <v>0</v>
      </c>
      <c r="BF415" s="10"/>
      <c r="BG415" s="10"/>
      <c r="BH415" s="11">
        <v>0</v>
      </c>
      <c r="BI415" s="10"/>
      <c r="BJ415" s="10"/>
      <c r="BK415" s="11">
        <v>0</v>
      </c>
      <c r="BL415" s="10"/>
      <c r="BM415" s="10"/>
      <c r="BN415" s="11">
        <v>0</v>
      </c>
      <c r="BO415" s="10"/>
      <c r="BP415" s="10"/>
      <c r="BQ415" s="11">
        <v>0</v>
      </c>
      <c r="BR415" s="10"/>
      <c r="BS415" s="10"/>
      <c r="BT415" s="11">
        <v>0</v>
      </c>
      <c r="BU415" s="10"/>
      <c r="BV415" s="10"/>
      <c r="BW415" s="11">
        <v>0</v>
      </c>
      <c r="BX415" s="10"/>
      <c r="BY415" s="10"/>
      <c r="BZ415" s="11">
        <v>0</v>
      </c>
      <c r="CA415" s="10"/>
      <c r="CB415" s="10"/>
      <c r="CC415" s="11">
        <v>0</v>
      </c>
      <c r="CD415" s="10"/>
      <c r="CE415" s="10"/>
      <c r="CF415" s="11">
        <v>0</v>
      </c>
      <c r="CG415" s="10"/>
      <c r="CH415" s="10"/>
      <c r="CI415" s="11">
        <v>0</v>
      </c>
      <c r="CJ415" s="10"/>
      <c r="CK415" s="10"/>
      <c r="CL415" s="11">
        <v>0</v>
      </c>
      <c r="CM415" s="10"/>
      <c r="CN415" s="10"/>
      <c r="CO415" s="11">
        <v>0</v>
      </c>
      <c r="CP415" s="10"/>
      <c r="CQ415" s="10"/>
      <c r="CR415" s="11">
        <v>0</v>
      </c>
      <c r="CS415" s="10"/>
      <c r="CT415" s="10"/>
      <c r="CU415" s="11">
        <v>0</v>
      </c>
      <c r="CV415" s="10"/>
      <c r="CW415" s="10"/>
      <c r="CX415" s="11">
        <v>0</v>
      </c>
      <c r="CY415" s="10"/>
      <c r="CZ415" s="10"/>
      <c r="DA415" s="11">
        <v>0</v>
      </c>
      <c r="DB415" s="10"/>
      <c r="DC415" s="10"/>
      <c r="DD415" s="13">
        <v>0</v>
      </c>
      <c r="DE415" s="14"/>
    </row>
    <row r="416" spans="1:109" x14ac:dyDescent="0.35">
      <c r="A416" s="8" t="s">
        <v>895</v>
      </c>
      <c r="B416" s="9" t="s">
        <v>118</v>
      </c>
      <c r="C416" s="9" t="s">
        <v>43</v>
      </c>
      <c r="D416" s="9" t="s">
        <v>896</v>
      </c>
      <c r="E416" s="9" t="s">
        <v>61</v>
      </c>
      <c r="F416" s="9" t="s">
        <v>62</v>
      </c>
      <c r="G416" s="10"/>
      <c r="H416" s="10"/>
      <c r="I416" s="11">
        <v>0</v>
      </c>
      <c r="J416" s="10"/>
      <c r="K416" s="10"/>
      <c r="L416" s="12">
        <v>0</v>
      </c>
      <c r="M416" s="10"/>
      <c r="N416" s="10"/>
      <c r="O416" s="11">
        <v>0</v>
      </c>
      <c r="P416" s="10"/>
      <c r="Q416" s="10"/>
      <c r="R416" s="11">
        <v>0</v>
      </c>
      <c r="S416" s="10"/>
      <c r="T416" s="10"/>
      <c r="U416" s="11">
        <v>0</v>
      </c>
      <c r="V416" s="10"/>
      <c r="W416" s="10"/>
      <c r="X416" s="11">
        <v>0</v>
      </c>
      <c r="Y416" s="10"/>
      <c r="Z416" s="10"/>
      <c r="AA416" s="11"/>
      <c r="AB416" s="10"/>
      <c r="AC416" s="10"/>
      <c r="AD416" s="11">
        <v>0</v>
      </c>
      <c r="AE416" s="10"/>
      <c r="AF416" s="10"/>
      <c r="AG416" s="11">
        <v>0</v>
      </c>
      <c r="AH416" s="10"/>
      <c r="AI416" s="10"/>
      <c r="AJ416" s="11">
        <v>0</v>
      </c>
      <c r="AK416" s="10"/>
      <c r="AL416" s="10"/>
      <c r="AM416" s="11">
        <v>0</v>
      </c>
      <c r="AN416" s="10"/>
      <c r="AO416" s="10"/>
      <c r="AP416" s="11">
        <v>0</v>
      </c>
      <c r="AQ416" s="10"/>
      <c r="AR416" s="10"/>
      <c r="AS416" s="11">
        <v>0</v>
      </c>
      <c r="AT416" s="10"/>
      <c r="AU416" s="10"/>
      <c r="AV416" s="11">
        <v>0</v>
      </c>
      <c r="AW416" s="10"/>
      <c r="AX416" s="10"/>
      <c r="AY416" s="11">
        <v>0</v>
      </c>
      <c r="AZ416" s="10"/>
      <c r="BA416" s="10"/>
      <c r="BB416" s="11">
        <v>0</v>
      </c>
      <c r="BC416" s="10"/>
      <c r="BD416" s="10"/>
      <c r="BE416" s="11">
        <v>0</v>
      </c>
      <c r="BF416" s="10"/>
      <c r="BG416" s="10"/>
      <c r="BH416" s="11">
        <v>0</v>
      </c>
      <c r="BI416" s="10"/>
      <c r="BJ416" s="10"/>
      <c r="BK416" s="11">
        <v>0</v>
      </c>
      <c r="BL416" s="10"/>
      <c r="BM416" s="10"/>
      <c r="BN416" s="11">
        <v>0</v>
      </c>
      <c r="BO416" s="10"/>
      <c r="BP416" s="10"/>
      <c r="BQ416" s="11">
        <v>0</v>
      </c>
      <c r="BR416" s="10"/>
      <c r="BS416" s="10"/>
      <c r="BT416" s="11">
        <v>0</v>
      </c>
      <c r="BU416" s="10"/>
      <c r="BV416" s="10"/>
      <c r="BW416" s="11">
        <v>0</v>
      </c>
      <c r="BX416" s="10"/>
      <c r="BY416" s="10"/>
      <c r="BZ416" s="11">
        <v>0</v>
      </c>
      <c r="CA416" s="10"/>
      <c r="CB416" s="10"/>
      <c r="CC416" s="11">
        <v>0</v>
      </c>
      <c r="CD416" s="10"/>
      <c r="CE416" s="10"/>
      <c r="CF416" s="11">
        <v>0</v>
      </c>
      <c r="CG416" s="10"/>
      <c r="CH416" s="10"/>
      <c r="CI416" s="11">
        <v>0</v>
      </c>
      <c r="CJ416" s="10"/>
      <c r="CK416" s="10"/>
      <c r="CL416" s="11">
        <v>0</v>
      </c>
      <c r="CM416" s="10"/>
      <c r="CN416" s="10"/>
      <c r="CO416" s="11">
        <v>0</v>
      </c>
      <c r="CP416" s="10"/>
      <c r="CQ416" s="10"/>
      <c r="CR416" s="11">
        <v>0</v>
      </c>
      <c r="CS416" s="10"/>
      <c r="CT416" s="10"/>
      <c r="CU416" s="11">
        <v>0</v>
      </c>
      <c r="CV416" s="10"/>
      <c r="CW416" s="10"/>
      <c r="CX416" s="11">
        <v>0</v>
      </c>
      <c r="CY416" s="10"/>
      <c r="CZ416" s="10"/>
      <c r="DA416" s="11">
        <v>0</v>
      </c>
      <c r="DB416" s="10"/>
      <c r="DC416" s="10"/>
      <c r="DD416" s="13">
        <v>0</v>
      </c>
      <c r="DE416" s="14"/>
    </row>
    <row r="417" spans="1:109" x14ac:dyDescent="0.35">
      <c r="A417" s="8" t="s">
        <v>897</v>
      </c>
      <c r="B417" s="9" t="s">
        <v>51</v>
      </c>
      <c r="C417" s="9" t="s">
        <v>52</v>
      </c>
      <c r="D417" s="9" t="s">
        <v>898</v>
      </c>
      <c r="E417" s="9" t="s">
        <v>54</v>
      </c>
      <c r="F417" s="9" t="s">
        <v>55</v>
      </c>
      <c r="G417" s="10"/>
      <c r="H417" s="10"/>
      <c r="I417" s="11">
        <v>0</v>
      </c>
      <c r="J417" s="10"/>
      <c r="K417" s="10"/>
      <c r="L417" s="12">
        <v>0</v>
      </c>
      <c r="M417" s="10"/>
      <c r="N417" s="10"/>
      <c r="O417" s="11">
        <v>0</v>
      </c>
      <c r="P417" s="10"/>
      <c r="Q417" s="10"/>
      <c r="R417" s="11">
        <v>0</v>
      </c>
      <c r="S417" s="10"/>
      <c r="T417" s="10"/>
      <c r="U417" s="11">
        <v>0</v>
      </c>
      <c r="V417" s="10"/>
      <c r="W417" s="10"/>
      <c r="X417" s="11">
        <v>0</v>
      </c>
      <c r="Y417" s="10"/>
      <c r="Z417" s="10"/>
      <c r="AA417" s="11"/>
      <c r="AB417" s="10"/>
      <c r="AC417" s="10"/>
      <c r="AD417" s="11">
        <v>0</v>
      </c>
      <c r="AE417" s="10"/>
      <c r="AF417" s="10"/>
      <c r="AG417" s="11">
        <v>0</v>
      </c>
      <c r="AH417" s="10"/>
      <c r="AI417" s="10"/>
      <c r="AJ417" s="11">
        <v>0</v>
      </c>
      <c r="AK417" s="10"/>
      <c r="AL417" s="10"/>
      <c r="AM417" s="11">
        <v>0</v>
      </c>
      <c r="AN417" s="10"/>
      <c r="AO417" s="10"/>
      <c r="AP417" s="11">
        <v>0</v>
      </c>
      <c r="AQ417" s="10"/>
      <c r="AR417" s="10"/>
      <c r="AS417" s="11">
        <v>0</v>
      </c>
      <c r="AT417" s="10"/>
      <c r="AU417" s="10"/>
      <c r="AV417" s="11">
        <v>0</v>
      </c>
      <c r="AW417" s="10"/>
      <c r="AX417" s="10"/>
      <c r="AY417" s="11">
        <v>0</v>
      </c>
      <c r="AZ417" s="10"/>
      <c r="BA417" s="10"/>
      <c r="BB417" s="11">
        <v>0</v>
      </c>
      <c r="BC417" s="10"/>
      <c r="BD417" s="10"/>
      <c r="BE417" s="11">
        <v>0</v>
      </c>
      <c r="BF417" s="10"/>
      <c r="BG417" s="10"/>
      <c r="BH417" s="11">
        <v>0</v>
      </c>
      <c r="BI417" s="10"/>
      <c r="BJ417" s="10"/>
      <c r="BK417" s="11">
        <v>0</v>
      </c>
      <c r="BL417" s="10"/>
      <c r="BM417" s="10"/>
      <c r="BN417" s="11">
        <v>0</v>
      </c>
      <c r="BO417" s="10"/>
      <c r="BP417" s="10"/>
      <c r="BQ417" s="11">
        <v>0</v>
      </c>
      <c r="BR417" s="10"/>
      <c r="BS417" s="10"/>
      <c r="BT417" s="11">
        <v>0</v>
      </c>
      <c r="BU417" s="10"/>
      <c r="BV417" s="10"/>
      <c r="BW417" s="11">
        <v>0</v>
      </c>
      <c r="BX417" s="10"/>
      <c r="BY417" s="10"/>
      <c r="BZ417" s="11">
        <v>0</v>
      </c>
      <c r="CA417" s="10"/>
      <c r="CB417" s="10"/>
      <c r="CC417" s="11">
        <v>0</v>
      </c>
      <c r="CD417" s="10"/>
      <c r="CE417" s="10"/>
      <c r="CF417" s="11">
        <v>0</v>
      </c>
      <c r="CG417" s="10"/>
      <c r="CH417" s="10"/>
      <c r="CI417" s="11">
        <v>0</v>
      </c>
      <c r="CJ417" s="10"/>
      <c r="CK417" s="10"/>
      <c r="CL417" s="11">
        <v>0</v>
      </c>
      <c r="CM417" s="10"/>
      <c r="CN417" s="10"/>
      <c r="CO417" s="11">
        <v>0</v>
      </c>
      <c r="CP417" s="10"/>
      <c r="CQ417" s="10"/>
      <c r="CR417" s="11">
        <v>0</v>
      </c>
      <c r="CS417" s="10"/>
      <c r="CT417" s="10"/>
      <c r="CU417" s="11">
        <v>0</v>
      </c>
      <c r="CV417" s="10"/>
      <c r="CW417" s="10"/>
      <c r="CX417" s="11">
        <v>0</v>
      </c>
      <c r="CY417" s="10"/>
      <c r="CZ417" s="10"/>
      <c r="DA417" s="11">
        <v>0</v>
      </c>
      <c r="DB417" s="10"/>
      <c r="DC417" s="10"/>
      <c r="DD417" s="13">
        <v>0</v>
      </c>
      <c r="DE417" s="14"/>
    </row>
    <row r="418" spans="1:109" x14ac:dyDescent="0.35">
      <c r="A418" s="8" t="s">
        <v>899</v>
      </c>
      <c r="B418" s="9" t="s">
        <v>48</v>
      </c>
      <c r="C418" s="9" t="s">
        <v>43</v>
      </c>
      <c r="D418" s="9" t="s">
        <v>900</v>
      </c>
      <c r="E418" s="9" t="s">
        <v>45</v>
      </c>
      <c r="F418" s="9" t="s">
        <v>46</v>
      </c>
      <c r="G418" s="10"/>
      <c r="H418" s="10"/>
      <c r="I418" s="11">
        <v>0</v>
      </c>
      <c r="J418" s="10"/>
      <c r="K418" s="10"/>
      <c r="L418" s="12">
        <v>0</v>
      </c>
      <c r="M418" s="10"/>
      <c r="N418" s="10"/>
      <c r="O418" s="11">
        <v>0</v>
      </c>
      <c r="P418" s="10"/>
      <c r="Q418" s="10"/>
      <c r="R418" s="11">
        <v>0</v>
      </c>
      <c r="S418" s="10"/>
      <c r="T418" s="10"/>
      <c r="U418" s="11">
        <v>0</v>
      </c>
      <c r="V418" s="10"/>
      <c r="W418" s="10"/>
      <c r="X418" s="11">
        <v>0</v>
      </c>
      <c r="Y418" s="10"/>
      <c r="Z418" s="10"/>
      <c r="AA418" s="11"/>
      <c r="AB418" s="10"/>
      <c r="AC418" s="10"/>
      <c r="AD418" s="11">
        <v>0</v>
      </c>
      <c r="AE418" s="10"/>
      <c r="AF418" s="10"/>
      <c r="AG418" s="11">
        <v>0</v>
      </c>
      <c r="AH418" s="10"/>
      <c r="AI418" s="10"/>
      <c r="AJ418" s="11">
        <v>0</v>
      </c>
      <c r="AK418" s="10"/>
      <c r="AL418" s="10"/>
      <c r="AM418" s="11">
        <v>0</v>
      </c>
      <c r="AN418" s="10"/>
      <c r="AO418" s="10"/>
      <c r="AP418" s="11">
        <v>0</v>
      </c>
      <c r="AQ418" s="10"/>
      <c r="AR418" s="10"/>
      <c r="AS418" s="11">
        <v>0</v>
      </c>
      <c r="AT418" s="10"/>
      <c r="AU418" s="10"/>
      <c r="AV418" s="11">
        <v>0</v>
      </c>
      <c r="AW418" s="10"/>
      <c r="AX418" s="10"/>
      <c r="AY418" s="11">
        <v>0</v>
      </c>
      <c r="AZ418" s="10"/>
      <c r="BA418" s="10"/>
      <c r="BB418" s="11">
        <v>0</v>
      </c>
      <c r="BC418" s="10"/>
      <c r="BD418" s="10"/>
      <c r="BE418" s="11">
        <v>0</v>
      </c>
      <c r="BF418" s="10"/>
      <c r="BG418" s="10"/>
      <c r="BH418" s="11">
        <v>0</v>
      </c>
      <c r="BI418" s="10"/>
      <c r="BJ418" s="10"/>
      <c r="BK418" s="11">
        <v>0</v>
      </c>
      <c r="BL418" s="10"/>
      <c r="BM418" s="10"/>
      <c r="BN418" s="11">
        <v>0</v>
      </c>
      <c r="BO418" s="10"/>
      <c r="BP418" s="10"/>
      <c r="BQ418" s="11">
        <v>0</v>
      </c>
      <c r="BR418" s="10"/>
      <c r="BS418" s="10"/>
      <c r="BT418" s="11">
        <v>0</v>
      </c>
      <c r="BU418" s="10"/>
      <c r="BV418" s="10"/>
      <c r="BW418" s="11">
        <v>0</v>
      </c>
      <c r="BX418" s="10"/>
      <c r="BY418" s="10"/>
      <c r="BZ418" s="11">
        <v>0</v>
      </c>
      <c r="CA418" s="10"/>
      <c r="CB418" s="10"/>
      <c r="CC418" s="11">
        <v>0</v>
      </c>
      <c r="CD418" s="10"/>
      <c r="CE418" s="10"/>
      <c r="CF418" s="11">
        <v>0</v>
      </c>
      <c r="CG418" s="10"/>
      <c r="CH418" s="10"/>
      <c r="CI418" s="11">
        <v>0</v>
      </c>
      <c r="CJ418" s="10"/>
      <c r="CK418" s="10"/>
      <c r="CL418" s="11">
        <v>0</v>
      </c>
      <c r="CM418" s="10"/>
      <c r="CN418" s="10"/>
      <c r="CO418" s="11">
        <v>0</v>
      </c>
      <c r="CP418" s="10"/>
      <c r="CQ418" s="10"/>
      <c r="CR418" s="11">
        <v>0</v>
      </c>
      <c r="CS418" s="10"/>
      <c r="CT418" s="10"/>
      <c r="CU418" s="11">
        <v>0</v>
      </c>
      <c r="CV418" s="10"/>
      <c r="CW418" s="10"/>
      <c r="CX418" s="11">
        <v>0</v>
      </c>
      <c r="CY418" s="10"/>
      <c r="CZ418" s="10"/>
      <c r="DA418" s="11">
        <v>0</v>
      </c>
      <c r="DB418" s="10"/>
      <c r="DC418" s="10"/>
      <c r="DD418" s="13">
        <v>0</v>
      </c>
      <c r="DE418" s="14"/>
    </row>
    <row r="419" spans="1:109" x14ac:dyDescent="0.35">
      <c r="A419" s="8" t="s">
        <v>901</v>
      </c>
      <c r="B419" s="9" t="s">
        <v>140</v>
      </c>
      <c r="C419" s="9" t="s">
        <v>43</v>
      </c>
      <c r="D419" s="9" t="s">
        <v>902</v>
      </c>
      <c r="E419" s="9" t="s">
        <v>45</v>
      </c>
      <c r="F419" s="9" t="s">
        <v>46</v>
      </c>
      <c r="G419" s="10"/>
      <c r="H419" s="10"/>
      <c r="I419" s="11">
        <v>0</v>
      </c>
      <c r="J419" s="10"/>
      <c r="K419" s="10"/>
      <c r="L419" s="12">
        <v>0</v>
      </c>
      <c r="M419" s="10"/>
      <c r="N419" s="10"/>
      <c r="O419" s="11">
        <v>0</v>
      </c>
      <c r="P419" s="10"/>
      <c r="Q419" s="10"/>
      <c r="R419" s="11">
        <v>0</v>
      </c>
      <c r="S419" s="10"/>
      <c r="T419" s="10"/>
      <c r="U419" s="11">
        <v>0</v>
      </c>
      <c r="V419" s="10"/>
      <c r="W419" s="10"/>
      <c r="X419" s="11">
        <v>0</v>
      </c>
      <c r="Y419" s="10"/>
      <c r="Z419" s="10"/>
      <c r="AA419" s="11"/>
      <c r="AB419" s="10"/>
      <c r="AC419" s="10"/>
      <c r="AD419" s="11">
        <v>0</v>
      </c>
      <c r="AE419" s="10"/>
      <c r="AF419" s="10"/>
      <c r="AG419" s="11">
        <v>0</v>
      </c>
      <c r="AH419" s="10"/>
      <c r="AI419" s="10"/>
      <c r="AJ419" s="11">
        <v>0</v>
      </c>
      <c r="AK419" s="10"/>
      <c r="AL419" s="10"/>
      <c r="AM419" s="11">
        <v>0</v>
      </c>
      <c r="AN419" s="10"/>
      <c r="AO419" s="10"/>
      <c r="AP419" s="11">
        <v>0</v>
      </c>
      <c r="AQ419" s="10"/>
      <c r="AR419" s="10"/>
      <c r="AS419" s="11">
        <v>0</v>
      </c>
      <c r="AT419" s="10"/>
      <c r="AU419" s="10"/>
      <c r="AV419" s="11">
        <v>0</v>
      </c>
      <c r="AW419" s="10"/>
      <c r="AX419" s="10"/>
      <c r="AY419" s="11">
        <v>0</v>
      </c>
      <c r="AZ419" s="10"/>
      <c r="BA419" s="10"/>
      <c r="BB419" s="11">
        <v>0</v>
      </c>
      <c r="BC419" s="10"/>
      <c r="BD419" s="10"/>
      <c r="BE419" s="11">
        <v>0</v>
      </c>
      <c r="BF419" s="10"/>
      <c r="BG419" s="10"/>
      <c r="BH419" s="11">
        <v>0</v>
      </c>
      <c r="BI419" s="10"/>
      <c r="BJ419" s="10"/>
      <c r="BK419" s="11">
        <v>0</v>
      </c>
      <c r="BL419" s="10"/>
      <c r="BM419" s="10"/>
      <c r="BN419" s="11">
        <v>0</v>
      </c>
      <c r="BO419" s="10"/>
      <c r="BP419" s="10"/>
      <c r="BQ419" s="11">
        <v>0</v>
      </c>
      <c r="BR419" s="10"/>
      <c r="BS419" s="10"/>
      <c r="BT419" s="11">
        <v>0</v>
      </c>
      <c r="BU419" s="10"/>
      <c r="BV419" s="10"/>
      <c r="BW419" s="11">
        <v>0</v>
      </c>
      <c r="BX419" s="10"/>
      <c r="BY419" s="10"/>
      <c r="BZ419" s="11">
        <v>0</v>
      </c>
      <c r="CA419" s="10"/>
      <c r="CB419" s="10"/>
      <c r="CC419" s="11">
        <v>0</v>
      </c>
      <c r="CD419" s="10"/>
      <c r="CE419" s="10"/>
      <c r="CF419" s="11">
        <v>0</v>
      </c>
      <c r="CG419" s="10"/>
      <c r="CH419" s="10"/>
      <c r="CI419" s="11">
        <v>0</v>
      </c>
      <c r="CJ419" s="10"/>
      <c r="CK419" s="10"/>
      <c r="CL419" s="11">
        <v>0</v>
      </c>
      <c r="CM419" s="10"/>
      <c r="CN419" s="10"/>
      <c r="CO419" s="11">
        <v>0</v>
      </c>
      <c r="CP419" s="10"/>
      <c r="CQ419" s="10"/>
      <c r="CR419" s="11">
        <v>0</v>
      </c>
      <c r="CS419" s="10"/>
      <c r="CT419" s="10"/>
      <c r="CU419" s="11">
        <v>0</v>
      </c>
      <c r="CV419" s="10"/>
      <c r="CW419" s="10"/>
      <c r="CX419" s="11">
        <v>0</v>
      </c>
      <c r="CY419" s="10"/>
      <c r="CZ419" s="10"/>
      <c r="DA419" s="11">
        <v>0</v>
      </c>
      <c r="DB419" s="10"/>
      <c r="DC419" s="10"/>
      <c r="DD419" s="13">
        <v>0</v>
      </c>
      <c r="DE419" s="14"/>
    </row>
    <row r="420" spans="1:109" x14ac:dyDescent="0.35">
      <c r="A420" s="8" t="s">
        <v>903</v>
      </c>
      <c r="B420" s="9" t="s">
        <v>172</v>
      </c>
      <c r="C420" s="9" t="s">
        <v>52</v>
      </c>
      <c r="D420" s="9" t="s">
        <v>904</v>
      </c>
      <c r="E420" s="9" t="s">
        <v>54</v>
      </c>
      <c r="F420" s="9" t="s">
        <v>55</v>
      </c>
      <c r="G420" s="10"/>
      <c r="H420" s="10"/>
      <c r="I420" s="11">
        <v>0</v>
      </c>
      <c r="J420" s="10"/>
      <c r="K420" s="10"/>
      <c r="L420" s="12">
        <v>0</v>
      </c>
      <c r="M420" s="10"/>
      <c r="N420" s="10"/>
      <c r="O420" s="11">
        <v>0</v>
      </c>
      <c r="P420" s="10"/>
      <c r="Q420" s="10"/>
      <c r="R420" s="11">
        <v>0</v>
      </c>
      <c r="S420" s="10"/>
      <c r="T420" s="10"/>
      <c r="U420" s="11">
        <v>0</v>
      </c>
      <c r="V420" s="10"/>
      <c r="W420" s="10"/>
      <c r="X420" s="11">
        <v>0</v>
      </c>
      <c r="Y420" s="10"/>
      <c r="Z420" s="10"/>
      <c r="AA420" s="11"/>
      <c r="AB420" s="10"/>
      <c r="AC420" s="10"/>
      <c r="AD420" s="11">
        <v>0</v>
      </c>
      <c r="AE420" s="10"/>
      <c r="AF420" s="10"/>
      <c r="AG420" s="11">
        <v>0</v>
      </c>
      <c r="AH420" s="10"/>
      <c r="AI420" s="10"/>
      <c r="AJ420" s="11">
        <v>0</v>
      </c>
      <c r="AK420" s="10"/>
      <c r="AL420" s="10"/>
      <c r="AM420" s="11">
        <v>0</v>
      </c>
      <c r="AN420" s="10"/>
      <c r="AO420" s="10"/>
      <c r="AP420" s="11">
        <v>0</v>
      </c>
      <c r="AQ420" s="10"/>
      <c r="AR420" s="10"/>
      <c r="AS420" s="11">
        <v>0</v>
      </c>
      <c r="AT420" s="10"/>
      <c r="AU420" s="10"/>
      <c r="AV420" s="11">
        <v>0</v>
      </c>
      <c r="AW420" s="10"/>
      <c r="AX420" s="10"/>
      <c r="AY420" s="11">
        <v>0</v>
      </c>
      <c r="AZ420" s="10"/>
      <c r="BA420" s="10"/>
      <c r="BB420" s="11">
        <v>0</v>
      </c>
      <c r="BC420" s="10"/>
      <c r="BD420" s="10"/>
      <c r="BE420" s="11">
        <v>0</v>
      </c>
      <c r="BF420" s="10"/>
      <c r="BG420" s="10"/>
      <c r="BH420" s="11">
        <v>0</v>
      </c>
      <c r="BI420" s="10"/>
      <c r="BJ420" s="10"/>
      <c r="BK420" s="11">
        <v>0</v>
      </c>
      <c r="BL420" s="10"/>
      <c r="BM420" s="10"/>
      <c r="BN420" s="11">
        <v>0</v>
      </c>
      <c r="BO420" s="10"/>
      <c r="BP420" s="10"/>
      <c r="BQ420" s="11">
        <v>0</v>
      </c>
      <c r="BR420" s="10"/>
      <c r="BS420" s="10"/>
      <c r="BT420" s="11">
        <v>0</v>
      </c>
      <c r="BU420" s="10"/>
      <c r="BV420" s="10"/>
      <c r="BW420" s="11">
        <v>0</v>
      </c>
      <c r="BX420" s="10"/>
      <c r="BY420" s="10"/>
      <c r="BZ420" s="11">
        <v>0</v>
      </c>
      <c r="CA420" s="10"/>
      <c r="CB420" s="10"/>
      <c r="CC420" s="11">
        <v>0</v>
      </c>
      <c r="CD420" s="10"/>
      <c r="CE420" s="10"/>
      <c r="CF420" s="11">
        <v>0</v>
      </c>
      <c r="CG420" s="10"/>
      <c r="CH420" s="10"/>
      <c r="CI420" s="11">
        <v>0</v>
      </c>
      <c r="CJ420" s="10"/>
      <c r="CK420" s="10"/>
      <c r="CL420" s="11">
        <v>0</v>
      </c>
      <c r="CM420" s="10"/>
      <c r="CN420" s="10"/>
      <c r="CO420" s="11">
        <v>0</v>
      </c>
      <c r="CP420" s="10"/>
      <c r="CQ420" s="10"/>
      <c r="CR420" s="11">
        <v>0</v>
      </c>
      <c r="CS420" s="10"/>
      <c r="CT420" s="10"/>
      <c r="CU420" s="11">
        <v>0</v>
      </c>
      <c r="CV420" s="10"/>
      <c r="CW420" s="10"/>
      <c r="CX420" s="11">
        <v>0</v>
      </c>
      <c r="CY420" s="10"/>
      <c r="CZ420" s="10"/>
      <c r="DA420" s="11">
        <v>0</v>
      </c>
      <c r="DB420" s="10"/>
      <c r="DC420" s="10"/>
      <c r="DD420" s="13">
        <v>0</v>
      </c>
      <c r="DE420" s="14"/>
    </row>
    <row r="421" spans="1:109" x14ac:dyDescent="0.35">
      <c r="A421" s="8" t="s">
        <v>905</v>
      </c>
      <c r="B421" s="9" t="s">
        <v>140</v>
      </c>
      <c r="C421" s="9" t="s">
        <v>43</v>
      </c>
      <c r="D421" s="9" t="s">
        <v>906</v>
      </c>
      <c r="E421" s="9" t="s">
        <v>45</v>
      </c>
      <c r="F421" s="9" t="s">
        <v>46</v>
      </c>
      <c r="G421" s="10"/>
      <c r="H421" s="10"/>
      <c r="I421" s="11">
        <v>0</v>
      </c>
      <c r="J421" s="10"/>
      <c r="K421" s="10"/>
      <c r="L421" s="12">
        <v>0</v>
      </c>
      <c r="M421" s="10"/>
      <c r="N421" s="10"/>
      <c r="O421" s="11">
        <v>0</v>
      </c>
      <c r="P421" s="10"/>
      <c r="Q421" s="10"/>
      <c r="R421" s="11">
        <v>0</v>
      </c>
      <c r="S421" s="10"/>
      <c r="T421" s="10"/>
      <c r="U421" s="11">
        <v>0</v>
      </c>
      <c r="V421" s="10"/>
      <c r="W421" s="10"/>
      <c r="X421" s="11">
        <v>0</v>
      </c>
      <c r="Y421" s="10"/>
      <c r="Z421" s="10"/>
      <c r="AA421" s="11"/>
      <c r="AB421" s="10"/>
      <c r="AC421" s="10"/>
      <c r="AD421" s="11">
        <v>0</v>
      </c>
      <c r="AE421" s="10"/>
      <c r="AF421" s="10"/>
      <c r="AG421" s="11">
        <v>0</v>
      </c>
      <c r="AH421" s="10"/>
      <c r="AI421" s="10"/>
      <c r="AJ421" s="11">
        <v>0</v>
      </c>
      <c r="AK421" s="10"/>
      <c r="AL421" s="10"/>
      <c r="AM421" s="11">
        <v>0</v>
      </c>
      <c r="AN421" s="10"/>
      <c r="AO421" s="10"/>
      <c r="AP421" s="11">
        <v>0</v>
      </c>
      <c r="AQ421" s="10"/>
      <c r="AR421" s="10"/>
      <c r="AS421" s="11">
        <v>0</v>
      </c>
      <c r="AT421" s="10"/>
      <c r="AU421" s="10"/>
      <c r="AV421" s="11">
        <v>0</v>
      </c>
      <c r="AW421" s="10"/>
      <c r="AX421" s="10"/>
      <c r="AY421" s="11">
        <v>0</v>
      </c>
      <c r="AZ421" s="10"/>
      <c r="BA421" s="10"/>
      <c r="BB421" s="11">
        <v>0</v>
      </c>
      <c r="BC421" s="10"/>
      <c r="BD421" s="10"/>
      <c r="BE421" s="11">
        <v>0</v>
      </c>
      <c r="BF421" s="10"/>
      <c r="BG421" s="10"/>
      <c r="BH421" s="11">
        <v>0</v>
      </c>
      <c r="BI421" s="10"/>
      <c r="BJ421" s="10"/>
      <c r="BK421" s="11">
        <v>0</v>
      </c>
      <c r="BL421" s="10"/>
      <c r="BM421" s="10"/>
      <c r="BN421" s="11">
        <v>0</v>
      </c>
      <c r="BO421" s="10"/>
      <c r="BP421" s="10"/>
      <c r="BQ421" s="11">
        <v>0</v>
      </c>
      <c r="BR421" s="10"/>
      <c r="BS421" s="10"/>
      <c r="BT421" s="11">
        <v>0</v>
      </c>
      <c r="BU421" s="10"/>
      <c r="BV421" s="10"/>
      <c r="BW421" s="11">
        <v>0</v>
      </c>
      <c r="BX421" s="10"/>
      <c r="BY421" s="10"/>
      <c r="BZ421" s="11">
        <v>0</v>
      </c>
      <c r="CA421" s="10"/>
      <c r="CB421" s="10"/>
      <c r="CC421" s="11">
        <v>0</v>
      </c>
      <c r="CD421" s="10"/>
      <c r="CE421" s="10"/>
      <c r="CF421" s="11">
        <v>0</v>
      </c>
      <c r="CG421" s="10"/>
      <c r="CH421" s="10"/>
      <c r="CI421" s="11">
        <v>0</v>
      </c>
      <c r="CJ421" s="10"/>
      <c r="CK421" s="10"/>
      <c r="CL421" s="11">
        <v>0</v>
      </c>
      <c r="CM421" s="10"/>
      <c r="CN421" s="10"/>
      <c r="CO421" s="11">
        <v>0</v>
      </c>
      <c r="CP421" s="10"/>
      <c r="CQ421" s="10"/>
      <c r="CR421" s="11">
        <v>0</v>
      </c>
      <c r="CS421" s="10"/>
      <c r="CT421" s="10"/>
      <c r="CU421" s="11">
        <v>0</v>
      </c>
      <c r="CV421" s="10"/>
      <c r="CW421" s="10"/>
      <c r="CX421" s="11">
        <v>0</v>
      </c>
      <c r="CY421" s="10"/>
      <c r="CZ421" s="10"/>
      <c r="DA421" s="11">
        <v>0</v>
      </c>
      <c r="DB421" s="10"/>
      <c r="DC421" s="10"/>
      <c r="DD421" s="13">
        <v>0</v>
      </c>
      <c r="DE421" s="14"/>
    </row>
    <row r="422" spans="1:109" x14ac:dyDescent="0.35">
      <c r="A422" s="8" t="s">
        <v>907</v>
      </c>
      <c r="B422" s="9" t="s">
        <v>51</v>
      </c>
      <c r="C422" s="9" t="s">
        <v>52</v>
      </c>
      <c r="D422" s="9" t="s">
        <v>908</v>
      </c>
      <c r="E422" s="9" t="s">
        <v>54</v>
      </c>
      <c r="F422" s="9" t="s">
        <v>55</v>
      </c>
      <c r="G422" s="10"/>
      <c r="H422" s="10"/>
      <c r="I422" s="11">
        <v>0</v>
      </c>
      <c r="J422" s="10"/>
      <c r="K422" s="10"/>
      <c r="L422" s="12">
        <v>0</v>
      </c>
      <c r="M422" s="10"/>
      <c r="N422" s="10"/>
      <c r="O422" s="11">
        <v>0</v>
      </c>
      <c r="P422" s="10"/>
      <c r="Q422" s="10"/>
      <c r="R422" s="11">
        <v>0</v>
      </c>
      <c r="S422" s="10"/>
      <c r="T422" s="10"/>
      <c r="U422" s="11">
        <v>0</v>
      </c>
      <c r="V422" s="10"/>
      <c r="W422" s="10"/>
      <c r="X422" s="11">
        <v>0</v>
      </c>
      <c r="Y422" s="10"/>
      <c r="Z422" s="10"/>
      <c r="AA422" s="11"/>
      <c r="AB422" s="10"/>
      <c r="AC422" s="10"/>
      <c r="AD422" s="11">
        <v>0</v>
      </c>
      <c r="AE422" s="10"/>
      <c r="AF422" s="10"/>
      <c r="AG422" s="11">
        <v>0</v>
      </c>
      <c r="AH422" s="10"/>
      <c r="AI422" s="10"/>
      <c r="AJ422" s="11">
        <v>0</v>
      </c>
      <c r="AK422" s="10"/>
      <c r="AL422" s="10"/>
      <c r="AM422" s="11">
        <v>0</v>
      </c>
      <c r="AN422" s="10"/>
      <c r="AO422" s="10"/>
      <c r="AP422" s="11">
        <v>0</v>
      </c>
      <c r="AQ422" s="10"/>
      <c r="AR422" s="10"/>
      <c r="AS422" s="11">
        <v>0</v>
      </c>
      <c r="AT422" s="10"/>
      <c r="AU422" s="10"/>
      <c r="AV422" s="11">
        <v>0</v>
      </c>
      <c r="AW422" s="10"/>
      <c r="AX422" s="10"/>
      <c r="AY422" s="11">
        <v>0</v>
      </c>
      <c r="AZ422" s="10"/>
      <c r="BA422" s="10"/>
      <c r="BB422" s="11">
        <v>0</v>
      </c>
      <c r="BC422" s="10"/>
      <c r="BD422" s="10"/>
      <c r="BE422" s="11">
        <v>0</v>
      </c>
      <c r="BF422" s="10"/>
      <c r="BG422" s="10"/>
      <c r="BH422" s="11">
        <v>0</v>
      </c>
      <c r="BI422" s="10"/>
      <c r="BJ422" s="10"/>
      <c r="BK422" s="11">
        <v>0</v>
      </c>
      <c r="BL422" s="10"/>
      <c r="BM422" s="10"/>
      <c r="BN422" s="11">
        <v>0</v>
      </c>
      <c r="BO422" s="10"/>
      <c r="BP422" s="10"/>
      <c r="BQ422" s="11">
        <v>0</v>
      </c>
      <c r="BR422" s="10"/>
      <c r="BS422" s="10"/>
      <c r="BT422" s="11">
        <v>0</v>
      </c>
      <c r="BU422" s="10"/>
      <c r="BV422" s="10"/>
      <c r="BW422" s="11">
        <v>0</v>
      </c>
      <c r="BX422" s="10"/>
      <c r="BY422" s="10"/>
      <c r="BZ422" s="11">
        <v>0</v>
      </c>
      <c r="CA422" s="10"/>
      <c r="CB422" s="10"/>
      <c r="CC422" s="11">
        <v>0</v>
      </c>
      <c r="CD422" s="10"/>
      <c r="CE422" s="10"/>
      <c r="CF422" s="11">
        <v>0</v>
      </c>
      <c r="CG422" s="10"/>
      <c r="CH422" s="10"/>
      <c r="CI422" s="11">
        <v>0</v>
      </c>
      <c r="CJ422" s="10"/>
      <c r="CK422" s="10"/>
      <c r="CL422" s="11">
        <v>0</v>
      </c>
      <c r="CM422" s="10"/>
      <c r="CN422" s="10"/>
      <c r="CO422" s="11">
        <v>0</v>
      </c>
      <c r="CP422" s="10"/>
      <c r="CQ422" s="10"/>
      <c r="CR422" s="11">
        <v>0</v>
      </c>
      <c r="CS422" s="10"/>
      <c r="CT422" s="10"/>
      <c r="CU422" s="11">
        <v>0</v>
      </c>
      <c r="CV422" s="10"/>
      <c r="CW422" s="10"/>
      <c r="CX422" s="11">
        <v>0</v>
      </c>
      <c r="CY422" s="10"/>
      <c r="CZ422" s="10"/>
      <c r="DA422" s="11">
        <v>0</v>
      </c>
      <c r="DB422" s="10"/>
      <c r="DC422" s="10"/>
      <c r="DD422" s="13">
        <v>0</v>
      </c>
      <c r="DE422" s="14"/>
    </row>
    <row r="423" spans="1:109" x14ac:dyDescent="0.35">
      <c r="A423" s="8" t="s">
        <v>909</v>
      </c>
      <c r="B423" s="9" t="s">
        <v>108</v>
      </c>
      <c r="C423" s="9" t="s">
        <v>52</v>
      </c>
      <c r="D423" s="9" t="s">
        <v>910</v>
      </c>
      <c r="E423" s="9" t="s">
        <v>54</v>
      </c>
      <c r="F423" s="9" t="s">
        <v>55</v>
      </c>
      <c r="G423" s="10"/>
      <c r="H423" s="10"/>
      <c r="I423" s="11">
        <v>0</v>
      </c>
      <c r="J423" s="10"/>
      <c r="K423" s="10"/>
      <c r="L423" s="12">
        <v>0</v>
      </c>
      <c r="M423" s="10"/>
      <c r="N423" s="10"/>
      <c r="O423" s="11">
        <v>0</v>
      </c>
      <c r="P423" s="10"/>
      <c r="Q423" s="10"/>
      <c r="R423" s="11">
        <v>0</v>
      </c>
      <c r="S423" s="10"/>
      <c r="T423" s="10"/>
      <c r="U423" s="11">
        <v>0</v>
      </c>
      <c r="V423" s="10"/>
      <c r="W423" s="10"/>
      <c r="X423" s="11">
        <v>0</v>
      </c>
      <c r="Y423" s="10"/>
      <c r="Z423" s="10"/>
      <c r="AA423" s="11"/>
      <c r="AB423" s="10"/>
      <c r="AC423" s="10"/>
      <c r="AD423" s="11">
        <v>0</v>
      </c>
      <c r="AE423" s="10"/>
      <c r="AF423" s="10"/>
      <c r="AG423" s="11">
        <v>0</v>
      </c>
      <c r="AH423" s="10"/>
      <c r="AI423" s="10"/>
      <c r="AJ423" s="11">
        <v>0</v>
      </c>
      <c r="AK423" s="10"/>
      <c r="AL423" s="10"/>
      <c r="AM423" s="11">
        <v>0</v>
      </c>
      <c r="AN423" s="10"/>
      <c r="AO423" s="10"/>
      <c r="AP423" s="11">
        <v>0</v>
      </c>
      <c r="AQ423" s="10"/>
      <c r="AR423" s="10"/>
      <c r="AS423" s="11">
        <v>0</v>
      </c>
      <c r="AT423" s="10"/>
      <c r="AU423" s="10"/>
      <c r="AV423" s="11">
        <v>0</v>
      </c>
      <c r="AW423" s="10"/>
      <c r="AX423" s="10"/>
      <c r="AY423" s="11">
        <v>0</v>
      </c>
      <c r="AZ423" s="10"/>
      <c r="BA423" s="10"/>
      <c r="BB423" s="11">
        <v>0</v>
      </c>
      <c r="BC423" s="10"/>
      <c r="BD423" s="10"/>
      <c r="BE423" s="11">
        <v>0</v>
      </c>
      <c r="BF423" s="10"/>
      <c r="BG423" s="10"/>
      <c r="BH423" s="11">
        <v>0</v>
      </c>
      <c r="BI423" s="10"/>
      <c r="BJ423" s="10"/>
      <c r="BK423" s="11">
        <v>0</v>
      </c>
      <c r="BL423" s="10"/>
      <c r="BM423" s="10"/>
      <c r="BN423" s="11">
        <v>0</v>
      </c>
      <c r="BO423" s="10"/>
      <c r="BP423" s="10"/>
      <c r="BQ423" s="11">
        <v>0</v>
      </c>
      <c r="BR423" s="10"/>
      <c r="BS423" s="10"/>
      <c r="BT423" s="11">
        <v>0</v>
      </c>
      <c r="BU423" s="10"/>
      <c r="BV423" s="10"/>
      <c r="BW423" s="11">
        <v>0</v>
      </c>
      <c r="BX423" s="10"/>
      <c r="BY423" s="10"/>
      <c r="BZ423" s="11">
        <v>0</v>
      </c>
      <c r="CA423" s="10"/>
      <c r="CB423" s="10"/>
      <c r="CC423" s="11">
        <v>0</v>
      </c>
      <c r="CD423" s="10"/>
      <c r="CE423" s="10"/>
      <c r="CF423" s="11">
        <v>0</v>
      </c>
      <c r="CG423" s="10"/>
      <c r="CH423" s="10"/>
      <c r="CI423" s="11">
        <v>0</v>
      </c>
      <c r="CJ423" s="10"/>
      <c r="CK423" s="10"/>
      <c r="CL423" s="11">
        <v>0</v>
      </c>
      <c r="CM423" s="10"/>
      <c r="CN423" s="10"/>
      <c r="CO423" s="11">
        <v>0</v>
      </c>
      <c r="CP423" s="10"/>
      <c r="CQ423" s="10"/>
      <c r="CR423" s="11">
        <v>0</v>
      </c>
      <c r="CS423" s="10"/>
      <c r="CT423" s="10"/>
      <c r="CU423" s="11">
        <v>0</v>
      </c>
      <c r="CV423" s="10"/>
      <c r="CW423" s="10"/>
      <c r="CX423" s="11">
        <v>0</v>
      </c>
      <c r="CY423" s="10"/>
      <c r="CZ423" s="10"/>
      <c r="DA423" s="11">
        <v>0</v>
      </c>
      <c r="DB423" s="10"/>
      <c r="DC423" s="10"/>
      <c r="DD423" s="13">
        <v>0</v>
      </c>
      <c r="DE423" s="14"/>
    </row>
    <row r="424" spans="1:109" x14ac:dyDescent="0.35">
      <c r="A424" s="8" t="s">
        <v>911</v>
      </c>
      <c r="B424" s="9" t="s">
        <v>48</v>
      </c>
      <c r="C424" s="9" t="s">
        <v>43</v>
      </c>
      <c r="D424" s="9" t="s">
        <v>912</v>
      </c>
      <c r="E424" s="9" t="s">
        <v>45</v>
      </c>
      <c r="F424" s="9" t="s">
        <v>46</v>
      </c>
      <c r="G424" s="10"/>
      <c r="H424" s="10"/>
      <c r="I424" s="11">
        <v>0</v>
      </c>
      <c r="J424" s="10"/>
      <c r="K424" s="10"/>
      <c r="L424" s="12">
        <v>0</v>
      </c>
      <c r="M424" s="10"/>
      <c r="N424" s="10"/>
      <c r="O424" s="11">
        <v>0</v>
      </c>
      <c r="P424" s="10"/>
      <c r="Q424" s="10"/>
      <c r="R424" s="11">
        <v>0</v>
      </c>
      <c r="S424" s="10"/>
      <c r="T424" s="10"/>
      <c r="U424" s="11">
        <v>0</v>
      </c>
      <c r="V424" s="10"/>
      <c r="W424" s="10"/>
      <c r="X424" s="11">
        <v>0</v>
      </c>
      <c r="Y424" s="10"/>
      <c r="Z424" s="10"/>
      <c r="AA424" s="11"/>
      <c r="AB424" s="10"/>
      <c r="AC424" s="10"/>
      <c r="AD424" s="11">
        <v>0</v>
      </c>
      <c r="AE424" s="10"/>
      <c r="AF424" s="10"/>
      <c r="AG424" s="11">
        <v>0</v>
      </c>
      <c r="AH424" s="10"/>
      <c r="AI424" s="10"/>
      <c r="AJ424" s="11">
        <v>0</v>
      </c>
      <c r="AK424" s="10"/>
      <c r="AL424" s="10"/>
      <c r="AM424" s="11">
        <v>0</v>
      </c>
      <c r="AN424" s="10"/>
      <c r="AO424" s="10"/>
      <c r="AP424" s="11">
        <v>0</v>
      </c>
      <c r="AQ424" s="10"/>
      <c r="AR424" s="10"/>
      <c r="AS424" s="11">
        <v>0</v>
      </c>
      <c r="AT424" s="10"/>
      <c r="AU424" s="10"/>
      <c r="AV424" s="11">
        <v>0</v>
      </c>
      <c r="AW424" s="10"/>
      <c r="AX424" s="10"/>
      <c r="AY424" s="11">
        <v>0</v>
      </c>
      <c r="AZ424" s="10"/>
      <c r="BA424" s="10"/>
      <c r="BB424" s="11">
        <v>0</v>
      </c>
      <c r="BC424" s="10"/>
      <c r="BD424" s="10"/>
      <c r="BE424" s="11">
        <v>0</v>
      </c>
      <c r="BF424" s="10"/>
      <c r="BG424" s="10"/>
      <c r="BH424" s="11">
        <v>0</v>
      </c>
      <c r="BI424" s="10"/>
      <c r="BJ424" s="10"/>
      <c r="BK424" s="11">
        <v>0</v>
      </c>
      <c r="BL424" s="10"/>
      <c r="BM424" s="10"/>
      <c r="BN424" s="11">
        <v>0</v>
      </c>
      <c r="BO424" s="10"/>
      <c r="BP424" s="10"/>
      <c r="BQ424" s="11">
        <v>0</v>
      </c>
      <c r="BR424" s="10"/>
      <c r="BS424" s="10"/>
      <c r="BT424" s="11">
        <v>0</v>
      </c>
      <c r="BU424" s="10"/>
      <c r="BV424" s="10"/>
      <c r="BW424" s="11">
        <v>0</v>
      </c>
      <c r="BX424" s="10"/>
      <c r="BY424" s="10"/>
      <c r="BZ424" s="11">
        <v>0</v>
      </c>
      <c r="CA424" s="10"/>
      <c r="CB424" s="10"/>
      <c r="CC424" s="11">
        <v>0</v>
      </c>
      <c r="CD424" s="10"/>
      <c r="CE424" s="10"/>
      <c r="CF424" s="11">
        <v>0</v>
      </c>
      <c r="CG424" s="10">
        <v>15000</v>
      </c>
      <c r="CH424" s="10"/>
      <c r="CI424" s="11">
        <f t="shared" ref="CI424" si="575">CH424/CG424</f>
        <v>0</v>
      </c>
      <c r="CJ424" s="10"/>
      <c r="CK424" s="10"/>
      <c r="CL424" s="11">
        <v>0</v>
      </c>
      <c r="CM424" s="10"/>
      <c r="CN424" s="10"/>
      <c r="CO424" s="11">
        <v>0</v>
      </c>
      <c r="CP424" s="10"/>
      <c r="CQ424" s="10"/>
      <c r="CR424" s="11">
        <v>0</v>
      </c>
      <c r="CS424" s="10"/>
      <c r="CT424" s="10"/>
      <c r="CU424" s="11">
        <v>0</v>
      </c>
      <c r="CV424" s="10"/>
      <c r="CW424" s="10"/>
      <c r="CX424" s="11">
        <v>0</v>
      </c>
      <c r="CY424" s="10"/>
      <c r="CZ424" s="10"/>
      <c r="DA424" s="11">
        <v>0</v>
      </c>
      <c r="DB424" s="10">
        <v>15000</v>
      </c>
      <c r="DC424" s="10"/>
      <c r="DD424" s="15">
        <f t="shared" ref="DD424" si="576">DC424/DB424</f>
        <v>0</v>
      </c>
      <c r="DE424" s="16"/>
    </row>
    <row r="425" spans="1:109" x14ac:dyDescent="0.35">
      <c r="A425" s="8" t="s">
        <v>913</v>
      </c>
      <c r="B425" s="9" t="s">
        <v>108</v>
      </c>
      <c r="C425" s="9" t="s">
        <v>52</v>
      </c>
      <c r="D425" s="9" t="s">
        <v>914</v>
      </c>
      <c r="E425" s="9" t="s">
        <v>54</v>
      </c>
      <c r="F425" s="9" t="s">
        <v>55</v>
      </c>
      <c r="G425" s="10"/>
      <c r="H425" s="10"/>
      <c r="I425" s="11">
        <v>0</v>
      </c>
      <c r="J425" s="10"/>
      <c r="K425" s="10"/>
      <c r="L425" s="12">
        <v>0</v>
      </c>
      <c r="M425" s="10"/>
      <c r="N425" s="10"/>
      <c r="O425" s="11">
        <v>0</v>
      </c>
      <c r="P425" s="10"/>
      <c r="Q425" s="10"/>
      <c r="R425" s="11">
        <v>0</v>
      </c>
      <c r="S425" s="10"/>
      <c r="T425" s="10"/>
      <c r="U425" s="11">
        <v>0</v>
      </c>
      <c r="V425" s="10"/>
      <c r="W425" s="10"/>
      <c r="X425" s="11">
        <v>0</v>
      </c>
      <c r="Y425" s="10"/>
      <c r="Z425" s="10"/>
      <c r="AA425" s="11"/>
      <c r="AB425" s="10"/>
      <c r="AC425" s="10"/>
      <c r="AD425" s="11">
        <v>0</v>
      </c>
      <c r="AE425" s="10"/>
      <c r="AF425" s="10"/>
      <c r="AG425" s="11">
        <v>0</v>
      </c>
      <c r="AH425" s="10"/>
      <c r="AI425" s="10"/>
      <c r="AJ425" s="11">
        <v>0</v>
      </c>
      <c r="AK425" s="10"/>
      <c r="AL425" s="10"/>
      <c r="AM425" s="11">
        <v>0</v>
      </c>
      <c r="AN425" s="10"/>
      <c r="AO425" s="10"/>
      <c r="AP425" s="11">
        <v>0</v>
      </c>
      <c r="AQ425" s="10"/>
      <c r="AR425" s="10"/>
      <c r="AS425" s="11">
        <v>0</v>
      </c>
      <c r="AT425" s="10"/>
      <c r="AU425" s="10"/>
      <c r="AV425" s="11">
        <v>0</v>
      </c>
      <c r="AW425" s="10"/>
      <c r="AX425" s="10"/>
      <c r="AY425" s="11">
        <v>0</v>
      </c>
      <c r="AZ425" s="10"/>
      <c r="BA425" s="10"/>
      <c r="BB425" s="11">
        <v>0</v>
      </c>
      <c r="BC425" s="10"/>
      <c r="BD425" s="10"/>
      <c r="BE425" s="11">
        <v>0</v>
      </c>
      <c r="BF425" s="10"/>
      <c r="BG425" s="10"/>
      <c r="BH425" s="11">
        <v>0</v>
      </c>
      <c r="BI425" s="10"/>
      <c r="BJ425" s="10"/>
      <c r="BK425" s="11">
        <v>0</v>
      </c>
      <c r="BL425" s="10"/>
      <c r="BM425" s="10"/>
      <c r="BN425" s="11">
        <v>0</v>
      </c>
      <c r="BO425" s="10"/>
      <c r="BP425" s="10"/>
      <c r="BQ425" s="11">
        <v>0</v>
      </c>
      <c r="BR425" s="10"/>
      <c r="BS425" s="10"/>
      <c r="BT425" s="11">
        <v>0</v>
      </c>
      <c r="BU425" s="10"/>
      <c r="BV425" s="10"/>
      <c r="BW425" s="11">
        <v>0</v>
      </c>
      <c r="BX425" s="10"/>
      <c r="BY425" s="10"/>
      <c r="BZ425" s="11">
        <v>0</v>
      </c>
      <c r="CA425" s="10"/>
      <c r="CB425" s="10"/>
      <c r="CC425" s="11">
        <v>0</v>
      </c>
      <c r="CD425" s="10"/>
      <c r="CE425" s="10"/>
      <c r="CF425" s="11">
        <v>0</v>
      </c>
      <c r="CG425" s="10"/>
      <c r="CH425" s="10"/>
      <c r="CI425" s="11">
        <v>0</v>
      </c>
      <c r="CJ425" s="10"/>
      <c r="CK425" s="10"/>
      <c r="CL425" s="11">
        <v>0</v>
      </c>
      <c r="CM425" s="10"/>
      <c r="CN425" s="10"/>
      <c r="CO425" s="11">
        <v>0</v>
      </c>
      <c r="CP425" s="10"/>
      <c r="CQ425" s="10"/>
      <c r="CR425" s="11">
        <v>0</v>
      </c>
      <c r="CS425" s="10"/>
      <c r="CT425" s="10"/>
      <c r="CU425" s="11">
        <v>0</v>
      </c>
      <c r="CV425" s="10"/>
      <c r="CW425" s="10"/>
      <c r="CX425" s="11">
        <v>0</v>
      </c>
      <c r="CY425" s="10"/>
      <c r="CZ425" s="10"/>
      <c r="DA425" s="11">
        <v>0</v>
      </c>
      <c r="DB425" s="10"/>
      <c r="DC425" s="10"/>
      <c r="DD425" s="13">
        <v>0</v>
      </c>
      <c r="DE425" s="14"/>
    </row>
    <row r="426" spans="1:109" x14ac:dyDescent="0.35">
      <c r="A426" s="8" t="s">
        <v>915</v>
      </c>
      <c r="B426" s="9" t="s">
        <v>77</v>
      </c>
      <c r="C426" s="9" t="s">
        <v>43</v>
      </c>
      <c r="D426" s="9" t="s">
        <v>916</v>
      </c>
      <c r="E426" s="9" t="s">
        <v>61</v>
      </c>
      <c r="F426" s="9" t="s">
        <v>62</v>
      </c>
      <c r="G426" s="10"/>
      <c r="H426" s="10"/>
      <c r="I426" s="11">
        <v>0</v>
      </c>
      <c r="J426" s="10"/>
      <c r="K426" s="10"/>
      <c r="L426" s="12">
        <v>0</v>
      </c>
      <c r="M426" s="10"/>
      <c r="N426" s="10"/>
      <c r="O426" s="11">
        <v>0</v>
      </c>
      <c r="P426" s="10"/>
      <c r="Q426" s="10"/>
      <c r="R426" s="11">
        <v>0</v>
      </c>
      <c r="S426" s="10"/>
      <c r="T426" s="10"/>
      <c r="U426" s="11">
        <v>0</v>
      </c>
      <c r="V426" s="10"/>
      <c r="W426" s="10"/>
      <c r="X426" s="11">
        <v>0</v>
      </c>
      <c r="Y426" s="10"/>
      <c r="Z426" s="10"/>
      <c r="AA426" s="11"/>
      <c r="AB426" s="10"/>
      <c r="AC426" s="10"/>
      <c r="AD426" s="11">
        <v>0</v>
      </c>
      <c r="AE426" s="10"/>
      <c r="AF426" s="10"/>
      <c r="AG426" s="11">
        <v>0</v>
      </c>
      <c r="AH426" s="10"/>
      <c r="AI426" s="10"/>
      <c r="AJ426" s="11">
        <v>0</v>
      </c>
      <c r="AK426" s="10"/>
      <c r="AL426" s="10"/>
      <c r="AM426" s="11">
        <v>0</v>
      </c>
      <c r="AN426" s="10"/>
      <c r="AO426" s="10"/>
      <c r="AP426" s="11">
        <v>0</v>
      </c>
      <c r="AQ426" s="10"/>
      <c r="AR426" s="10"/>
      <c r="AS426" s="11">
        <v>0</v>
      </c>
      <c r="AT426" s="10"/>
      <c r="AU426" s="10"/>
      <c r="AV426" s="11">
        <v>0</v>
      </c>
      <c r="AW426" s="10"/>
      <c r="AX426" s="10"/>
      <c r="AY426" s="11">
        <v>0</v>
      </c>
      <c r="AZ426" s="10"/>
      <c r="BA426" s="10"/>
      <c r="BB426" s="11">
        <v>0</v>
      </c>
      <c r="BC426" s="10"/>
      <c r="BD426" s="10"/>
      <c r="BE426" s="11">
        <v>0</v>
      </c>
      <c r="BF426" s="10"/>
      <c r="BG426" s="10"/>
      <c r="BH426" s="11">
        <v>0</v>
      </c>
      <c r="BI426" s="10"/>
      <c r="BJ426" s="10"/>
      <c r="BK426" s="11">
        <v>0</v>
      </c>
      <c r="BL426" s="10"/>
      <c r="BM426" s="10"/>
      <c r="BN426" s="11">
        <v>0</v>
      </c>
      <c r="BO426" s="10"/>
      <c r="BP426" s="10"/>
      <c r="BQ426" s="11">
        <v>0</v>
      </c>
      <c r="BR426" s="10"/>
      <c r="BS426" s="10"/>
      <c r="BT426" s="11">
        <v>0</v>
      </c>
      <c r="BU426" s="10"/>
      <c r="BV426" s="10"/>
      <c r="BW426" s="11">
        <v>0</v>
      </c>
      <c r="BX426" s="10"/>
      <c r="BY426" s="10"/>
      <c r="BZ426" s="11">
        <v>0</v>
      </c>
      <c r="CA426" s="10"/>
      <c r="CB426" s="10"/>
      <c r="CC426" s="11">
        <v>0</v>
      </c>
      <c r="CD426" s="10"/>
      <c r="CE426" s="10"/>
      <c r="CF426" s="11">
        <v>0</v>
      </c>
      <c r="CG426" s="10"/>
      <c r="CH426" s="10"/>
      <c r="CI426" s="11">
        <v>0</v>
      </c>
      <c r="CJ426" s="10"/>
      <c r="CK426" s="10"/>
      <c r="CL426" s="11">
        <v>0</v>
      </c>
      <c r="CM426" s="10"/>
      <c r="CN426" s="10"/>
      <c r="CO426" s="11">
        <v>0</v>
      </c>
      <c r="CP426" s="10"/>
      <c r="CQ426" s="10"/>
      <c r="CR426" s="11">
        <v>0</v>
      </c>
      <c r="CS426" s="10"/>
      <c r="CT426" s="10"/>
      <c r="CU426" s="11">
        <v>0</v>
      </c>
      <c r="CV426" s="10"/>
      <c r="CW426" s="10"/>
      <c r="CX426" s="11">
        <v>0</v>
      </c>
      <c r="CY426" s="10"/>
      <c r="CZ426" s="10"/>
      <c r="DA426" s="11">
        <v>0</v>
      </c>
      <c r="DB426" s="10"/>
      <c r="DC426" s="10"/>
      <c r="DD426" s="13">
        <v>0</v>
      </c>
      <c r="DE426" s="14"/>
    </row>
    <row r="427" spans="1:109" x14ac:dyDescent="0.35">
      <c r="A427" s="8" t="s">
        <v>917</v>
      </c>
      <c r="B427" s="9" t="s">
        <v>59</v>
      </c>
      <c r="C427" s="9" t="s">
        <v>43</v>
      </c>
      <c r="D427" s="9" t="s">
        <v>918</v>
      </c>
      <c r="E427" s="9" t="s">
        <v>61</v>
      </c>
      <c r="F427" s="9" t="s">
        <v>62</v>
      </c>
      <c r="G427" s="10"/>
      <c r="H427" s="10"/>
      <c r="I427" s="11">
        <v>0</v>
      </c>
      <c r="J427" s="10"/>
      <c r="K427" s="10"/>
      <c r="L427" s="12">
        <v>0</v>
      </c>
      <c r="M427" s="10"/>
      <c r="N427" s="10"/>
      <c r="O427" s="11">
        <v>0</v>
      </c>
      <c r="P427" s="10"/>
      <c r="Q427" s="10"/>
      <c r="R427" s="11">
        <v>0</v>
      </c>
      <c r="S427" s="10"/>
      <c r="T427" s="10"/>
      <c r="U427" s="11">
        <v>0</v>
      </c>
      <c r="V427" s="10"/>
      <c r="W427" s="10"/>
      <c r="X427" s="11">
        <v>0</v>
      </c>
      <c r="Y427" s="10"/>
      <c r="Z427" s="10"/>
      <c r="AA427" s="11"/>
      <c r="AB427" s="10"/>
      <c r="AC427" s="10"/>
      <c r="AD427" s="11">
        <v>0</v>
      </c>
      <c r="AE427" s="10"/>
      <c r="AF427" s="10"/>
      <c r="AG427" s="11">
        <v>0</v>
      </c>
      <c r="AH427" s="10"/>
      <c r="AI427" s="10"/>
      <c r="AJ427" s="11">
        <v>0</v>
      </c>
      <c r="AK427" s="10"/>
      <c r="AL427" s="10"/>
      <c r="AM427" s="11">
        <v>0</v>
      </c>
      <c r="AN427" s="10"/>
      <c r="AO427" s="10"/>
      <c r="AP427" s="11">
        <v>0</v>
      </c>
      <c r="AQ427" s="10"/>
      <c r="AR427" s="10"/>
      <c r="AS427" s="11">
        <v>0</v>
      </c>
      <c r="AT427" s="10"/>
      <c r="AU427" s="10"/>
      <c r="AV427" s="11">
        <v>0</v>
      </c>
      <c r="AW427" s="10"/>
      <c r="AX427" s="10"/>
      <c r="AY427" s="11">
        <v>0</v>
      </c>
      <c r="AZ427" s="10"/>
      <c r="BA427" s="10"/>
      <c r="BB427" s="11">
        <v>0</v>
      </c>
      <c r="BC427" s="10"/>
      <c r="BD427" s="10"/>
      <c r="BE427" s="11">
        <v>0</v>
      </c>
      <c r="BF427" s="10"/>
      <c r="BG427" s="10"/>
      <c r="BH427" s="11">
        <v>0</v>
      </c>
      <c r="BI427" s="10"/>
      <c r="BJ427" s="10"/>
      <c r="BK427" s="11">
        <v>0</v>
      </c>
      <c r="BL427" s="10"/>
      <c r="BM427" s="10"/>
      <c r="BN427" s="11">
        <v>0</v>
      </c>
      <c r="BO427" s="10"/>
      <c r="BP427" s="10"/>
      <c r="BQ427" s="11">
        <v>0</v>
      </c>
      <c r="BR427" s="10"/>
      <c r="BS427" s="10"/>
      <c r="BT427" s="11">
        <v>0</v>
      </c>
      <c r="BU427" s="10"/>
      <c r="BV427" s="10"/>
      <c r="BW427" s="11">
        <v>0</v>
      </c>
      <c r="BX427" s="10"/>
      <c r="BY427" s="10"/>
      <c r="BZ427" s="11">
        <v>0</v>
      </c>
      <c r="CA427" s="10"/>
      <c r="CB427" s="10"/>
      <c r="CC427" s="11">
        <v>0</v>
      </c>
      <c r="CD427" s="10"/>
      <c r="CE427" s="10"/>
      <c r="CF427" s="11">
        <v>0</v>
      </c>
      <c r="CG427" s="10"/>
      <c r="CH427" s="10"/>
      <c r="CI427" s="11">
        <v>0</v>
      </c>
      <c r="CJ427" s="10"/>
      <c r="CK427" s="10"/>
      <c r="CL427" s="11">
        <v>0</v>
      </c>
      <c r="CM427" s="10"/>
      <c r="CN427" s="10"/>
      <c r="CO427" s="11">
        <v>0</v>
      </c>
      <c r="CP427" s="10"/>
      <c r="CQ427" s="10"/>
      <c r="CR427" s="11">
        <v>0</v>
      </c>
      <c r="CS427" s="10"/>
      <c r="CT427" s="10"/>
      <c r="CU427" s="11">
        <v>0</v>
      </c>
      <c r="CV427" s="10"/>
      <c r="CW427" s="10"/>
      <c r="CX427" s="11">
        <v>0</v>
      </c>
      <c r="CY427" s="10"/>
      <c r="CZ427" s="10"/>
      <c r="DA427" s="11">
        <v>0</v>
      </c>
      <c r="DB427" s="10"/>
      <c r="DC427" s="10"/>
      <c r="DD427" s="13">
        <v>0</v>
      </c>
      <c r="DE427" s="14"/>
    </row>
    <row r="428" spans="1:109" x14ac:dyDescent="0.35">
      <c r="A428" s="8" t="s">
        <v>919</v>
      </c>
      <c r="B428" s="9" t="s">
        <v>140</v>
      </c>
      <c r="C428" s="9" t="s">
        <v>43</v>
      </c>
      <c r="D428" s="9" t="s">
        <v>920</v>
      </c>
      <c r="E428" s="9" t="s">
        <v>45</v>
      </c>
      <c r="F428" s="9" t="s">
        <v>46</v>
      </c>
      <c r="G428" s="10"/>
      <c r="H428" s="10">
        <v>182500</v>
      </c>
      <c r="I428" s="11">
        <v>0</v>
      </c>
      <c r="J428" s="10"/>
      <c r="K428" s="10"/>
      <c r="L428" s="12">
        <v>0</v>
      </c>
      <c r="M428" s="10"/>
      <c r="N428" s="10"/>
      <c r="O428" s="11">
        <v>0</v>
      </c>
      <c r="P428" s="10"/>
      <c r="Q428" s="10"/>
      <c r="R428" s="11">
        <v>0</v>
      </c>
      <c r="S428" s="10"/>
      <c r="T428" s="10"/>
      <c r="U428" s="11">
        <v>0</v>
      </c>
      <c r="V428" s="10"/>
      <c r="W428" s="10"/>
      <c r="X428" s="11">
        <v>0</v>
      </c>
      <c r="Y428" s="10"/>
      <c r="Z428" s="10"/>
      <c r="AA428" s="11"/>
      <c r="AB428" s="10"/>
      <c r="AC428" s="10"/>
      <c r="AD428" s="11">
        <v>0</v>
      </c>
      <c r="AE428" s="10"/>
      <c r="AF428" s="10"/>
      <c r="AG428" s="11">
        <v>0</v>
      </c>
      <c r="AH428" s="10"/>
      <c r="AI428" s="10"/>
      <c r="AJ428" s="11">
        <v>0</v>
      </c>
      <c r="AK428" s="10"/>
      <c r="AL428" s="10"/>
      <c r="AM428" s="11">
        <v>0</v>
      </c>
      <c r="AN428" s="10"/>
      <c r="AO428" s="10"/>
      <c r="AP428" s="11">
        <v>0</v>
      </c>
      <c r="AQ428" s="10"/>
      <c r="AR428" s="10"/>
      <c r="AS428" s="11">
        <v>0</v>
      </c>
      <c r="AT428" s="10"/>
      <c r="AU428" s="10"/>
      <c r="AV428" s="11">
        <v>0</v>
      </c>
      <c r="AW428" s="10"/>
      <c r="AX428" s="10"/>
      <c r="AY428" s="11">
        <v>0</v>
      </c>
      <c r="AZ428" s="10"/>
      <c r="BA428" s="10"/>
      <c r="BB428" s="11">
        <v>0</v>
      </c>
      <c r="BC428" s="10"/>
      <c r="BD428" s="10"/>
      <c r="BE428" s="11">
        <v>0</v>
      </c>
      <c r="BF428" s="10"/>
      <c r="BG428" s="10"/>
      <c r="BH428" s="11">
        <v>0</v>
      </c>
      <c r="BI428" s="10"/>
      <c r="BJ428" s="10"/>
      <c r="BK428" s="11">
        <v>0</v>
      </c>
      <c r="BL428" s="10"/>
      <c r="BM428" s="10"/>
      <c r="BN428" s="11">
        <v>0</v>
      </c>
      <c r="BO428" s="10"/>
      <c r="BP428" s="10"/>
      <c r="BQ428" s="11">
        <v>0</v>
      </c>
      <c r="BR428" s="10"/>
      <c r="BS428" s="10"/>
      <c r="BT428" s="11">
        <v>0</v>
      </c>
      <c r="BU428" s="10"/>
      <c r="BV428" s="10"/>
      <c r="BW428" s="11">
        <v>0</v>
      </c>
      <c r="BX428" s="10"/>
      <c r="BY428" s="10"/>
      <c r="BZ428" s="11">
        <v>0</v>
      </c>
      <c r="CA428" s="10"/>
      <c r="CB428" s="10"/>
      <c r="CC428" s="11">
        <v>0</v>
      </c>
      <c r="CD428" s="10"/>
      <c r="CE428" s="10"/>
      <c r="CF428" s="11">
        <v>0</v>
      </c>
      <c r="CG428" s="10"/>
      <c r="CH428" s="10"/>
      <c r="CI428" s="11">
        <v>0</v>
      </c>
      <c r="CJ428" s="10"/>
      <c r="CK428" s="10"/>
      <c r="CL428" s="11">
        <v>0</v>
      </c>
      <c r="CM428" s="10"/>
      <c r="CN428" s="10"/>
      <c r="CO428" s="11">
        <v>0</v>
      </c>
      <c r="CP428" s="10"/>
      <c r="CQ428" s="10"/>
      <c r="CR428" s="11">
        <v>0</v>
      </c>
      <c r="CS428" s="10"/>
      <c r="CT428" s="10"/>
      <c r="CU428" s="11">
        <v>0</v>
      </c>
      <c r="CV428" s="10"/>
      <c r="CW428" s="10"/>
      <c r="CX428" s="11">
        <v>0</v>
      </c>
      <c r="CY428" s="10"/>
      <c r="CZ428" s="10"/>
      <c r="DA428" s="11">
        <v>0</v>
      </c>
      <c r="DB428" s="10"/>
      <c r="DC428" s="10">
        <f t="shared" ref="DC428" si="577">SUM(H428,K428,N428,Q428,T428,W428,Z428,AC428,AF428,AI428,AL428,AO428,AR428,AU428,AX428,BA428,BD428,BG428,BJ428,BM428,BP428,BS428,BV428,BY428,CB428,CE428,CH428,CK428,CN428,CQ428,CT428,CW428,CZ428)</f>
        <v>182500</v>
      </c>
      <c r="DD428" s="13">
        <v>0</v>
      </c>
      <c r="DE428" s="14"/>
    </row>
    <row r="429" spans="1:109" x14ac:dyDescent="0.35">
      <c r="A429" s="8" t="s">
        <v>921</v>
      </c>
      <c r="B429" s="9" t="s">
        <v>42</v>
      </c>
      <c r="C429" s="9" t="s">
        <v>43</v>
      </c>
      <c r="D429" s="9" t="s">
        <v>922</v>
      </c>
      <c r="E429" s="9" t="s">
        <v>45</v>
      </c>
      <c r="F429" s="9" t="s">
        <v>46</v>
      </c>
      <c r="G429" s="10"/>
      <c r="H429" s="10"/>
      <c r="I429" s="11">
        <v>0</v>
      </c>
      <c r="J429" s="10"/>
      <c r="K429" s="10"/>
      <c r="L429" s="12">
        <v>0</v>
      </c>
      <c r="M429" s="10"/>
      <c r="N429" s="10"/>
      <c r="O429" s="11">
        <v>0</v>
      </c>
      <c r="P429" s="10"/>
      <c r="Q429" s="10"/>
      <c r="R429" s="11">
        <v>0</v>
      </c>
      <c r="S429" s="10"/>
      <c r="T429" s="10"/>
      <c r="U429" s="11">
        <v>0</v>
      </c>
      <c r="V429" s="10"/>
      <c r="W429" s="10"/>
      <c r="X429" s="11">
        <v>0</v>
      </c>
      <c r="Y429" s="10"/>
      <c r="Z429" s="10"/>
      <c r="AA429" s="11"/>
      <c r="AB429" s="10"/>
      <c r="AC429" s="10"/>
      <c r="AD429" s="11">
        <v>0</v>
      </c>
      <c r="AE429" s="10"/>
      <c r="AF429" s="10"/>
      <c r="AG429" s="11">
        <v>0</v>
      </c>
      <c r="AH429" s="10"/>
      <c r="AI429" s="10"/>
      <c r="AJ429" s="11">
        <v>0</v>
      </c>
      <c r="AK429" s="10"/>
      <c r="AL429" s="10"/>
      <c r="AM429" s="11">
        <v>0</v>
      </c>
      <c r="AN429" s="10"/>
      <c r="AO429" s="10"/>
      <c r="AP429" s="11">
        <v>0</v>
      </c>
      <c r="AQ429" s="10"/>
      <c r="AR429" s="10"/>
      <c r="AS429" s="11">
        <v>0</v>
      </c>
      <c r="AT429" s="10"/>
      <c r="AU429" s="10"/>
      <c r="AV429" s="11">
        <v>0</v>
      </c>
      <c r="AW429" s="10"/>
      <c r="AX429" s="10"/>
      <c r="AY429" s="11">
        <v>0</v>
      </c>
      <c r="AZ429" s="10"/>
      <c r="BA429" s="10"/>
      <c r="BB429" s="11">
        <v>0</v>
      </c>
      <c r="BC429" s="10"/>
      <c r="BD429" s="10"/>
      <c r="BE429" s="11">
        <v>0</v>
      </c>
      <c r="BF429" s="10"/>
      <c r="BG429" s="10"/>
      <c r="BH429" s="11">
        <v>0</v>
      </c>
      <c r="BI429" s="10"/>
      <c r="BJ429" s="10"/>
      <c r="BK429" s="11">
        <v>0</v>
      </c>
      <c r="BL429" s="10"/>
      <c r="BM429" s="10"/>
      <c r="BN429" s="11">
        <v>0</v>
      </c>
      <c r="BO429" s="10"/>
      <c r="BP429" s="10"/>
      <c r="BQ429" s="11">
        <v>0</v>
      </c>
      <c r="BR429" s="10"/>
      <c r="BS429" s="10"/>
      <c r="BT429" s="11">
        <v>0</v>
      </c>
      <c r="BU429" s="10"/>
      <c r="BV429" s="10"/>
      <c r="BW429" s="11">
        <v>0</v>
      </c>
      <c r="BX429" s="10"/>
      <c r="BY429" s="10"/>
      <c r="BZ429" s="11">
        <v>0</v>
      </c>
      <c r="CA429" s="10"/>
      <c r="CB429" s="10"/>
      <c r="CC429" s="11">
        <v>0</v>
      </c>
      <c r="CD429" s="10"/>
      <c r="CE429" s="10"/>
      <c r="CF429" s="11">
        <v>0</v>
      </c>
      <c r="CG429" s="10"/>
      <c r="CH429" s="10"/>
      <c r="CI429" s="11">
        <v>0</v>
      </c>
      <c r="CJ429" s="10"/>
      <c r="CK429" s="10"/>
      <c r="CL429" s="11">
        <v>0</v>
      </c>
      <c r="CM429" s="10"/>
      <c r="CN429" s="10"/>
      <c r="CO429" s="11">
        <v>0</v>
      </c>
      <c r="CP429" s="10"/>
      <c r="CQ429" s="10"/>
      <c r="CR429" s="11">
        <v>0</v>
      </c>
      <c r="CS429" s="10"/>
      <c r="CT429" s="10"/>
      <c r="CU429" s="11">
        <v>0</v>
      </c>
      <c r="CV429" s="10"/>
      <c r="CW429" s="10"/>
      <c r="CX429" s="11">
        <v>0</v>
      </c>
      <c r="CY429" s="10"/>
      <c r="CZ429" s="10"/>
      <c r="DA429" s="11">
        <v>0</v>
      </c>
      <c r="DB429" s="10"/>
      <c r="DC429" s="10"/>
      <c r="DD429" s="13">
        <v>0</v>
      </c>
      <c r="DE429" s="14"/>
    </row>
    <row r="430" spans="1:109" x14ac:dyDescent="0.35">
      <c r="A430" s="8" t="s">
        <v>923</v>
      </c>
      <c r="B430" s="9" t="s">
        <v>74</v>
      </c>
      <c r="C430" s="9" t="s">
        <v>52</v>
      </c>
      <c r="D430" s="9" t="s">
        <v>924</v>
      </c>
      <c r="E430" s="9" t="s">
        <v>54</v>
      </c>
      <c r="F430" s="9" t="s">
        <v>55</v>
      </c>
      <c r="G430" s="10"/>
      <c r="H430" s="10"/>
      <c r="I430" s="11">
        <v>0</v>
      </c>
      <c r="J430" s="10"/>
      <c r="K430" s="10"/>
      <c r="L430" s="12">
        <v>0</v>
      </c>
      <c r="M430" s="10"/>
      <c r="N430" s="10"/>
      <c r="O430" s="11">
        <v>0</v>
      </c>
      <c r="P430" s="10"/>
      <c r="Q430" s="10"/>
      <c r="R430" s="11">
        <v>0</v>
      </c>
      <c r="S430" s="10"/>
      <c r="T430" s="10"/>
      <c r="U430" s="11">
        <v>0</v>
      </c>
      <c r="V430" s="10"/>
      <c r="W430" s="10"/>
      <c r="X430" s="11">
        <v>0</v>
      </c>
      <c r="Y430" s="10"/>
      <c r="Z430" s="10"/>
      <c r="AA430" s="11"/>
      <c r="AB430" s="10"/>
      <c r="AC430" s="10"/>
      <c r="AD430" s="11">
        <v>0</v>
      </c>
      <c r="AE430" s="10"/>
      <c r="AF430" s="10"/>
      <c r="AG430" s="11">
        <v>0</v>
      </c>
      <c r="AH430" s="10"/>
      <c r="AI430" s="10"/>
      <c r="AJ430" s="11">
        <v>0</v>
      </c>
      <c r="AK430" s="10"/>
      <c r="AL430" s="10"/>
      <c r="AM430" s="11">
        <v>0</v>
      </c>
      <c r="AN430" s="10"/>
      <c r="AO430" s="10"/>
      <c r="AP430" s="11">
        <v>0</v>
      </c>
      <c r="AQ430" s="10"/>
      <c r="AR430" s="10"/>
      <c r="AS430" s="11">
        <v>0</v>
      </c>
      <c r="AT430" s="10"/>
      <c r="AU430" s="10"/>
      <c r="AV430" s="11">
        <v>0</v>
      </c>
      <c r="AW430" s="10"/>
      <c r="AX430" s="10"/>
      <c r="AY430" s="11">
        <v>0</v>
      </c>
      <c r="AZ430" s="10"/>
      <c r="BA430" s="10"/>
      <c r="BB430" s="11">
        <v>0</v>
      </c>
      <c r="BC430" s="10"/>
      <c r="BD430" s="10"/>
      <c r="BE430" s="11">
        <v>0</v>
      </c>
      <c r="BF430" s="10"/>
      <c r="BG430" s="10"/>
      <c r="BH430" s="11">
        <v>0</v>
      </c>
      <c r="BI430" s="10"/>
      <c r="BJ430" s="10"/>
      <c r="BK430" s="11">
        <v>0</v>
      </c>
      <c r="BL430" s="10"/>
      <c r="BM430" s="10"/>
      <c r="BN430" s="11">
        <v>0</v>
      </c>
      <c r="BO430" s="10"/>
      <c r="BP430" s="10"/>
      <c r="BQ430" s="11">
        <v>0</v>
      </c>
      <c r="BR430" s="10"/>
      <c r="BS430" s="10"/>
      <c r="BT430" s="11">
        <v>0</v>
      </c>
      <c r="BU430" s="10"/>
      <c r="BV430" s="10"/>
      <c r="BW430" s="11">
        <v>0</v>
      </c>
      <c r="BX430" s="10"/>
      <c r="BY430" s="10"/>
      <c r="BZ430" s="11">
        <v>0</v>
      </c>
      <c r="CA430" s="10"/>
      <c r="CB430" s="10"/>
      <c r="CC430" s="11">
        <v>0</v>
      </c>
      <c r="CD430" s="10"/>
      <c r="CE430" s="10"/>
      <c r="CF430" s="11">
        <v>0</v>
      </c>
      <c r="CG430" s="10"/>
      <c r="CH430" s="10"/>
      <c r="CI430" s="11">
        <v>0</v>
      </c>
      <c r="CJ430" s="10"/>
      <c r="CK430" s="10"/>
      <c r="CL430" s="11">
        <v>0</v>
      </c>
      <c r="CM430" s="10"/>
      <c r="CN430" s="10"/>
      <c r="CO430" s="11">
        <v>0</v>
      </c>
      <c r="CP430" s="10"/>
      <c r="CQ430" s="10"/>
      <c r="CR430" s="11">
        <v>0</v>
      </c>
      <c r="CS430" s="10"/>
      <c r="CT430" s="10"/>
      <c r="CU430" s="11">
        <v>0</v>
      </c>
      <c r="CV430" s="10"/>
      <c r="CW430" s="10"/>
      <c r="CX430" s="11">
        <v>0</v>
      </c>
      <c r="CY430" s="10"/>
      <c r="CZ430" s="10"/>
      <c r="DA430" s="11">
        <v>0</v>
      </c>
      <c r="DB430" s="10"/>
      <c r="DC430" s="10"/>
      <c r="DD430" s="13">
        <v>0</v>
      </c>
      <c r="DE430" s="14"/>
    </row>
    <row r="431" spans="1:109" x14ac:dyDescent="0.35">
      <c r="A431" s="8" t="s">
        <v>925</v>
      </c>
      <c r="B431" s="9" t="s">
        <v>140</v>
      </c>
      <c r="C431" s="9" t="s">
        <v>43</v>
      </c>
      <c r="D431" s="9" t="s">
        <v>926</v>
      </c>
      <c r="E431" s="9" t="s">
        <v>45</v>
      </c>
      <c r="F431" s="9" t="s">
        <v>46</v>
      </c>
      <c r="G431" s="10"/>
      <c r="H431" s="10"/>
      <c r="I431" s="11">
        <v>0</v>
      </c>
      <c r="J431" s="10"/>
      <c r="K431" s="10"/>
      <c r="L431" s="12">
        <v>0</v>
      </c>
      <c r="M431" s="10"/>
      <c r="N431" s="10"/>
      <c r="O431" s="11">
        <v>0</v>
      </c>
      <c r="P431" s="10"/>
      <c r="Q431" s="10"/>
      <c r="R431" s="11">
        <v>0</v>
      </c>
      <c r="S431" s="10"/>
      <c r="T431" s="10"/>
      <c r="U431" s="11">
        <v>0</v>
      </c>
      <c r="V431" s="10"/>
      <c r="W431" s="10"/>
      <c r="X431" s="11">
        <v>0</v>
      </c>
      <c r="Y431" s="10"/>
      <c r="Z431" s="10"/>
      <c r="AA431" s="11"/>
      <c r="AB431" s="10"/>
      <c r="AC431" s="10"/>
      <c r="AD431" s="11">
        <v>0</v>
      </c>
      <c r="AE431" s="10"/>
      <c r="AF431" s="10"/>
      <c r="AG431" s="11">
        <v>0</v>
      </c>
      <c r="AH431" s="10"/>
      <c r="AI431" s="10"/>
      <c r="AJ431" s="11">
        <v>0</v>
      </c>
      <c r="AK431" s="10"/>
      <c r="AL431" s="10"/>
      <c r="AM431" s="11">
        <v>0</v>
      </c>
      <c r="AN431" s="10"/>
      <c r="AO431" s="10"/>
      <c r="AP431" s="11">
        <v>0</v>
      </c>
      <c r="AQ431" s="10"/>
      <c r="AR431" s="10"/>
      <c r="AS431" s="11">
        <v>0</v>
      </c>
      <c r="AT431" s="10"/>
      <c r="AU431" s="10"/>
      <c r="AV431" s="11">
        <v>0</v>
      </c>
      <c r="AW431" s="10"/>
      <c r="AX431" s="10"/>
      <c r="AY431" s="11">
        <v>0</v>
      </c>
      <c r="AZ431" s="10"/>
      <c r="BA431" s="10"/>
      <c r="BB431" s="11">
        <v>0</v>
      </c>
      <c r="BC431" s="10"/>
      <c r="BD431" s="10"/>
      <c r="BE431" s="11">
        <v>0</v>
      </c>
      <c r="BF431" s="10"/>
      <c r="BG431" s="10"/>
      <c r="BH431" s="11">
        <v>0</v>
      </c>
      <c r="BI431" s="10"/>
      <c r="BJ431" s="10"/>
      <c r="BK431" s="11">
        <v>0</v>
      </c>
      <c r="BL431" s="10"/>
      <c r="BM431" s="10"/>
      <c r="BN431" s="11">
        <v>0</v>
      </c>
      <c r="BO431" s="10"/>
      <c r="BP431" s="10"/>
      <c r="BQ431" s="11">
        <v>0</v>
      </c>
      <c r="BR431" s="10"/>
      <c r="BS431" s="10"/>
      <c r="BT431" s="11">
        <v>0</v>
      </c>
      <c r="BU431" s="10"/>
      <c r="BV431" s="10"/>
      <c r="BW431" s="11">
        <v>0</v>
      </c>
      <c r="BX431" s="10"/>
      <c r="BY431" s="10"/>
      <c r="BZ431" s="11">
        <v>0</v>
      </c>
      <c r="CA431" s="10"/>
      <c r="CB431" s="10"/>
      <c r="CC431" s="11">
        <v>0</v>
      </c>
      <c r="CD431" s="10"/>
      <c r="CE431" s="10"/>
      <c r="CF431" s="11">
        <v>0</v>
      </c>
      <c r="CG431" s="10"/>
      <c r="CH431" s="10"/>
      <c r="CI431" s="11">
        <v>0</v>
      </c>
      <c r="CJ431" s="10"/>
      <c r="CK431" s="10"/>
      <c r="CL431" s="11">
        <v>0</v>
      </c>
      <c r="CM431" s="10"/>
      <c r="CN431" s="10"/>
      <c r="CO431" s="11">
        <v>0</v>
      </c>
      <c r="CP431" s="10"/>
      <c r="CQ431" s="10"/>
      <c r="CR431" s="11">
        <v>0</v>
      </c>
      <c r="CS431" s="10"/>
      <c r="CT431" s="10"/>
      <c r="CU431" s="11">
        <v>0</v>
      </c>
      <c r="CV431" s="10"/>
      <c r="CW431" s="10"/>
      <c r="CX431" s="11">
        <v>0</v>
      </c>
      <c r="CY431" s="10"/>
      <c r="CZ431" s="10"/>
      <c r="DA431" s="11">
        <v>0</v>
      </c>
      <c r="DB431" s="10"/>
      <c r="DC431" s="10"/>
      <c r="DD431" s="13">
        <v>0</v>
      </c>
      <c r="DE431" s="14"/>
    </row>
    <row r="432" spans="1:109" x14ac:dyDescent="0.35">
      <c r="A432" s="8" t="s">
        <v>927</v>
      </c>
      <c r="B432" s="9" t="s">
        <v>51</v>
      </c>
      <c r="C432" s="9" t="s">
        <v>52</v>
      </c>
      <c r="D432" s="9" t="s">
        <v>928</v>
      </c>
      <c r="E432" s="9" t="s">
        <v>54</v>
      </c>
      <c r="F432" s="9" t="s">
        <v>55</v>
      </c>
      <c r="G432" s="10"/>
      <c r="H432" s="10"/>
      <c r="I432" s="11">
        <v>0</v>
      </c>
      <c r="J432" s="10"/>
      <c r="K432" s="10"/>
      <c r="L432" s="12">
        <v>0</v>
      </c>
      <c r="M432" s="10"/>
      <c r="N432" s="10"/>
      <c r="O432" s="11">
        <v>0</v>
      </c>
      <c r="P432" s="10"/>
      <c r="Q432" s="10"/>
      <c r="R432" s="11">
        <v>0</v>
      </c>
      <c r="S432" s="10"/>
      <c r="T432" s="10"/>
      <c r="U432" s="11">
        <v>0</v>
      </c>
      <c r="V432" s="10"/>
      <c r="W432" s="10"/>
      <c r="X432" s="11">
        <v>0</v>
      </c>
      <c r="Y432" s="10"/>
      <c r="Z432" s="10"/>
      <c r="AA432" s="11"/>
      <c r="AB432" s="10"/>
      <c r="AC432" s="10"/>
      <c r="AD432" s="11">
        <v>0</v>
      </c>
      <c r="AE432" s="10"/>
      <c r="AF432" s="10"/>
      <c r="AG432" s="11">
        <v>0</v>
      </c>
      <c r="AH432" s="10"/>
      <c r="AI432" s="10"/>
      <c r="AJ432" s="11">
        <v>0</v>
      </c>
      <c r="AK432" s="10"/>
      <c r="AL432" s="10"/>
      <c r="AM432" s="11">
        <v>0</v>
      </c>
      <c r="AN432" s="10"/>
      <c r="AO432" s="10"/>
      <c r="AP432" s="11">
        <v>0</v>
      </c>
      <c r="AQ432" s="10"/>
      <c r="AR432" s="10"/>
      <c r="AS432" s="11">
        <v>0</v>
      </c>
      <c r="AT432" s="10"/>
      <c r="AU432" s="10"/>
      <c r="AV432" s="11">
        <v>0</v>
      </c>
      <c r="AW432" s="10"/>
      <c r="AX432" s="10"/>
      <c r="AY432" s="11">
        <v>0</v>
      </c>
      <c r="AZ432" s="10"/>
      <c r="BA432" s="10"/>
      <c r="BB432" s="11">
        <v>0</v>
      </c>
      <c r="BC432" s="10"/>
      <c r="BD432" s="10"/>
      <c r="BE432" s="11">
        <v>0</v>
      </c>
      <c r="BF432" s="10"/>
      <c r="BG432" s="10"/>
      <c r="BH432" s="11">
        <v>0</v>
      </c>
      <c r="BI432" s="10"/>
      <c r="BJ432" s="10"/>
      <c r="BK432" s="11">
        <v>0</v>
      </c>
      <c r="BL432" s="10"/>
      <c r="BM432" s="10"/>
      <c r="BN432" s="11">
        <v>0</v>
      </c>
      <c r="BO432" s="10"/>
      <c r="BP432" s="10"/>
      <c r="BQ432" s="11">
        <v>0</v>
      </c>
      <c r="BR432" s="10"/>
      <c r="BS432" s="10"/>
      <c r="BT432" s="11">
        <v>0</v>
      </c>
      <c r="BU432" s="10"/>
      <c r="BV432" s="10"/>
      <c r="BW432" s="11">
        <v>0</v>
      </c>
      <c r="BX432" s="10"/>
      <c r="BY432" s="10"/>
      <c r="BZ432" s="11">
        <v>0</v>
      </c>
      <c r="CA432" s="10"/>
      <c r="CB432" s="10"/>
      <c r="CC432" s="11">
        <v>0</v>
      </c>
      <c r="CD432" s="10"/>
      <c r="CE432" s="10"/>
      <c r="CF432" s="11">
        <v>0</v>
      </c>
      <c r="CG432" s="10"/>
      <c r="CH432" s="10"/>
      <c r="CI432" s="11">
        <v>0</v>
      </c>
      <c r="CJ432" s="10"/>
      <c r="CK432" s="10"/>
      <c r="CL432" s="11">
        <v>0</v>
      </c>
      <c r="CM432" s="10"/>
      <c r="CN432" s="10"/>
      <c r="CO432" s="11">
        <v>0</v>
      </c>
      <c r="CP432" s="10"/>
      <c r="CQ432" s="10"/>
      <c r="CR432" s="11">
        <v>0</v>
      </c>
      <c r="CS432" s="10"/>
      <c r="CT432" s="10"/>
      <c r="CU432" s="11">
        <v>0</v>
      </c>
      <c r="CV432" s="10"/>
      <c r="CW432" s="10"/>
      <c r="CX432" s="11">
        <v>0</v>
      </c>
      <c r="CY432" s="10"/>
      <c r="CZ432" s="10"/>
      <c r="DA432" s="11">
        <v>0</v>
      </c>
      <c r="DB432" s="10"/>
      <c r="DC432" s="10"/>
      <c r="DD432" s="13">
        <v>0</v>
      </c>
      <c r="DE432" s="14"/>
    </row>
    <row r="433" spans="1:109" x14ac:dyDescent="0.35">
      <c r="A433" s="8" t="s">
        <v>929</v>
      </c>
      <c r="B433" s="9" t="s">
        <v>118</v>
      </c>
      <c r="C433" s="9" t="s">
        <v>43</v>
      </c>
      <c r="D433" s="9" t="s">
        <v>930</v>
      </c>
      <c r="E433" s="9" t="s">
        <v>61</v>
      </c>
      <c r="F433" s="9" t="s">
        <v>62</v>
      </c>
      <c r="G433" s="10"/>
      <c r="H433" s="10"/>
      <c r="I433" s="11">
        <v>0</v>
      </c>
      <c r="J433" s="10"/>
      <c r="K433" s="10"/>
      <c r="L433" s="12">
        <v>0</v>
      </c>
      <c r="M433" s="10"/>
      <c r="N433" s="10"/>
      <c r="O433" s="11">
        <v>0</v>
      </c>
      <c r="P433" s="10"/>
      <c r="Q433" s="10"/>
      <c r="R433" s="11">
        <v>0</v>
      </c>
      <c r="S433" s="10"/>
      <c r="T433" s="10"/>
      <c r="U433" s="11">
        <v>0</v>
      </c>
      <c r="V433" s="10"/>
      <c r="W433" s="10"/>
      <c r="X433" s="11">
        <v>0</v>
      </c>
      <c r="Y433" s="10"/>
      <c r="Z433" s="10"/>
      <c r="AA433" s="11"/>
      <c r="AB433" s="10"/>
      <c r="AC433" s="10"/>
      <c r="AD433" s="11">
        <v>0</v>
      </c>
      <c r="AE433" s="10"/>
      <c r="AF433" s="10"/>
      <c r="AG433" s="11">
        <v>0</v>
      </c>
      <c r="AH433" s="10"/>
      <c r="AI433" s="10"/>
      <c r="AJ433" s="11">
        <v>0</v>
      </c>
      <c r="AK433" s="10"/>
      <c r="AL433" s="10"/>
      <c r="AM433" s="11">
        <v>0</v>
      </c>
      <c r="AN433" s="10"/>
      <c r="AO433" s="10"/>
      <c r="AP433" s="11">
        <v>0</v>
      </c>
      <c r="AQ433" s="10"/>
      <c r="AR433" s="10"/>
      <c r="AS433" s="11">
        <v>0</v>
      </c>
      <c r="AT433" s="10"/>
      <c r="AU433" s="10"/>
      <c r="AV433" s="11">
        <v>0</v>
      </c>
      <c r="AW433" s="10"/>
      <c r="AX433" s="10"/>
      <c r="AY433" s="11">
        <v>0</v>
      </c>
      <c r="AZ433" s="10"/>
      <c r="BA433" s="10"/>
      <c r="BB433" s="11">
        <v>0</v>
      </c>
      <c r="BC433" s="10"/>
      <c r="BD433" s="10"/>
      <c r="BE433" s="11">
        <v>0</v>
      </c>
      <c r="BF433" s="10"/>
      <c r="BG433" s="10"/>
      <c r="BH433" s="11">
        <v>0</v>
      </c>
      <c r="BI433" s="10"/>
      <c r="BJ433" s="10"/>
      <c r="BK433" s="11">
        <v>0</v>
      </c>
      <c r="BL433" s="10"/>
      <c r="BM433" s="10"/>
      <c r="BN433" s="11">
        <v>0</v>
      </c>
      <c r="BO433" s="10"/>
      <c r="BP433" s="10"/>
      <c r="BQ433" s="11">
        <v>0</v>
      </c>
      <c r="BR433" s="10"/>
      <c r="BS433" s="10"/>
      <c r="BT433" s="11">
        <v>0</v>
      </c>
      <c r="BU433" s="10"/>
      <c r="BV433" s="10"/>
      <c r="BW433" s="11">
        <v>0</v>
      </c>
      <c r="BX433" s="10"/>
      <c r="BY433" s="10"/>
      <c r="BZ433" s="11">
        <v>0</v>
      </c>
      <c r="CA433" s="10"/>
      <c r="CB433" s="10"/>
      <c r="CC433" s="11">
        <v>0</v>
      </c>
      <c r="CD433" s="10"/>
      <c r="CE433" s="10"/>
      <c r="CF433" s="11">
        <v>0</v>
      </c>
      <c r="CG433" s="10"/>
      <c r="CH433" s="10"/>
      <c r="CI433" s="11">
        <v>0</v>
      </c>
      <c r="CJ433" s="10"/>
      <c r="CK433" s="10"/>
      <c r="CL433" s="11">
        <v>0</v>
      </c>
      <c r="CM433" s="10"/>
      <c r="CN433" s="10"/>
      <c r="CO433" s="11">
        <v>0</v>
      </c>
      <c r="CP433" s="10"/>
      <c r="CQ433" s="10"/>
      <c r="CR433" s="11">
        <v>0</v>
      </c>
      <c r="CS433" s="10"/>
      <c r="CT433" s="10"/>
      <c r="CU433" s="11">
        <v>0</v>
      </c>
      <c r="CV433" s="10"/>
      <c r="CW433" s="10"/>
      <c r="CX433" s="11">
        <v>0</v>
      </c>
      <c r="CY433" s="10"/>
      <c r="CZ433" s="10"/>
      <c r="DA433" s="11">
        <v>0</v>
      </c>
      <c r="DB433" s="10"/>
      <c r="DC433" s="10"/>
      <c r="DD433" s="13">
        <v>0</v>
      </c>
      <c r="DE433" s="14"/>
    </row>
    <row r="434" spans="1:109" x14ac:dyDescent="0.35">
      <c r="A434" s="8" t="s">
        <v>931</v>
      </c>
      <c r="B434" s="9" t="s">
        <v>74</v>
      </c>
      <c r="C434" s="9" t="s">
        <v>52</v>
      </c>
      <c r="D434" s="9" t="s">
        <v>932</v>
      </c>
      <c r="E434" s="9" t="s">
        <v>54</v>
      </c>
      <c r="F434" s="9" t="s">
        <v>55</v>
      </c>
      <c r="G434" s="10"/>
      <c r="H434" s="10"/>
      <c r="I434" s="11">
        <v>0</v>
      </c>
      <c r="J434" s="10"/>
      <c r="K434" s="10"/>
      <c r="L434" s="12">
        <v>0</v>
      </c>
      <c r="M434" s="10"/>
      <c r="N434" s="10"/>
      <c r="O434" s="11">
        <v>0</v>
      </c>
      <c r="P434" s="10"/>
      <c r="Q434" s="10"/>
      <c r="R434" s="11">
        <v>0</v>
      </c>
      <c r="S434" s="10"/>
      <c r="T434" s="10"/>
      <c r="U434" s="11">
        <v>0</v>
      </c>
      <c r="V434" s="10"/>
      <c r="W434" s="10"/>
      <c r="X434" s="11">
        <v>0</v>
      </c>
      <c r="Y434" s="10"/>
      <c r="Z434" s="10"/>
      <c r="AA434" s="11"/>
      <c r="AB434" s="10"/>
      <c r="AC434" s="10"/>
      <c r="AD434" s="11">
        <v>0</v>
      </c>
      <c r="AE434" s="10"/>
      <c r="AF434" s="10"/>
      <c r="AG434" s="11">
        <v>0</v>
      </c>
      <c r="AH434" s="10"/>
      <c r="AI434" s="10"/>
      <c r="AJ434" s="11">
        <v>0</v>
      </c>
      <c r="AK434" s="10"/>
      <c r="AL434" s="10"/>
      <c r="AM434" s="11">
        <v>0</v>
      </c>
      <c r="AN434" s="10"/>
      <c r="AO434" s="10"/>
      <c r="AP434" s="11">
        <v>0</v>
      </c>
      <c r="AQ434" s="10"/>
      <c r="AR434" s="10"/>
      <c r="AS434" s="11">
        <v>0</v>
      </c>
      <c r="AT434" s="10"/>
      <c r="AU434" s="10"/>
      <c r="AV434" s="11">
        <v>0</v>
      </c>
      <c r="AW434" s="10"/>
      <c r="AX434" s="10"/>
      <c r="AY434" s="11">
        <v>0</v>
      </c>
      <c r="AZ434" s="10"/>
      <c r="BA434" s="10"/>
      <c r="BB434" s="11">
        <v>0</v>
      </c>
      <c r="BC434" s="10"/>
      <c r="BD434" s="10"/>
      <c r="BE434" s="11">
        <v>0</v>
      </c>
      <c r="BF434" s="10"/>
      <c r="BG434" s="10"/>
      <c r="BH434" s="11">
        <v>0</v>
      </c>
      <c r="BI434" s="10"/>
      <c r="BJ434" s="10"/>
      <c r="BK434" s="11">
        <v>0</v>
      </c>
      <c r="BL434" s="10"/>
      <c r="BM434" s="10"/>
      <c r="BN434" s="11">
        <v>0</v>
      </c>
      <c r="BO434" s="10"/>
      <c r="BP434" s="10"/>
      <c r="BQ434" s="11">
        <v>0</v>
      </c>
      <c r="BR434" s="10"/>
      <c r="BS434" s="10"/>
      <c r="BT434" s="11">
        <v>0</v>
      </c>
      <c r="BU434" s="10"/>
      <c r="BV434" s="10"/>
      <c r="BW434" s="11">
        <v>0</v>
      </c>
      <c r="BX434" s="10"/>
      <c r="BY434" s="10"/>
      <c r="BZ434" s="11">
        <v>0</v>
      </c>
      <c r="CA434" s="10"/>
      <c r="CB434" s="10"/>
      <c r="CC434" s="11">
        <v>0</v>
      </c>
      <c r="CD434" s="10"/>
      <c r="CE434" s="10"/>
      <c r="CF434" s="11">
        <v>0</v>
      </c>
      <c r="CG434" s="10"/>
      <c r="CH434" s="10"/>
      <c r="CI434" s="11">
        <v>0</v>
      </c>
      <c r="CJ434" s="10"/>
      <c r="CK434" s="10"/>
      <c r="CL434" s="11">
        <v>0</v>
      </c>
      <c r="CM434" s="10"/>
      <c r="CN434" s="10"/>
      <c r="CO434" s="11">
        <v>0</v>
      </c>
      <c r="CP434" s="10"/>
      <c r="CQ434" s="10"/>
      <c r="CR434" s="11">
        <v>0</v>
      </c>
      <c r="CS434" s="10"/>
      <c r="CT434" s="10"/>
      <c r="CU434" s="11">
        <v>0</v>
      </c>
      <c r="CV434" s="10"/>
      <c r="CW434" s="10"/>
      <c r="CX434" s="11">
        <v>0</v>
      </c>
      <c r="CY434" s="10"/>
      <c r="CZ434" s="10"/>
      <c r="DA434" s="11">
        <v>0</v>
      </c>
      <c r="DB434" s="10"/>
      <c r="DC434" s="10"/>
      <c r="DD434" s="13">
        <v>0</v>
      </c>
      <c r="DE434" s="14"/>
    </row>
    <row r="435" spans="1:109" x14ac:dyDescent="0.35">
      <c r="A435" s="8" t="s">
        <v>933</v>
      </c>
      <c r="B435" s="9" t="s">
        <v>51</v>
      </c>
      <c r="C435" s="9" t="s">
        <v>52</v>
      </c>
      <c r="D435" s="9" t="s">
        <v>934</v>
      </c>
      <c r="E435" s="9" t="s">
        <v>54</v>
      </c>
      <c r="F435" s="9" t="s">
        <v>55</v>
      </c>
      <c r="G435" s="10"/>
      <c r="H435" s="10"/>
      <c r="I435" s="11">
        <v>0</v>
      </c>
      <c r="J435" s="10"/>
      <c r="K435" s="10"/>
      <c r="L435" s="12">
        <v>0</v>
      </c>
      <c r="M435" s="10"/>
      <c r="N435" s="10"/>
      <c r="O435" s="11">
        <v>0</v>
      </c>
      <c r="P435" s="10"/>
      <c r="Q435" s="10"/>
      <c r="R435" s="11">
        <v>0</v>
      </c>
      <c r="S435" s="10"/>
      <c r="T435" s="10"/>
      <c r="U435" s="11">
        <v>0</v>
      </c>
      <c r="V435" s="10"/>
      <c r="W435" s="10"/>
      <c r="X435" s="11">
        <v>0</v>
      </c>
      <c r="Y435" s="10"/>
      <c r="Z435" s="10"/>
      <c r="AA435" s="11"/>
      <c r="AB435" s="10"/>
      <c r="AC435" s="10"/>
      <c r="AD435" s="11">
        <v>0</v>
      </c>
      <c r="AE435" s="10"/>
      <c r="AF435" s="10"/>
      <c r="AG435" s="11">
        <v>0</v>
      </c>
      <c r="AH435" s="10"/>
      <c r="AI435" s="10"/>
      <c r="AJ435" s="11">
        <v>0</v>
      </c>
      <c r="AK435" s="10"/>
      <c r="AL435" s="10"/>
      <c r="AM435" s="11">
        <v>0</v>
      </c>
      <c r="AN435" s="10"/>
      <c r="AO435" s="10"/>
      <c r="AP435" s="11">
        <v>0</v>
      </c>
      <c r="AQ435" s="10"/>
      <c r="AR435" s="10"/>
      <c r="AS435" s="11">
        <v>0</v>
      </c>
      <c r="AT435" s="10"/>
      <c r="AU435" s="10"/>
      <c r="AV435" s="11">
        <v>0</v>
      </c>
      <c r="AW435" s="10"/>
      <c r="AX435" s="10"/>
      <c r="AY435" s="11">
        <v>0</v>
      </c>
      <c r="AZ435" s="10"/>
      <c r="BA435" s="10"/>
      <c r="BB435" s="11">
        <v>0</v>
      </c>
      <c r="BC435" s="10"/>
      <c r="BD435" s="10"/>
      <c r="BE435" s="11">
        <v>0</v>
      </c>
      <c r="BF435" s="10"/>
      <c r="BG435" s="10"/>
      <c r="BH435" s="11">
        <v>0</v>
      </c>
      <c r="BI435" s="10"/>
      <c r="BJ435" s="10"/>
      <c r="BK435" s="11">
        <v>0</v>
      </c>
      <c r="BL435" s="10"/>
      <c r="BM435" s="10"/>
      <c r="BN435" s="11">
        <v>0</v>
      </c>
      <c r="BO435" s="10"/>
      <c r="BP435" s="10"/>
      <c r="BQ435" s="11">
        <v>0</v>
      </c>
      <c r="BR435" s="10"/>
      <c r="BS435" s="10"/>
      <c r="BT435" s="11">
        <v>0</v>
      </c>
      <c r="BU435" s="10"/>
      <c r="BV435" s="10"/>
      <c r="BW435" s="11">
        <v>0</v>
      </c>
      <c r="BX435" s="10"/>
      <c r="BY435" s="10"/>
      <c r="BZ435" s="11">
        <v>0</v>
      </c>
      <c r="CA435" s="10"/>
      <c r="CB435" s="10"/>
      <c r="CC435" s="11">
        <v>0</v>
      </c>
      <c r="CD435" s="10"/>
      <c r="CE435" s="10"/>
      <c r="CF435" s="11">
        <v>0</v>
      </c>
      <c r="CG435" s="10"/>
      <c r="CH435" s="10"/>
      <c r="CI435" s="11">
        <v>0</v>
      </c>
      <c r="CJ435" s="10"/>
      <c r="CK435" s="10"/>
      <c r="CL435" s="11">
        <v>0</v>
      </c>
      <c r="CM435" s="10"/>
      <c r="CN435" s="10"/>
      <c r="CO435" s="11">
        <v>0</v>
      </c>
      <c r="CP435" s="10"/>
      <c r="CQ435" s="10"/>
      <c r="CR435" s="11">
        <v>0</v>
      </c>
      <c r="CS435" s="10"/>
      <c r="CT435" s="10"/>
      <c r="CU435" s="11">
        <v>0</v>
      </c>
      <c r="CV435" s="10"/>
      <c r="CW435" s="10"/>
      <c r="CX435" s="11">
        <v>0</v>
      </c>
      <c r="CY435" s="10"/>
      <c r="CZ435" s="10"/>
      <c r="DA435" s="11">
        <v>0</v>
      </c>
      <c r="DB435" s="10"/>
      <c r="DC435" s="10"/>
      <c r="DD435" s="13">
        <v>0</v>
      </c>
      <c r="DE435" s="14"/>
    </row>
    <row r="436" spans="1:109" x14ac:dyDescent="0.35">
      <c r="A436" s="8" t="s">
        <v>935</v>
      </c>
      <c r="B436" s="9" t="s">
        <v>74</v>
      </c>
      <c r="C436" s="9" t="s">
        <v>52</v>
      </c>
      <c r="D436" s="9" t="s">
        <v>936</v>
      </c>
      <c r="E436" s="9" t="s">
        <v>54</v>
      </c>
      <c r="F436" s="9" t="s">
        <v>55</v>
      </c>
      <c r="G436" s="10"/>
      <c r="H436" s="10"/>
      <c r="I436" s="11">
        <v>0</v>
      </c>
      <c r="J436" s="10"/>
      <c r="K436" s="10"/>
      <c r="L436" s="12">
        <v>0</v>
      </c>
      <c r="M436" s="10"/>
      <c r="N436" s="10"/>
      <c r="O436" s="11">
        <v>0</v>
      </c>
      <c r="P436" s="10"/>
      <c r="Q436" s="10"/>
      <c r="R436" s="11">
        <v>0</v>
      </c>
      <c r="S436" s="10"/>
      <c r="T436" s="10"/>
      <c r="U436" s="11">
        <v>0</v>
      </c>
      <c r="V436" s="10"/>
      <c r="W436" s="10"/>
      <c r="X436" s="11">
        <v>0</v>
      </c>
      <c r="Y436" s="10"/>
      <c r="Z436" s="10"/>
      <c r="AA436" s="11"/>
      <c r="AB436" s="10"/>
      <c r="AC436" s="10"/>
      <c r="AD436" s="11">
        <v>0</v>
      </c>
      <c r="AE436" s="10"/>
      <c r="AF436" s="10"/>
      <c r="AG436" s="11">
        <v>0</v>
      </c>
      <c r="AH436" s="10"/>
      <c r="AI436" s="10"/>
      <c r="AJ436" s="11">
        <v>0</v>
      </c>
      <c r="AK436" s="10"/>
      <c r="AL436" s="10"/>
      <c r="AM436" s="11">
        <v>0</v>
      </c>
      <c r="AN436" s="10"/>
      <c r="AO436" s="10"/>
      <c r="AP436" s="11">
        <v>0</v>
      </c>
      <c r="AQ436" s="10"/>
      <c r="AR436" s="10"/>
      <c r="AS436" s="11">
        <v>0</v>
      </c>
      <c r="AT436" s="10"/>
      <c r="AU436" s="10"/>
      <c r="AV436" s="11">
        <v>0</v>
      </c>
      <c r="AW436" s="10"/>
      <c r="AX436" s="10"/>
      <c r="AY436" s="11">
        <v>0</v>
      </c>
      <c r="AZ436" s="10"/>
      <c r="BA436" s="10"/>
      <c r="BB436" s="11">
        <v>0</v>
      </c>
      <c r="BC436" s="10"/>
      <c r="BD436" s="10"/>
      <c r="BE436" s="11">
        <v>0</v>
      </c>
      <c r="BF436" s="10"/>
      <c r="BG436" s="10"/>
      <c r="BH436" s="11">
        <v>0</v>
      </c>
      <c r="BI436" s="10"/>
      <c r="BJ436" s="10"/>
      <c r="BK436" s="11">
        <v>0</v>
      </c>
      <c r="BL436" s="10"/>
      <c r="BM436" s="10"/>
      <c r="BN436" s="11">
        <v>0</v>
      </c>
      <c r="BO436" s="10"/>
      <c r="BP436" s="10"/>
      <c r="BQ436" s="11">
        <v>0</v>
      </c>
      <c r="BR436" s="10"/>
      <c r="BS436" s="10"/>
      <c r="BT436" s="11">
        <v>0</v>
      </c>
      <c r="BU436" s="10"/>
      <c r="BV436" s="10"/>
      <c r="BW436" s="11">
        <v>0</v>
      </c>
      <c r="BX436" s="10"/>
      <c r="BY436" s="10"/>
      <c r="BZ436" s="11">
        <v>0</v>
      </c>
      <c r="CA436" s="10"/>
      <c r="CB436" s="10"/>
      <c r="CC436" s="11">
        <v>0</v>
      </c>
      <c r="CD436" s="10"/>
      <c r="CE436" s="10"/>
      <c r="CF436" s="11">
        <v>0</v>
      </c>
      <c r="CG436" s="10"/>
      <c r="CH436" s="10"/>
      <c r="CI436" s="11">
        <v>0</v>
      </c>
      <c r="CJ436" s="10"/>
      <c r="CK436" s="10"/>
      <c r="CL436" s="11">
        <v>0</v>
      </c>
      <c r="CM436" s="10"/>
      <c r="CN436" s="10"/>
      <c r="CO436" s="11">
        <v>0</v>
      </c>
      <c r="CP436" s="10"/>
      <c r="CQ436" s="10"/>
      <c r="CR436" s="11">
        <v>0</v>
      </c>
      <c r="CS436" s="10"/>
      <c r="CT436" s="10"/>
      <c r="CU436" s="11">
        <v>0</v>
      </c>
      <c r="CV436" s="10"/>
      <c r="CW436" s="10"/>
      <c r="CX436" s="11">
        <v>0</v>
      </c>
      <c r="CY436" s="10"/>
      <c r="CZ436" s="10"/>
      <c r="DA436" s="11">
        <v>0</v>
      </c>
      <c r="DB436" s="10"/>
      <c r="DC436" s="10"/>
      <c r="DD436" s="13">
        <v>0</v>
      </c>
      <c r="DE436" s="14"/>
    </row>
    <row r="437" spans="1:109" x14ac:dyDescent="0.35">
      <c r="A437" s="8" t="s">
        <v>937</v>
      </c>
      <c r="B437" s="9" t="s">
        <v>48</v>
      </c>
      <c r="C437" s="9" t="s">
        <v>43</v>
      </c>
      <c r="D437" s="9" t="s">
        <v>938</v>
      </c>
      <c r="E437" s="9" t="s">
        <v>45</v>
      </c>
      <c r="F437" s="9" t="s">
        <v>46</v>
      </c>
      <c r="G437" s="10"/>
      <c r="H437" s="10"/>
      <c r="I437" s="11">
        <v>0</v>
      </c>
      <c r="J437" s="10"/>
      <c r="K437" s="10"/>
      <c r="L437" s="12">
        <v>0</v>
      </c>
      <c r="M437" s="10"/>
      <c r="N437" s="10"/>
      <c r="O437" s="11">
        <v>0</v>
      </c>
      <c r="P437" s="10"/>
      <c r="Q437" s="10"/>
      <c r="R437" s="11">
        <v>0</v>
      </c>
      <c r="S437" s="10"/>
      <c r="T437" s="10"/>
      <c r="U437" s="11">
        <v>0</v>
      </c>
      <c r="V437" s="10"/>
      <c r="W437" s="10"/>
      <c r="X437" s="11">
        <v>0</v>
      </c>
      <c r="Y437" s="10"/>
      <c r="Z437" s="10"/>
      <c r="AA437" s="11"/>
      <c r="AB437" s="10"/>
      <c r="AC437" s="10"/>
      <c r="AD437" s="11">
        <v>0</v>
      </c>
      <c r="AE437" s="10"/>
      <c r="AF437" s="10"/>
      <c r="AG437" s="11">
        <v>0</v>
      </c>
      <c r="AH437" s="10"/>
      <c r="AI437" s="10"/>
      <c r="AJ437" s="11">
        <v>0</v>
      </c>
      <c r="AK437" s="10"/>
      <c r="AL437" s="10"/>
      <c r="AM437" s="11">
        <v>0</v>
      </c>
      <c r="AN437" s="10"/>
      <c r="AO437" s="10"/>
      <c r="AP437" s="11">
        <v>0</v>
      </c>
      <c r="AQ437" s="10"/>
      <c r="AR437" s="10"/>
      <c r="AS437" s="11">
        <v>0</v>
      </c>
      <c r="AT437" s="10"/>
      <c r="AU437" s="10"/>
      <c r="AV437" s="11">
        <v>0</v>
      </c>
      <c r="AW437" s="10"/>
      <c r="AX437" s="10"/>
      <c r="AY437" s="11">
        <v>0</v>
      </c>
      <c r="AZ437" s="10"/>
      <c r="BA437" s="10"/>
      <c r="BB437" s="11">
        <v>0</v>
      </c>
      <c r="BC437" s="10"/>
      <c r="BD437" s="10"/>
      <c r="BE437" s="11">
        <v>0</v>
      </c>
      <c r="BF437" s="10"/>
      <c r="BG437" s="10"/>
      <c r="BH437" s="11">
        <v>0</v>
      </c>
      <c r="BI437" s="10"/>
      <c r="BJ437" s="10"/>
      <c r="BK437" s="11">
        <v>0</v>
      </c>
      <c r="BL437" s="10"/>
      <c r="BM437" s="10"/>
      <c r="BN437" s="11">
        <v>0</v>
      </c>
      <c r="BO437" s="10"/>
      <c r="BP437" s="10"/>
      <c r="BQ437" s="11">
        <v>0</v>
      </c>
      <c r="BR437" s="10"/>
      <c r="BS437" s="10"/>
      <c r="BT437" s="11">
        <v>0</v>
      </c>
      <c r="BU437" s="10"/>
      <c r="BV437" s="10"/>
      <c r="BW437" s="11">
        <v>0</v>
      </c>
      <c r="BX437" s="10"/>
      <c r="BY437" s="10"/>
      <c r="BZ437" s="11">
        <v>0</v>
      </c>
      <c r="CA437" s="10"/>
      <c r="CB437" s="10"/>
      <c r="CC437" s="11">
        <v>0</v>
      </c>
      <c r="CD437" s="10"/>
      <c r="CE437" s="10"/>
      <c r="CF437" s="11">
        <v>0</v>
      </c>
      <c r="CG437" s="10"/>
      <c r="CH437" s="10"/>
      <c r="CI437" s="11">
        <v>0</v>
      </c>
      <c r="CJ437" s="10"/>
      <c r="CK437" s="10"/>
      <c r="CL437" s="11">
        <v>0</v>
      </c>
      <c r="CM437" s="10"/>
      <c r="CN437" s="10"/>
      <c r="CO437" s="11">
        <v>0</v>
      </c>
      <c r="CP437" s="10"/>
      <c r="CQ437" s="10"/>
      <c r="CR437" s="11">
        <v>0</v>
      </c>
      <c r="CS437" s="10"/>
      <c r="CT437" s="10"/>
      <c r="CU437" s="11">
        <v>0</v>
      </c>
      <c r="CV437" s="10"/>
      <c r="CW437" s="10"/>
      <c r="CX437" s="11">
        <v>0</v>
      </c>
      <c r="CY437" s="10"/>
      <c r="CZ437" s="10"/>
      <c r="DA437" s="11">
        <v>0</v>
      </c>
      <c r="DB437" s="10"/>
      <c r="DC437" s="10"/>
      <c r="DD437" s="13">
        <v>0</v>
      </c>
      <c r="DE437" s="14"/>
    </row>
    <row r="438" spans="1:109" x14ac:dyDescent="0.35">
      <c r="A438" s="8" t="s">
        <v>939</v>
      </c>
      <c r="B438" s="9" t="s">
        <v>42</v>
      </c>
      <c r="C438" s="9" t="s">
        <v>43</v>
      </c>
      <c r="D438" s="9" t="s">
        <v>940</v>
      </c>
      <c r="E438" s="9" t="s">
        <v>45</v>
      </c>
      <c r="F438" s="9" t="s">
        <v>46</v>
      </c>
      <c r="G438" s="10"/>
      <c r="H438" s="10"/>
      <c r="I438" s="11">
        <v>0</v>
      </c>
      <c r="J438" s="10"/>
      <c r="K438" s="10"/>
      <c r="L438" s="12">
        <v>0</v>
      </c>
      <c r="M438" s="10"/>
      <c r="N438" s="10"/>
      <c r="O438" s="11">
        <v>0</v>
      </c>
      <c r="P438" s="10"/>
      <c r="Q438" s="10"/>
      <c r="R438" s="11">
        <v>0</v>
      </c>
      <c r="S438" s="10"/>
      <c r="T438" s="10"/>
      <c r="U438" s="11">
        <v>0</v>
      </c>
      <c r="V438" s="10"/>
      <c r="W438" s="10"/>
      <c r="X438" s="11">
        <v>0</v>
      </c>
      <c r="Y438" s="10"/>
      <c r="Z438" s="10"/>
      <c r="AA438" s="11"/>
      <c r="AB438" s="10"/>
      <c r="AC438" s="10"/>
      <c r="AD438" s="11">
        <v>0</v>
      </c>
      <c r="AE438" s="10"/>
      <c r="AF438" s="10"/>
      <c r="AG438" s="11">
        <v>0</v>
      </c>
      <c r="AH438" s="10"/>
      <c r="AI438" s="10"/>
      <c r="AJ438" s="11">
        <v>0</v>
      </c>
      <c r="AK438" s="10"/>
      <c r="AL438" s="10"/>
      <c r="AM438" s="11">
        <v>0</v>
      </c>
      <c r="AN438" s="10"/>
      <c r="AO438" s="10"/>
      <c r="AP438" s="11">
        <v>0</v>
      </c>
      <c r="AQ438" s="10"/>
      <c r="AR438" s="10"/>
      <c r="AS438" s="11">
        <v>0</v>
      </c>
      <c r="AT438" s="10"/>
      <c r="AU438" s="10"/>
      <c r="AV438" s="11">
        <v>0</v>
      </c>
      <c r="AW438" s="10"/>
      <c r="AX438" s="10"/>
      <c r="AY438" s="11">
        <v>0</v>
      </c>
      <c r="AZ438" s="10"/>
      <c r="BA438" s="10"/>
      <c r="BB438" s="11">
        <v>0</v>
      </c>
      <c r="BC438" s="10"/>
      <c r="BD438" s="10"/>
      <c r="BE438" s="11">
        <v>0</v>
      </c>
      <c r="BF438" s="10"/>
      <c r="BG438" s="10"/>
      <c r="BH438" s="11">
        <v>0</v>
      </c>
      <c r="BI438" s="10"/>
      <c r="BJ438" s="10"/>
      <c r="BK438" s="11">
        <v>0</v>
      </c>
      <c r="BL438" s="10"/>
      <c r="BM438" s="10"/>
      <c r="BN438" s="11">
        <v>0</v>
      </c>
      <c r="BO438" s="10"/>
      <c r="BP438" s="10"/>
      <c r="BQ438" s="11">
        <v>0</v>
      </c>
      <c r="BR438" s="10"/>
      <c r="BS438" s="10"/>
      <c r="BT438" s="11">
        <v>0</v>
      </c>
      <c r="BU438" s="10"/>
      <c r="BV438" s="10"/>
      <c r="BW438" s="11">
        <v>0</v>
      </c>
      <c r="BX438" s="10"/>
      <c r="BY438" s="10"/>
      <c r="BZ438" s="11">
        <v>0</v>
      </c>
      <c r="CA438" s="10"/>
      <c r="CB438" s="10"/>
      <c r="CC438" s="11">
        <v>0</v>
      </c>
      <c r="CD438" s="10"/>
      <c r="CE438" s="10"/>
      <c r="CF438" s="11">
        <v>0</v>
      </c>
      <c r="CG438" s="10"/>
      <c r="CH438" s="10"/>
      <c r="CI438" s="11">
        <v>0</v>
      </c>
      <c r="CJ438" s="10"/>
      <c r="CK438" s="10"/>
      <c r="CL438" s="11">
        <v>0</v>
      </c>
      <c r="CM438" s="10"/>
      <c r="CN438" s="10"/>
      <c r="CO438" s="11">
        <v>0</v>
      </c>
      <c r="CP438" s="10"/>
      <c r="CQ438" s="10"/>
      <c r="CR438" s="11">
        <v>0</v>
      </c>
      <c r="CS438" s="10"/>
      <c r="CT438" s="10"/>
      <c r="CU438" s="11">
        <v>0</v>
      </c>
      <c r="CV438" s="10"/>
      <c r="CW438" s="10"/>
      <c r="CX438" s="11">
        <v>0</v>
      </c>
      <c r="CY438" s="10"/>
      <c r="CZ438" s="10"/>
      <c r="DA438" s="11">
        <v>0</v>
      </c>
      <c r="DB438" s="10"/>
      <c r="DC438" s="10"/>
      <c r="DD438" s="13">
        <v>0</v>
      </c>
      <c r="DE438" s="14"/>
    </row>
    <row r="439" spans="1:109" x14ac:dyDescent="0.35">
      <c r="A439" s="8" t="s">
        <v>941</v>
      </c>
      <c r="B439" s="9" t="s">
        <v>160</v>
      </c>
      <c r="C439" s="9" t="s">
        <v>52</v>
      </c>
      <c r="D439" s="9" t="s">
        <v>942</v>
      </c>
      <c r="E439" s="9" t="s">
        <v>54</v>
      </c>
      <c r="F439" s="9" t="s">
        <v>55</v>
      </c>
      <c r="G439" s="10"/>
      <c r="H439" s="10"/>
      <c r="I439" s="11">
        <v>0</v>
      </c>
      <c r="J439" s="10"/>
      <c r="K439" s="10"/>
      <c r="L439" s="12">
        <v>0</v>
      </c>
      <c r="M439" s="10"/>
      <c r="N439" s="10"/>
      <c r="O439" s="11">
        <v>0</v>
      </c>
      <c r="P439" s="10"/>
      <c r="Q439" s="10"/>
      <c r="R439" s="11">
        <v>0</v>
      </c>
      <c r="S439" s="10"/>
      <c r="T439" s="10"/>
      <c r="U439" s="11">
        <v>0</v>
      </c>
      <c r="V439" s="10"/>
      <c r="W439" s="10"/>
      <c r="X439" s="11">
        <v>0</v>
      </c>
      <c r="Y439" s="10"/>
      <c r="Z439" s="10"/>
      <c r="AA439" s="11"/>
      <c r="AB439" s="10"/>
      <c r="AC439" s="10"/>
      <c r="AD439" s="11">
        <v>0</v>
      </c>
      <c r="AE439" s="10"/>
      <c r="AF439" s="10"/>
      <c r="AG439" s="11">
        <v>0</v>
      </c>
      <c r="AH439" s="10"/>
      <c r="AI439" s="10"/>
      <c r="AJ439" s="11">
        <v>0</v>
      </c>
      <c r="AK439" s="10"/>
      <c r="AL439" s="10"/>
      <c r="AM439" s="11">
        <v>0</v>
      </c>
      <c r="AN439" s="10"/>
      <c r="AO439" s="10"/>
      <c r="AP439" s="11">
        <v>0</v>
      </c>
      <c r="AQ439" s="10"/>
      <c r="AR439" s="10"/>
      <c r="AS439" s="11">
        <v>0</v>
      </c>
      <c r="AT439" s="10"/>
      <c r="AU439" s="10"/>
      <c r="AV439" s="11">
        <v>0</v>
      </c>
      <c r="AW439" s="10"/>
      <c r="AX439" s="10"/>
      <c r="AY439" s="11">
        <v>0</v>
      </c>
      <c r="AZ439" s="10"/>
      <c r="BA439" s="10"/>
      <c r="BB439" s="11">
        <v>0</v>
      </c>
      <c r="BC439" s="10"/>
      <c r="BD439" s="10"/>
      <c r="BE439" s="11">
        <v>0</v>
      </c>
      <c r="BF439" s="10"/>
      <c r="BG439" s="10"/>
      <c r="BH439" s="11">
        <v>0</v>
      </c>
      <c r="BI439" s="10"/>
      <c r="BJ439" s="10"/>
      <c r="BK439" s="11">
        <v>0</v>
      </c>
      <c r="BL439" s="10"/>
      <c r="BM439" s="10"/>
      <c r="BN439" s="11">
        <v>0</v>
      </c>
      <c r="BO439" s="10"/>
      <c r="BP439" s="10"/>
      <c r="BQ439" s="11">
        <v>0</v>
      </c>
      <c r="BR439" s="10"/>
      <c r="BS439" s="10"/>
      <c r="BT439" s="11">
        <v>0</v>
      </c>
      <c r="BU439" s="10"/>
      <c r="BV439" s="10"/>
      <c r="BW439" s="11">
        <v>0</v>
      </c>
      <c r="BX439" s="10"/>
      <c r="BY439" s="10"/>
      <c r="BZ439" s="11">
        <v>0</v>
      </c>
      <c r="CA439" s="10"/>
      <c r="CB439" s="10"/>
      <c r="CC439" s="11">
        <v>0</v>
      </c>
      <c r="CD439" s="10"/>
      <c r="CE439" s="10"/>
      <c r="CF439" s="11">
        <v>0</v>
      </c>
      <c r="CG439" s="10"/>
      <c r="CH439" s="10"/>
      <c r="CI439" s="11">
        <v>0</v>
      </c>
      <c r="CJ439" s="10"/>
      <c r="CK439" s="10"/>
      <c r="CL439" s="11">
        <v>0</v>
      </c>
      <c r="CM439" s="10"/>
      <c r="CN439" s="10"/>
      <c r="CO439" s="11">
        <v>0</v>
      </c>
      <c r="CP439" s="10"/>
      <c r="CQ439" s="10"/>
      <c r="CR439" s="11">
        <v>0</v>
      </c>
      <c r="CS439" s="10"/>
      <c r="CT439" s="10"/>
      <c r="CU439" s="11">
        <v>0</v>
      </c>
      <c r="CV439" s="10"/>
      <c r="CW439" s="10"/>
      <c r="CX439" s="11">
        <v>0</v>
      </c>
      <c r="CY439" s="10"/>
      <c r="CZ439" s="10"/>
      <c r="DA439" s="11">
        <v>0</v>
      </c>
      <c r="DB439" s="10"/>
      <c r="DC439" s="10"/>
      <c r="DD439" s="13">
        <v>0</v>
      </c>
      <c r="DE439" s="14"/>
    </row>
    <row r="440" spans="1:109" x14ac:dyDescent="0.35">
      <c r="A440" s="8" t="s">
        <v>943</v>
      </c>
      <c r="B440" s="9" t="s">
        <v>74</v>
      </c>
      <c r="C440" s="9" t="s">
        <v>52</v>
      </c>
      <c r="D440" s="9" t="s">
        <v>944</v>
      </c>
      <c r="E440" s="9" t="s">
        <v>54</v>
      </c>
      <c r="F440" s="9" t="s">
        <v>55</v>
      </c>
      <c r="G440" s="10"/>
      <c r="H440" s="10"/>
      <c r="I440" s="11">
        <v>0</v>
      </c>
      <c r="J440" s="10"/>
      <c r="K440" s="10"/>
      <c r="L440" s="12">
        <v>0</v>
      </c>
      <c r="M440" s="10"/>
      <c r="N440" s="10"/>
      <c r="O440" s="11">
        <v>0</v>
      </c>
      <c r="P440" s="10"/>
      <c r="Q440" s="10"/>
      <c r="R440" s="11">
        <v>0</v>
      </c>
      <c r="S440" s="10"/>
      <c r="T440" s="10"/>
      <c r="U440" s="11">
        <v>0</v>
      </c>
      <c r="V440" s="10"/>
      <c r="W440" s="10"/>
      <c r="X440" s="11">
        <v>0</v>
      </c>
      <c r="Y440" s="10"/>
      <c r="Z440" s="10"/>
      <c r="AA440" s="11"/>
      <c r="AB440" s="10"/>
      <c r="AC440" s="10"/>
      <c r="AD440" s="11">
        <v>0</v>
      </c>
      <c r="AE440" s="10"/>
      <c r="AF440" s="10"/>
      <c r="AG440" s="11">
        <v>0</v>
      </c>
      <c r="AH440" s="10"/>
      <c r="AI440" s="10"/>
      <c r="AJ440" s="11">
        <v>0</v>
      </c>
      <c r="AK440" s="10"/>
      <c r="AL440" s="10"/>
      <c r="AM440" s="11">
        <v>0</v>
      </c>
      <c r="AN440" s="10"/>
      <c r="AO440" s="10"/>
      <c r="AP440" s="11">
        <v>0</v>
      </c>
      <c r="AQ440" s="10"/>
      <c r="AR440" s="10"/>
      <c r="AS440" s="11">
        <v>0</v>
      </c>
      <c r="AT440" s="10"/>
      <c r="AU440" s="10"/>
      <c r="AV440" s="11">
        <v>0</v>
      </c>
      <c r="AW440" s="10"/>
      <c r="AX440" s="10"/>
      <c r="AY440" s="11">
        <v>0</v>
      </c>
      <c r="AZ440" s="10"/>
      <c r="BA440" s="10"/>
      <c r="BB440" s="11">
        <v>0</v>
      </c>
      <c r="BC440" s="10"/>
      <c r="BD440" s="10"/>
      <c r="BE440" s="11">
        <v>0</v>
      </c>
      <c r="BF440" s="10"/>
      <c r="BG440" s="10"/>
      <c r="BH440" s="11">
        <v>0</v>
      </c>
      <c r="BI440" s="10"/>
      <c r="BJ440" s="10"/>
      <c r="BK440" s="11">
        <v>0</v>
      </c>
      <c r="BL440" s="10"/>
      <c r="BM440" s="10"/>
      <c r="BN440" s="11">
        <v>0</v>
      </c>
      <c r="BO440" s="10"/>
      <c r="BP440" s="10"/>
      <c r="BQ440" s="11">
        <v>0</v>
      </c>
      <c r="BR440" s="10"/>
      <c r="BS440" s="10"/>
      <c r="BT440" s="11">
        <v>0</v>
      </c>
      <c r="BU440" s="10"/>
      <c r="BV440" s="10"/>
      <c r="BW440" s="11">
        <v>0</v>
      </c>
      <c r="BX440" s="10"/>
      <c r="BY440" s="10"/>
      <c r="BZ440" s="11">
        <v>0</v>
      </c>
      <c r="CA440" s="10"/>
      <c r="CB440" s="10"/>
      <c r="CC440" s="11">
        <v>0</v>
      </c>
      <c r="CD440" s="10"/>
      <c r="CE440" s="10"/>
      <c r="CF440" s="11">
        <v>0</v>
      </c>
      <c r="CG440" s="10"/>
      <c r="CH440" s="10"/>
      <c r="CI440" s="11">
        <v>0</v>
      </c>
      <c r="CJ440" s="10"/>
      <c r="CK440" s="10"/>
      <c r="CL440" s="11">
        <v>0</v>
      </c>
      <c r="CM440" s="10"/>
      <c r="CN440" s="10"/>
      <c r="CO440" s="11">
        <v>0</v>
      </c>
      <c r="CP440" s="10"/>
      <c r="CQ440" s="10"/>
      <c r="CR440" s="11">
        <v>0</v>
      </c>
      <c r="CS440" s="10"/>
      <c r="CT440" s="10"/>
      <c r="CU440" s="11">
        <v>0</v>
      </c>
      <c r="CV440" s="10"/>
      <c r="CW440" s="10"/>
      <c r="CX440" s="11">
        <v>0</v>
      </c>
      <c r="CY440" s="10"/>
      <c r="CZ440" s="10"/>
      <c r="DA440" s="11">
        <v>0</v>
      </c>
      <c r="DB440" s="10"/>
      <c r="DC440" s="10"/>
      <c r="DD440" s="13">
        <v>0</v>
      </c>
      <c r="DE440" s="14"/>
    </row>
    <row r="441" spans="1:109" x14ac:dyDescent="0.35">
      <c r="A441" s="8" t="s">
        <v>945</v>
      </c>
      <c r="B441" s="9" t="s">
        <v>140</v>
      </c>
      <c r="C441" s="9" t="s">
        <v>43</v>
      </c>
      <c r="D441" s="9" t="s">
        <v>946</v>
      </c>
      <c r="E441" s="9" t="s">
        <v>45</v>
      </c>
      <c r="F441" s="9" t="s">
        <v>46</v>
      </c>
      <c r="G441" s="10"/>
      <c r="H441" s="10"/>
      <c r="I441" s="11">
        <v>0</v>
      </c>
      <c r="J441" s="10"/>
      <c r="K441" s="10"/>
      <c r="L441" s="12">
        <v>0</v>
      </c>
      <c r="M441" s="10"/>
      <c r="N441" s="10"/>
      <c r="O441" s="11">
        <v>0</v>
      </c>
      <c r="P441" s="10"/>
      <c r="Q441" s="10"/>
      <c r="R441" s="11">
        <v>0</v>
      </c>
      <c r="S441" s="10"/>
      <c r="T441" s="10"/>
      <c r="U441" s="11">
        <v>0</v>
      </c>
      <c r="V441" s="10"/>
      <c r="W441" s="10"/>
      <c r="X441" s="11">
        <v>0</v>
      </c>
      <c r="Y441" s="10"/>
      <c r="Z441" s="10"/>
      <c r="AA441" s="11"/>
      <c r="AB441" s="10"/>
      <c r="AC441" s="10"/>
      <c r="AD441" s="11">
        <v>0</v>
      </c>
      <c r="AE441" s="10"/>
      <c r="AF441" s="10"/>
      <c r="AG441" s="11">
        <v>0</v>
      </c>
      <c r="AH441" s="10"/>
      <c r="AI441" s="10"/>
      <c r="AJ441" s="11">
        <v>0</v>
      </c>
      <c r="AK441" s="10"/>
      <c r="AL441" s="10"/>
      <c r="AM441" s="11">
        <v>0</v>
      </c>
      <c r="AN441" s="10"/>
      <c r="AO441" s="10"/>
      <c r="AP441" s="11">
        <v>0</v>
      </c>
      <c r="AQ441" s="10"/>
      <c r="AR441" s="10"/>
      <c r="AS441" s="11">
        <v>0</v>
      </c>
      <c r="AT441" s="10"/>
      <c r="AU441" s="10"/>
      <c r="AV441" s="11">
        <v>0</v>
      </c>
      <c r="AW441" s="10"/>
      <c r="AX441" s="10"/>
      <c r="AY441" s="11">
        <v>0</v>
      </c>
      <c r="AZ441" s="10"/>
      <c r="BA441" s="10"/>
      <c r="BB441" s="11">
        <v>0</v>
      </c>
      <c r="BC441" s="10"/>
      <c r="BD441" s="10"/>
      <c r="BE441" s="11">
        <v>0</v>
      </c>
      <c r="BF441" s="10"/>
      <c r="BG441" s="10"/>
      <c r="BH441" s="11">
        <v>0</v>
      </c>
      <c r="BI441" s="10"/>
      <c r="BJ441" s="10"/>
      <c r="BK441" s="11">
        <v>0</v>
      </c>
      <c r="BL441" s="10"/>
      <c r="BM441" s="10"/>
      <c r="BN441" s="11">
        <v>0</v>
      </c>
      <c r="BO441" s="10"/>
      <c r="BP441" s="10"/>
      <c r="BQ441" s="11">
        <v>0</v>
      </c>
      <c r="BR441" s="10"/>
      <c r="BS441" s="10"/>
      <c r="BT441" s="11">
        <v>0</v>
      </c>
      <c r="BU441" s="10"/>
      <c r="BV441" s="10"/>
      <c r="BW441" s="11">
        <v>0</v>
      </c>
      <c r="BX441" s="10"/>
      <c r="BY441" s="10"/>
      <c r="BZ441" s="11">
        <v>0</v>
      </c>
      <c r="CA441" s="10"/>
      <c r="CB441" s="10"/>
      <c r="CC441" s="11">
        <v>0</v>
      </c>
      <c r="CD441" s="10"/>
      <c r="CE441" s="10"/>
      <c r="CF441" s="11">
        <v>0</v>
      </c>
      <c r="CG441" s="10"/>
      <c r="CH441" s="10"/>
      <c r="CI441" s="11">
        <v>0</v>
      </c>
      <c r="CJ441" s="10"/>
      <c r="CK441" s="10"/>
      <c r="CL441" s="11">
        <v>0</v>
      </c>
      <c r="CM441" s="10"/>
      <c r="CN441" s="10"/>
      <c r="CO441" s="11">
        <v>0</v>
      </c>
      <c r="CP441" s="10"/>
      <c r="CQ441" s="10"/>
      <c r="CR441" s="11">
        <v>0</v>
      </c>
      <c r="CS441" s="10"/>
      <c r="CT441" s="10"/>
      <c r="CU441" s="11">
        <v>0</v>
      </c>
      <c r="CV441" s="10"/>
      <c r="CW441" s="10"/>
      <c r="CX441" s="11">
        <v>0</v>
      </c>
      <c r="CY441" s="10"/>
      <c r="CZ441" s="10"/>
      <c r="DA441" s="11">
        <v>0</v>
      </c>
      <c r="DB441" s="10"/>
      <c r="DC441" s="10"/>
      <c r="DD441" s="13">
        <v>0</v>
      </c>
      <c r="DE441" s="14"/>
    </row>
    <row r="442" spans="1:109" x14ac:dyDescent="0.35">
      <c r="A442" s="8" t="s">
        <v>947</v>
      </c>
      <c r="B442" s="9" t="s">
        <v>74</v>
      </c>
      <c r="C442" s="9" t="s">
        <v>52</v>
      </c>
      <c r="D442" s="9" t="s">
        <v>948</v>
      </c>
      <c r="E442" s="9" t="s">
        <v>54</v>
      </c>
      <c r="F442" s="9" t="s">
        <v>55</v>
      </c>
      <c r="G442" s="10"/>
      <c r="H442" s="10"/>
      <c r="I442" s="11">
        <v>0</v>
      </c>
      <c r="J442" s="10"/>
      <c r="K442" s="10"/>
      <c r="L442" s="12">
        <v>0</v>
      </c>
      <c r="M442" s="10"/>
      <c r="N442" s="10"/>
      <c r="O442" s="11">
        <v>0</v>
      </c>
      <c r="P442" s="10"/>
      <c r="Q442" s="10"/>
      <c r="R442" s="11">
        <v>0</v>
      </c>
      <c r="S442" s="10"/>
      <c r="T442" s="10"/>
      <c r="U442" s="11">
        <v>0</v>
      </c>
      <c r="V442" s="10"/>
      <c r="W442" s="10"/>
      <c r="X442" s="11">
        <v>0</v>
      </c>
      <c r="Y442" s="10"/>
      <c r="Z442" s="10"/>
      <c r="AA442" s="11"/>
      <c r="AB442" s="10"/>
      <c r="AC442" s="10"/>
      <c r="AD442" s="11">
        <v>0</v>
      </c>
      <c r="AE442" s="10"/>
      <c r="AF442" s="10"/>
      <c r="AG442" s="11">
        <v>0</v>
      </c>
      <c r="AH442" s="10"/>
      <c r="AI442" s="10"/>
      <c r="AJ442" s="11">
        <v>0</v>
      </c>
      <c r="AK442" s="10"/>
      <c r="AL442" s="10"/>
      <c r="AM442" s="11">
        <v>0</v>
      </c>
      <c r="AN442" s="10"/>
      <c r="AO442" s="10"/>
      <c r="AP442" s="11">
        <v>0</v>
      </c>
      <c r="AQ442" s="10"/>
      <c r="AR442" s="10"/>
      <c r="AS442" s="11">
        <v>0</v>
      </c>
      <c r="AT442" s="10"/>
      <c r="AU442" s="10"/>
      <c r="AV442" s="11">
        <v>0</v>
      </c>
      <c r="AW442" s="10"/>
      <c r="AX442" s="10"/>
      <c r="AY442" s="11">
        <v>0</v>
      </c>
      <c r="AZ442" s="10"/>
      <c r="BA442" s="10"/>
      <c r="BB442" s="11">
        <v>0</v>
      </c>
      <c r="BC442" s="10"/>
      <c r="BD442" s="10"/>
      <c r="BE442" s="11">
        <v>0</v>
      </c>
      <c r="BF442" s="10"/>
      <c r="BG442" s="10"/>
      <c r="BH442" s="11">
        <v>0</v>
      </c>
      <c r="BI442" s="10"/>
      <c r="BJ442" s="10"/>
      <c r="BK442" s="11">
        <v>0</v>
      </c>
      <c r="BL442" s="10"/>
      <c r="BM442" s="10"/>
      <c r="BN442" s="11">
        <v>0</v>
      </c>
      <c r="BO442" s="10"/>
      <c r="BP442" s="10"/>
      <c r="BQ442" s="11">
        <v>0</v>
      </c>
      <c r="BR442" s="10"/>
      <c r="BS442" s="10"/>
      <c r="BT442" s="11">
        <v>0</v>
      </c>
      <c r="BU442" s="10"/>
      <c r="BV442" s="10"/>
      <c r="BW442" s="11">
        <v>0</v>
      </c>
      <c r="BX442" s="10"/>
      <c r="BY442" s="10"/>
      <c r="BZ442" s="11">
        <v>0</v>
      </c>
      <c r="CA442" s="10"/>
      <c r="CB442" s="10"/>
      <c r="CC442" s="11">
        <v>0</v>
      </c>
      <c r="CD442" s="10"/>
      <c r="CE442" s="10"/>
      <c r="CF442" s="11">
        <v>0</v>
      </c>
      <c r="CG442" s="10"/>
      <c r="CH442" s="10"/>
      <c r="CI442" s="11">
        <v>0</v>
      </c>
      <c r="CJ442" s="10"/>
      <c r="CK442" s="10"/>
      <c r="CL442" s="11">
        <v>0</v>
      </c>
      <c r="CM442" s="10"/>
      <c r="CN442" s="10"/>
      <c r="CO442" s="11">
        <v>0</v>
      </c>
      <c r="CP442" s="10"/>
      <c r="CQ442" s="10"/>
      <c r="CR442" s="11">
        <v>0</v>
      </c>
      <c r="CS442" s="10"/>
      <c r="CT442" s="10"/>
      <c r="CU442" s="11">
        <v>0</v>
      </c>
      <c r="CV442" s="10"/>
      <c r="CW442" s="10"/>
      <c r="CX442" s="11">
        <v>0</v>
      </c>
      <c r="CY442" s="10"/>
      <c r="CZ442" s="10"/>
      <c r="DA442" s="11">
        <v>0</v>
      </c>
      <c r="DB442" s="10"/>
      <c r="DC442" s="10"/>
      <c r="DD442" s="13">
        <v>0</v>
      </c>
      <c r="DE442" s="14"/>
    </row>
    <row r="443" spans="1:109" x14ac:dyDescent="0.35">
      <c r="A443" s="8" t="s">
        <v>949</v>
      </c>
      <c r="B443" s="9" t="s">
        <v>77</v>
      </c>
      <c r="C443" s="9" t="s">
        <v>43</v>
      </c>
      <c r="D443" s="9" t="s">
        <v>950</v>
      </c>
      <c r="E443" s="9" t="s">
        <v>61</v>
      </c>
      <c r="F443" s="9" t="s">
        <v>62</v>
      </c>
      <c r="G443" s="10"/>
      <c r="H443" s="10"/>
      <c r="I443" s="11">
        <v>0</v>
      </c>
      <c r="J443" s="10"/>
      <c r="K443" s="10"/>
      <c r="L443" s="12">
        <v>0</v>
      </c>
      <c r="M443" s="10"/>
      <c r="N443" s="10"/>
      <c r="O443" s="11">
        <v>0</v>
      </c>
      <c r="P443" s="10"/>
      <c r="Q443" s="10"/>
      <c r="R443" s="11">
        <v>0</v>
      </c>
      <c r="S443" s="10"/>
      <c r="T443" s="10"/>
      <c r="U443" s="11">
        <v>0</v>
      </c>
      <c r="V443" s="10"/>
      <c r="W443" s="10"/>
      <c r="X443" s="11">
        <v>0</v>
      </c>
      <c r="Y443" s="10"/>
      <c r="Z443" s="10"/>
      <c r="AA443" s="11"/>
      <c r="AB443" s="10"/>
      <c r="AC443" s="10"/>
      <c r="AD443" s="11">
        <v>0</v>
      </c>
      <c r="AE443" s="10"/>
      <c r="AF443" s="10"/>
      <c r="AG443" s="11">
        <v>0</v>
      </c>
      <c r="AH443" s="10"/>
      <c r="AI443" s="10"/>
      <c r="AJ443" s="11">
        <v>0</v>
      </c>
      <c r="AK443" s="10"/>
      <c r="AL443" s="10"/>
      <c r="AM443" s="11">
        <v>0</v>
      </c>
      <c r="AN443" s="10"/>
      <c r="AO443" s="10"/>
      <c r="AP443" s="11">
        <v>0</v>
      </c>
      <c r="AQ443" s="10"/>
      <c r="AR443" s="10"/>
      <c r="AS443" s="11">
        <v>0</v>
      </c>
      <c r="AT443" s="10"/>
      <c r="AU443" s="10"/>
      <c r="AV443" s="11">
        <v>0</v>
      </c>
      <c r="AW443" s="10"/>
      <c r="AX443" s="10"/>
      <c r="AY443" s="11">
        <v>0</v>
      </c>
      <c r="AZ443" s="10"/>
      <c r="BA443" s="10"/>
      <c r="BB443" s="11">
        <v>0</v>
      </c>
      <c r="BC443" s="10"/>
      <c r="BD443" s="10"/>
      <c r="BE443" s="11">
        <v>0</v>
      </c>
      <c r="BF443" s="10"/>
      <c r="BG443" s="10"/>
      <c r="BH443" s="11">
        <v>0</v>
      </c>
      <c r="BI443" s="10"/>
      <c r="BJ443" s="10"/>
      <c r="BK443" s="11">
        <v>0</v>
      </c>
      <c r="BL443" s="10"/>
      <c r="BM443" s="10"/>
      <c r="BN443" s="11">
        <v>0</v>
      </c>
      <c r="BO443" s="10"/>
      <c r="BP443" s="10"/>
      <c r="BQ443" s="11">
        <v>0</v>
      </c>
      <c r="BR443" s="10"/>
      <c r="BS443" s="10"/>
      <c r="BT443" s="11">
        <v>0</v>
      </c>
      <c r="BU443" s="10"/>
      <c r="BV443" s="10"/>
      <c r="BW443" s="11">
        <v>0</v>
      </c>
      <c r="BX443" s="10"/>
      <c r="BY443" s="10"/>
      <c r="BZ443" s="11">
        <v>0</v>
      </c>
      <c r="CA443" s="10"/>
      <c r="CB443" s="10"/>
      <c r="CC443" s="11">
        <v>0</v>
      </c>
      <c r="CD443" s="10"/>
      <c r="CE443" s="10"/>
      <c r="CF443" s="11">
        <v>0</v>
      </c>
      <c r="CG443" s="10"/>
      <c r="CH443" s="10"/>
      <c r="CI443" s="11">
        <v>0</v>
      </c>
      <c r="CJ443" s="10"/>
      <c r="CK443" s="10"/>
      <c r="CL443" s="11">
        <v>0</v>
      </c>
      <c r="CM443" s="10"/>
      <c r="CN443" s="10"/>
      <c r="CO443" s="11">
        <v>0</v>
      </c>
      <c r="CP443" s="10"/>
      <c r="CQ443" s="10"/>
      <c r="CR443" s="11">
        <v>0</v>
      </c>
      <c r="CS443" s="10"/>
      <c r="CT443" s="10"/>
      <c r="CU443" s="11">
        <v>0</v>
      </c>
      <c r="CV443" s="10"/>
      <c r="CW443" s="10"/>
      <c r="CX443" s="11">
        <v>0</v>
      </c>
      <c r="CY443" s="10"/>
      <c r="CZ443" s="10"/>
      <c r="DA443" s="11">
        <v>0</v>
      </c>
      <c r="DB443" s="10"/>
      <c r="DC443" s="10"/>
      <c r="DD443" s="13">
        <v>0</v>
      </c>
      <c r="DE443" s="14"/>
    </row>
    <row r="444" spans="1:109" x14ac:dyDescent="0.35">
      <c r="A444" s="8" t="s">
        <v>951</v>
      </c>
      <c r="B444" s="9" t="s">
        <v>118</v>
      </c>
      <c r="C444" s="9" t="s">
        <v>43</v>
      </c>
      <c r="D444" s="9" t="s">
        <v>952</v>
      </c>
      <c r="E444" s="9" t="s">
        <v>61</v>
      </c>
      <c r="F444" s="9" t="s">
        <v>62</v>
      </c>
      <c r="G444" s="10"/>
      <c r="H444" s="10"/>
      <c r="I444" s="11">
        <v>0</v>
      </c>
      <c r="J444" s="10"/>
      <c r="K444" s="10"/>
      <c r="L444" s="12">
        <v>0</v>
      </c>
      <c r="M444" s="10"/>
      <c r="N444" s="10"/>
      <c r="O444" s="11">
        <v>0</v>
      </c>
      <c r="P444" s="10"/>
      <c r="Q444" s="10"/>
      <c r="R444" s="11">
        <v>0</v>
      </c>
      <c r="S444" s="10"/>
      <c r="T444" s="10"/>
      <c r="U444" s="11">
        <v>0</v>
      </c>
      <c r="V444" s="10"/>
      <c r="W444" s="10"/>
      <c r="X444" s="11">
        <v>0</v>
      </c>
      <c r="Y444" s="10"/>
      <c r="Z444" s="10"/>
      <c r="AA444" s="11"/>
      <c r="AB444" s="10"/>
      <c r="AC444" s="10"/>
      <c r="AD444" s="11">
        <v>0</v>
      </c>
      <c r="AE444" s="10"/>
      <c r="AF444" s="10"/>
      <c r="AG444" s="11">
        <v>0</v>
      </c>
      <c r="AH444" s="10"/>
      <c r="AI444" s="10"/>
      <c r="AJ444" s="11">
        <v>0</v>
      </c>
      <c r="AK444" s="10"/>
      <c r="AL444" s="10"/>
      <c r="AM444" s="11">
        <v>0</v>
      </c>
      <c r="AN444" s="10"/>
      <c r="AO444" s="10"/>
      <c r="AP444" s="11">
        <v>0</v>
      </c>
      <c r="AQ444" s="10"/>
      <c r="AR444" s="10"/>
      <c r="AS444" s="11">
        <v>0</v>
      </c>
      <c r="AT444" s="10"/>
      <c r="AU444" s="10"/>
      <c r="AV444" s="11">
        <v>0</v>
      </c>
      <c r="AW444" s="10"/>
      <c r="AX444" s="10"/>
      <c r="AY444" s="11">
        <v>0</v>
      </c>
      <c r="AZ444" s="10"/>
      <c r="BA444" s="10"/>
      <c r="BB444" s="11">
        <v>0</v>
      </c>
      <c r="BC444" s="10"/>
      <c r="BD444" s="10"/>
      <c r="BE444" s="11">
        <v>0</v>
      </c>
      <c r="BF444" s="10"/>
      <c r="BG444" s="10"/>
      <c r="BH444" s="11">
        <v>0</v>
      </c>
      <c r="BI444" s="10"/>
      <c r="BJ444" s="10"/>
      <c r="BK444" s="11">
        <v>0</v>
      </c>
      <c r="BL444" s="10"/>
      <c r="BM444" s="10"/>
      <c r="BN444" s="11">
        <v>0</v>
      </c>
      <c r="BO444" s="10"/>
      <c r="BP444" s="10"/>
      <c r="BQ444" s="11">
        <v>0</v>
      </c>
      <c r="BR444" s="10"/>
      <c r="BS444" s="10"/>
      <c r="BT444" s="11">
        <v>0</v>
      </c>
      <c r="BU444" s="10"/>
      <c r="BV444" s="10"/>
      <c r="BW444" s="11">
        <v>0</v>
      </c>
      <c r="BX444" s="10"/>
      <c r="BY444" s="10"/>
      <c r="BZ444" s="11">
        <v>0</v>
      </c>
      <c r="CA444" s="10"/>
      <c r="CB444" s="10"/>
      <c r="CC444" s="11">
        <v>0</v>
      </c>
      <c r="CD444" s="10"/>
      <c r="CE444" s="10"/>
      <c r="CF444" s="11">
        <v>0</v>
      </c>
      <c r="CG444" s="10"/>
      <c r="CH444" s="10"/>
      <c r="CI444" s="11">
        <v>0</v>
      </c>
      <c r="CJ444" s="10"/>
      <c r="CK444" s="10"/>
      <c r="CL444" s="11">
        <v>0</v>
      </c>
      <c r="CM444" s="10"/>
      <c r="CN444" s="10"/>
      <c r="CO444" s="11">
        <v>0</v>
      </c>
      <c r="CP444" s="10"/>
      <c r="CQ444" s="10"/>
      <c r="CR444" s="11">
        <v>0</v>
      </c>
      <c r="CS444" s="10"/>
      <c r="CT444" s="10"/>
      <c r="CU444" s="11">
        <v>0</v>
      </c>
      <c r="CV444" s="10"/>
      <c r="CW444" s="10"/>
      <c r="CX444" s="11">
        <v>0</v>
      </c>
      <c r="CY444" s="10"/>
      <c r="CZ444" s="10"/>
      <c r="DA444" s="11">
        <v>0</v>
      </c>
      <c r="DB444" s="10"/>
      <c r="DC444" s="10"/>
      <c r="DD444" s="13">
        <v>0</v>
      </c>
      <c r="DE444" s="14"/>
    </row>
    <row r="445" spans="1:109" x14ac:dyDescent="0.35">
      <c r="A445" s="8" t="s">
        <v>953</v>
      </c>
      <c r="B445" s="9" t="s">
        <v>74</v>
      </c>
      <c r="C445" s="9" t="s">
        <v>52</v>
      </c>
      <c r="D445" s="9" t="s">
        <v>954</v>
      </c>
      <c r="E445" s="9" t="s">
        <v>54</v>
      </c>
      <c r="F445" s="9" t="s">
        <v>55</v>
      </c>
      <c r="G445" s="10"/>
      <c r="H445" s="10"/>
      <c r="I445" s="11">
        <v>0</v>
      </c>
      <c r="J445" s="10"/>
      <c r="K445" s="10"/>
      <c r="L445" s="12">
        <v>0</v>
      </c>
      <c r="M445" s="10"/>
      <c r="N445" s="10"/>
      <c r="O445" s="11">
        <v>0</v>
      </c>
      <c r="P445" s="10"/>
      <c r="Q445" s="10"/>
      <c r="R445" s="11">
        <v>0</v>
      </c>
      <c r="S445" s="10"/>
      <c r="T445" s="10"/>
      <c r="U445" s="11">
        <v>0</v>
      </c>
      <c r="V445" s="10"/>
      <c r="W445" s="10"/>
      <c r="X445" s="11">
        <v>0</v>
      </c>
      <c r="Y445" s="10"/>
      <c r="Z445" s="10"/>
      <c r="AA445" s="11"/>
      <c r="AB445" s="10"/>
      <c r="AC445" s="10"/>
      <c r="AD445" s="11">
        <v>0</v>
      </c>
      <c r="AE445" s="10"/>
      <c r="AF445" s="10"/>
      <c r="AG445" s="11">
        <v>0</v>
      </c>
      <c r="AH445" s="10"/>
      <c r="AI445" s="10"/>
      <c r="AJ445" s="11">
        <v>0</v>
      </c>
      <c r="AK445" s="10"/>
      <c r="AL445" s="10"/>
      <c r="AM445" s="11">
        <v>0</v>
      </c>
      <c r="AN445" s="10"/>
      <c r="AO445" s="10"/>
      <c r="AP445" s="11">
        <v>0</v>
      </c>
      <c r="AQ445" s="10"/>
      <c r="AR445" s="10"/>
      <c r="AS445" s="11">
        <v>0</v>
      </c>
      <c r="AT445" s="10"/>
      <c r="AU445" s="10"/>
      <c r="AV445" s="11">
        <v>0</v>
      </c>
      <c r="AW445" s="10"/>
      <c r="AX445" s="10"/>
      <c r="AY445" s="11">
        <v>0</v>
      </c>
      <c r="AZ445" s="10"/>
      <c r="BA445" s="10"/>
      <c r="BB445" s="11">
        <v>0</v>
      </c>
      <c r="BC445" s="10"/>
      <c r="BD445" s="10"/>
      <c r="BE445" s="11">
        <v>0</v>
      </c>
      <c r="BF445" s="10"/>
      <c r="BG445" s="10"/>
      <c r="BH445" s="11">
        <v>0</v>
      </c>
      <c r="BI445" s="10"/>
      <c r="BJ445" s="10"/>
      <c r="BK445" s="11">
        <v>0</v>
      </c>
      <c r="BL445" s="10"/>
      <c r="BM445" s="10"/>
      <c r="BN445" s="11">
        <v>0</v>
      </c>
      <c r="BO445" s="10"/>
      <c r="BP445" s="10"/>
      <c r="BQ445" s="11">
        <v>0</v>
      </c>
      <c r="BR445" s="10"/>
      <c r="BS445" s="10"/>
      <c r="BT445" s="11">
        <v>0</v>
      </c>
      <c r="BU445" s="10"/>
      <c r="BV445" s="10"/>
      <c r="BW445" s="11">
        <v>0</v>
      </c>
      <c r="BX445" s="10"/>
      <c r="BY445" s="10"/>
      <c r="BZ445" s="11">
        <v>0</v>
      </c>
      <c r="CA445" s="10"/>
      <c r="CB445" s="10"/>
      <c r="CC445" s="11">
        <v>0</v>
      </c>
      <c r="CD445" s="10"/>
      <c r="CE445" s="10"/>
      <c r="CF445" s="11">
        <v>0</v>
      </c>
      <c r="CG445" s="10"/>
      <c r="CH445" s="10"/>
      <c r="CI445" s="11">
        <v>0</v>
      </c>
      <c r="CJ445" s="10"/>
      <c r="CK445" s="10"/>
      <c r="CL445" s="11">
        <v>0</v>
      </c>
      <c r="CM445" s="10"/>
      <c r="CN445" s="10"/>
      <c r="CO445" s="11">
        <v>0</v>
      </c>
      <c r="CP445" s="10"/>
      <c r="CQ445" s="10"/>
      <c r="CR445" s="11">
        <v>0</v>
      </c>
      <c r="CS445" s="10"/>
      <c r="CT445" s="10"/>
      <c r="CU445" s="11">
        <v>0</v>
      </c>
      <c r="CV445" s="10"/>
      <c r="CW445" s="10"/>
      <c r="CX445" s="11">
        <v>0</v>
      </c>
      <c r="CY445" s="10"/>
      <c r="CZ445" s="10"/>
      <c r="DA445" s="11">
        <v>0</v>
      </c>
      <c r="DB445" s="10"/>
      <c r="DC445" s="10"/>
      <c r="DD445" s="13">
        <v>0</v>
      </c>
      <c r="DE445" s="14"/>
    </row>
    <row r="446" spans="1:109" x14ac:dyDescent="0.35">
      <c r="A446" s="8" t="s">
        <v>955</v>
      </c>
      <c r="B446" s="9" t="s">
        <v>48</v>
      </c>
      <c r="C446" s="9" t="s">
        <v>43</v>
      </c>
      <c r="D446" s="9" t="s">
        <v>956</v>
      </c>
      <c r="E446" s="9" t="s">
        <v>45</v>
      </c>
      <c r="F446" s="9" t="s">
        <v>46</v>
      </c>
      <c r="G446" s="10"/>
      <c r="H446" s="10"/>
      <c r="I446" s="11">
        <v>0</v>
      </c>
      <c r="J446" s="10"/>
      <c r="K446" s="10"/>
      <c r="L446" s="12">
        <v>0</v>
      </c>
      <c r="M446" s="10"/>
      <c r="N446" s="10"/>
      <c r="O446" s="11">
        <v>0</v>
      </c>
      <c r="P446" s="10"/>
      <c r="Q446" s="10"/>
      <c r="R446" s="11">
        <v>0</v>
      </c>
      <c r="S446" s="10"/>
      <c r="T446" s="10"/>
      <c r="U446" s="11">
        <v>0</v>
      </c>
      <c r="V446" s="10"/>
      <c r="W446" s="10"/>
      <c r="X446" s="11">
        <v>0</v>
      </c>
      <c r="Y446" s="10"/>
      <c r="Z446" s="10"/>
      <c r="AA446" s="11"/>
      <c r="AB446" s="10"/>
      <c r="AC446" s="10"/>
      <c r="AD446" s="11">
        <v>0</v>
      </c>
      <c r="AE446" s="10"/>
      <c r="AF446" s="10"/>
      <c r="AG446" s="11">
        <v>0</v>
      </c>
      <c r="AH446" s="10"/>
      <c r="AI446" s="10"/>
      <c r="AJ446" s="11">
        <v>0</v>
      </c>
      <c r="AK446" s="10"/>
      <c r="AL446" s="10"/>
      <c r="AM446" s="11">
        <v>0</v>
      </c>
      <c r="AN446" s="10"/>
      <c r="AO446" s="10"/>
      <c r="AP446" s="11">
        <v>0</v>
      </c>
      <c r="AQ446" s="10"/>
      <c r="AR446" s="10"/>
      <c r="AS446" s="11">
        <v>0</v>
      </c>
      <c r="AT446" s="10"/>
      <c r="AU446" s="10"/>
      <c r="AV446" s="11">
        <v>0</v>
      </c>
      <c r="AW446" s="10"/>
      <c r="AX446" s="10"/>
      <c r="AY446" s="11">
        <v>0</v>
      </c>
      <c r="AZ446" s="10"/>
      <c r="BA446" s="10"/>
      <c r="BB446" s="11">
        <v>0</v>
      </c>
      <c r="BC446" s="10"/>
      <c r="BD446" s="10"/>
      <c r="BE446" s="11">
        <v>0</v>
      </c>
      <c r="BF446" s="10"/>
      <c r="BG446" s="10"/>
      <c r="BH446" s="11">
        <v>0</v>
      </c>
      <c r="BI446" s="10"/>
      <c r="BJ446" s="10"/>
      <c r="BK446" s="11">
        <v>0</v>
      </c>
      <c r="BL446" s="10"/>
      <c r="BM446" s="10"/>
      <c r="BN446" s="11">
        <v>0</v>
      </c>
      <c r="BO446" s="10"/>
      <c r="BP446" s="10"/>
      <c r="BQ446" s="11">
        <v>0</v>
      </c>
      <c r="BR446" s="10"/>
      <c r="BS446" s="10"/>
      <c r="BT446" s="11">
        <v>0</v>
      </c>
      <c r="BU446" s="10"/>
      <c r="BV446" s="10"/>
      <c r="BW446" s="11">
        <v>0</v>
      </c>
      <c r="BX446" s="10"/>
      <c r="BY446" s="10"/>
      <c r="BZ446" s="11">
        <v>0</v>
      </c>
      <c r="CA446" s="10"/>
      <c r="CB446" s="10"/>
      <c r="CC446" s="11">
        <v>0</v>
      </c>
      <c r="CD446" s="10"/>
      <c r="CE446" s="10"/>
      <c r="CF446" s="11">
        <v>0</v>
      </c>
      <c r="CG446" s="10"/>
      <c r="CH446" s="10"/>
      <c r="CI446" s="11">
        <v>0</v>
      </c>
      <c r="CJ446" s="10"/>
      <c r="CK446" s="10"/>
      <c r="CL446" s="11">
        <v>0</v>
      </c>
      <c r="CM446" s="10"/>
      <c r="CN446" s="10"/>
      <c r="CO446" s="11">
        <v>0</v>
      </c>
      <c r="CP446" s="10"/>
      <c r="CQ446" s="10"/>
      <c r="CR446" s="11">
        <v>0</v>
      </c>
      <c r="CS446" s="10"/>
      <c r="CT446" s="10"/>
      <c r="CU446" s="11">
        <v>0</v>
      </c>
      <c r="CV446" s="10"/>
      <c r="CW446" s="10"/>
      <c r="CX446" s="11">
        <v>0</v>
      </c>
      <c r="CY446" s="10"/>
      <c r="CZ446" s="10"/>
      <c r="DA446" s="11">
        <v>0</v>
      </c>
      <c r="DB446" s="10"/>
      <c r="DC446" s="10"/>
      <c r="DD446" s="13">
        <v>0</v>
      </c>
      <c r="DE446" s="14"/>
    </row>
    <row r="447" spans="1:109" x14ac:dyDescent="0.35">
      <c r="A447" s="8" t="s">
        <v>957</v>
      </c>
      <c r="B447" s="9" t="s">
        <v>48</v>
      </c>
      <c r="C447" s="9" t="s">
        <v>43</v>
      </c>
      <c r="D447" s="9" t="s">
        <v>958</v>
      </c>
      <c r="E447" s="9" t="s">
        <v>45</v>
      </c>
      <c r="F447" s="9" t="s">
        <v>46</v>
      </c>
      <c r="G447" s="10"/>
      <c r="H447" s="10"/>
      <c r="I447" s="11">
        <v>0</v>
      </c>
      <c r="J447" s="10"/>
      <c r="K447" s="10"/>
      <c r="L447" s="12">
        <v>0</v>
      </c>
      <c r="M447" s="10"/>
      <c r="N447" s="10"/>
      <c r="O447" s="11">
        <v>0</v>
      </c>
      <c r="P447" s="10"/>
      <c r="Q447" s="10"/>
      <c r="R447" s="11">
        <v>0</v>
      </c>
      <c r="S447" s="10"/>
      <c r="T447" s="10"/>
      <c r="U447" s="11">
        <v>0</v>
      </c>
      <c r="V447" s="10"/>
      <c r="W447" s="10"/>
      <c r="X447" s="11">
        <v>0</v>
      </c>
      <c r="Y447" s="10"/>
      <c r="Z447" s="10"/>
      <c r="AA447" s="11"/>
      <c r="AB447" s="10"/>
      <c r="AC447" s="10"/>
      <c r="AD447" s="11">
        <v>0</v>
      </c>
      <c r="AE447" s="10"/>
      <c r="AF447" s="10"/>
      <c r="AG447" s="11">
        <v>0</v>
      </c>
      <c r="AH447" s="10"/>
      <c r="AI447" s="10"/>
      <c r="AJ447" s="11">
        <v>0</v>
      </c>
      <c r="AK447" s="10"/>
      <c r="AL447" s="10"/>
      <c r="AM447" s="11">
        <v>0</v>
      </c>
      <c r="AN447" s="10"/>
      <c r="AO447" s="10"/>
      <c r="AP447" s="11">
        <v>0</v>
      </c>
      <c r="AQ447" s="10"/>
      <c r="AR447" s="10"/>
      <c r="AS447" s="11">
        <v>0</v>
      </c>
      <c r="AT447" s="10"/>
      <c r="AU447" s="10"/>
      <c r="AV447" s="11">
        <v>0</v>
      </c>
      <c r="AW447" s="10"/>
      <c r="AX447" s="10"/>
      <c r="AY447" s="11">
        <v>0</v>
      </c>
      <c r="AZ447" s="10"/>
      <c r="BA447" s="10"/>
      <c r="BB447" s="11">
        <v>0</v>
      </c>
      <c r="BC447" s="10"/>
      <c r="BD447" s="10"/>
      <c r="BE447" s="11">
        <v>0</v>
      </c>
      <c r="BF447" s="10"/>
      <c r="BG447" s="10"/>
      <c r="BH447" s="11">
        <v>0</v>
      </c>
      <c r="BI447" s="10"/>
      <c r="BJ447" s="10"/>
      <c r="BK447" s="11">
        <v>0</v>
      </c>
      <c r="BL447" s="10"/>
      <c r="BM447" s="10"/>
      <c r="BN447" s="11">
        <v>0</v>
      </c>
      <c r="BO447" s="10"/>
      <c r="BP447" s="10"/>
      <c r="BQ447" s="11">
        <v>0</v>
      </c>
      <c r="BR447" s="10"/>
      <c r="BS447" s="10"/>
      <c r="BT447" s="11">
        <v>0</v>
      </c>
      <c r="BU447" s="10"/>
      <c r="BV447" s="10"/>
      <c r="BW447" s="11">
        <v>0</v>
      </c>
      <c r="BX447" s="10"/>
      <c r="BY447" s="10"/>
      <c r="BZ447" s="11">
        <v>0</v>
      </c>
      <c r="CA447" s="10"/>
      <c r="CB447" s="10"/>
      <c r="CC447" s="11">
        <v>0</v>
      </c>
      <c r="CD447" s="10"/>
      <c r="CE447" s="10"/>
      <c r="CF447" s="11">
        <v>0</v>
      </c>
      <c r="CG447" s="10"/>
      <c r="CH447" s="10"/>
      <c r="CI447" s="11">
        <v>0</v>
      </c>
      <c r="CJ447" s="10"/>
      <c r="CK447" s="10"/>
      <c r="CL447" s="11">
        <v>0</v>
      </c>
      <c r="CM447" s="10"/>
      <c r="CN447" s="10"/>
      <c r="CO447" s="11">
        <v>0</v>
      </c>
      <c r="CP447" s="10"/>
      <c r="CQ447" s="10"/>
      <c r="CR447" s="11">
        <v>0</v>
      </c>
      <c r="CS447" s="10"/>
      <c r="CT447" s="10"/>
      <c r="CU447" s="11">
        <v>0</v>
      </c>
      <c r="CV447" s="10"/>
      <c r="CW447" s="10"/>
      <c r="CX447" s="11">
        <v>0</v>
      </c>
      <c r="CY447" s="10"/>
      <c r="CZ447" s="10"/>
      <c r="DA447" s="11">
        <v>0</v>
      </c>
      <c r="DB447" s="10"/>
      <c r="DC447" s="10"/>
      <c r="DD447" s="13">
        <v>0</v>
      </c>
      <c r="DE447" s="14"/>
    </row>
    <row r="448" spans="1:109" x14ac:dyDescent="0.35">
      <c r="A448" s="8" t="s">
        <v>959</v>
      </c>
      <c r="B448" s="9" t="s">
        <v>51</v>
      </c>
      <c r="C448" s="9" t="s">
        <v>52</v>
      </c>
      <c r="D448" s="9" t="s">
        <v>960</v>
      </c>
      <c r="E448" s="9" t="s">
        <v>54</v>
      </c>
      <c r="F448" s="9" t="s">
        <v>55</v>
      </c>
      <c r="G448" s="10"/>
      <c r="H448" s="10"/>
      <c r="I448" s="11">
        <v>0</v>
      </c>
      <c r="J448" s="10"/>
      <c r="K448" s="10"/>
      <c r="L448" s="12">
        <v>0</v>
      </c>
      <c r="M448" s="10"/>
      <c r="N448" s="10"/>
      <c r="O448" s="11">
        <v>0</v>
      </c>
      <c r="P448" s="10"/>
      <c r="Q448" s="10"/>
      <c r="R448" s="11">
        <v>0</v>
      </c>
      <c r="S448" s="10"/>
      <c r="T448" s="10"/>
      <c r="U448" s="11">
        <v>0</v>
      </c>
      <c r="V448" s="10"/>
      <c r="W448" s="10"/>
      <c r="X448" s="11">
        <v>0</v>
      </c>
      <c r="Y448" s="10"/>
      <c r="Z448" s="10"/>
      <c r="AA448" s="11"/>
      <c r="AB448" s="10"/>
      <c r="AC448" s="10"/>
      <c r="AD448" s="11">
        <v>0</v>
      </c>
      <c r="AE448" s="10"/>
      <c r="AF448" s="10"/>
      <c r="AG448" s="11">
        <v>0</v>
      </c>
      <c r="AH448" s="10"/>
      <c r="AI448" s="10"/>
      <c r="AJ448" s="11">
        <v>0</v>
      </c>
      <c r="AK448" s="10"/>
      <c r="AL448" s="10"/>
      <c r="AM448" s="11">
        <v>0</v>
      </c>
      <c r="AN448" s="10"/>
      <c r="AO448" s="10"/>
      <c r="AP448" s="11">
        <v>0</v>
      </c>
      <c r="AQ448" s="10"/>
      <c r="AR448" s="10"/>
      <c r="AS448" s="11">
        <v>0</v>
      </c>
      <c r="AT448" s="10"/>
      <c r="AU448" s="10"/>
      <c r="AV448" s="11">
        <v>0</v>
      </c>
      <c r="AW448" s="10"/>
      <c r="AX448" s="10"/>
      <c r="AY448" s="11">
        <v>0</v>
      </c>
      <c r="AZ448" s="10"/>
      <c r="BA448" s="10"/>
      <c r="BB448" s="11">
        <v>0</v>
      </c>
      <c r="BC448" s="10"/>
      <c r="BD448" s="10"/>
      <c r="BE448" s="11">
        <v>0</v>
      </c>
      <c r="BF448" s="10"/>
      <c r="BG448" s="10"/>
      <c r="BH448" s="11">
        <v>0</v>
      </c>
      <c r="BI448" s="10"/>
      <c r="BJ448" s="10"/>
      <c r="BK448" s="11">
        <v>0</v>
      </c>
      <c r="BL448" s="10"/>
      <c r="BM448" s="10"/>
      <c r="BN448" s="11">
        <v>0</v>
      </c>
      <c r="BO448" s="10"/>
      <c r="BP448" s="10"/>
      <c r="BQ448" s="11">
        <v>0</v>
      </c>
      <c r="BR448" s="10"/>
      <c r="BS448" s="10"/>
      <c r="BT448" s="11">
        <v>0</v>
      </c>
      <c r="BU448" s="10"/>
      <c r="BV448" s="10"/>
      <c r="BW448" s="11">
        <v>0</v>
      </c>
      <c r="BX448" s="10"/>
      <c r="BY448" s="10"/>
      <c r="BZ448" s="11">
        <v>0</v>
      </c>
      <c r="CA448" s="10"/>
      <c r="CB448" s="10"/>
      <c r="CC448" s="11">
        <v>0</v>
      </c>
      <c r="CD448" s="10"/>
      <c r="CE448" s="10"/>
      <c r="CF448" s="11">
        <v>0</v>
      </c>
      <c r="CG448" s="10"/>
      <c r="CH448" s="10"/>
      <c r="CI448" s="11">
        <v>0</v>
      </c>
      <c r="CJ448" s="10"/>
      <c r="CK448" s="10"/>
      <c r="CL448" s="11">
        <v>0</v>
      </c>
      <c r="CM448" s="10"/>
      <c r="CN448" s="10"/>
      <c r="CO448" s="11">
        <v>0</v>
      </c>
      <c r="CP448" s="10"/>
      <c r="CQ448" s="10"/>
      <c r="CR448" s="11">
        <v>0</v>
      </c>
      <c r="CS448" s="10"/>
      <c r="CT448" s="10"/>
      <c r="CU448" s="11">
        <v>0</v>
      </c>
      <c r="CV448" s="10"/>
      <c r="CW448" s="10"/>
      <c r="CX448" s="11">
        <v>0</v>
      </c>
      <c r="CY448" s="10"/>
      <c r="CZ448" s="10"/>
      <c r="DA448" s="11">
        <v>0</v>
      </c>
      <c r="DB448" s="10"/>
      <c r="DC448" s="10"/>
      <c r="DD448" s="13">
        <v>0</v>
      </c>
      <c r="DE448" s="14"/>
    </row>
    <row r="449" spans="1:109" x14ac:dyDescent="0.35">
      <c r="A449" s="8" t="s">
        <v>961</v>
      </c>
      <c r="B449" s="9" t="s">
        <v>48</v>
      </c>
      <c r="C449" s="9" t="s">
        <v>43</v>
      </c>
      <c r="D449" s="9" t="s">
        <v>962</v>
      </c>
      <c r="E449" s="9" t="s">
        <v>45</v>
      </c>
      <c r="F449" s="9" t="s">
        <v>46</v>
      </c>
      <c r="G449" s="10"/>
      <c r="H449" s="10"/>
      <c r="I449" s="11">
        <v>0</v>
      </c>
      <c r="J449" s="10"/>
      <c r="K449" s="10"/>
      <c r="L449" s="12">
        <v>0</v>
      </c>
      <c r="M449" s="10"/>
      <c r="N449" s="10"/>
      <c r="O449" s="11">
        <v>0</v>
      </c>
      <c r="P449" s="10"/>
      <c r="Q449" s="10"/>
      <c r="R449" s="11">
        <v>0</v>
      </c>
      <c r="S449" s="10"/>
      <c r="T449" s="10"/>
      <c r="U449" s="11">
        <v>0</v>
      </c>
      <c r="V449" s="10"/>
      <c r="W449" s="10"/>
      <c r="X449" s="11">
        <v>0</v>
      </c>
      <c r="Y449" s="10"/>
      <c r="Z449" s="10"/>
      <c r="AA449" s="11"/>
      <c r="AB449" s="10"/>
      <c r="AC449" s="10"/>
      <c r="AD449" s="11">
        <v>0</v>
      </c>
      <c r="AE449" s="10"/>
      <c r="AF449" s="10"/>
      <c r="AG449" s="11">
        <v>0</v>
      </c>
      <c r="AH449" s="10"/>
      <c r="AI449" s="10"/>
      <c r="AJ449" s="11">
        <v>0</v>
      </c>
      <c r="AK449" s="10"/>
      <c r="AL449" s="10"/>
      <c r="AM449" s="11">
        <v>0</v>
      </c>
      <c r="AN449" s="10"/>
      <c r="AO449" s="10"/>
      <c r="AP449" s="11">
        <v>0</v>
      </c>
      <c r="AQ449" s="10"/>
      <c r="AR449" s="10"/>
      <c r="AS449" s="11">
        <v>0</v>
      </c>
      <c r="AT449" s="10"/>
      <c r="AU449" s="10"/>
      <c r="AV449" s="11">
        <v>0</v>
      </c>
      <c r="AW449" s="10"/>
      <c r="AX449" s="10"/>
      <c r="AY449" s="11">
        <v>0</v>
      </c>
      <c r="AZ449" s="10"/>
      <c r="BA449" s="10"/>
      <c r="BB449" s="11">
        <v>0</v>
      </c>
      <c r="BC449" s="10"/>
      <c r="BD449" s="10"/>
      <c r="BE449" s="11">
        <v>0</v>
      </c>
      <c r="BF449" s="10"/>
      <c r="BG449" s="10"/>
      <c r="BH449" s="11">
        <v>0</v>
      </c>
      <c r="BI449" s="10"/>
      <c r="BJ449" s="10"/>
      <c r="BK449" s="11">
        <v>0</v>
      </c>
      <c r="BL449" s="10"/>
      <c r="BM449" s="10"/>
      <c r="BN449" s="11">
        <v>0</v>
      </c>
      <c r="BO449" s="10"/>
      <c r="BP449" s="10"/>
      <c r="BQ449" s="11">
        <v>0</v>
      </c>
      <c r="BR449" s="10"/>
      <c r="BS449" s="10"/>
      <c r="BT449" s="11">
        <v>0</v>
      </c>
      <c r="BU449" s="10"/>
      <c r="BV449" s="10"/>
      <c r="BW449" s="11">
        <v>0</v>
      </c>
      <c r="BX449" s="10"/>
      <c r="BY449" s="10"/>
      <c r="BZ449" s="11">
        <v>0</v>
      </c>
      <c r="CA449" s="10"/>
      <c r="CB449" s="10"/>
      <c r="CC449" s="11">
        <v>0</v>
      </c>
      <c r="CD449" s="10"/>
      <c r="CE449" s="10"/>
      <c r="CF449" s="11">
        <v>0</v>
      </c>
      <c r="CG449" s="10"/>
      <c r="CH449" s="10"/>
      <c r="CI449" s="11">
        <v>0</v>
      </c>
      <c r="CJ449" s="10"/>
      <c r="CK449" s="10"/>
      <c r="CL449" s="11">
        <v>0</v>
      </c>
      <c r="CM449" s="10"/>
      <c r="CN449" s="10"/>
      <c r="CO449" s="11">
        <v>0</v>
      </c>
      <c r="CP449" s="10"/>
      <c r="CQ449" s="10"/>
      <c r="CR449" s="11">
        <v>0</v>
      </c>
      <c r="CS449" s="10"/>
      <c r="CT449" s="10"/>
      <c r="CU449" s="11">
        <v>0</v>
      </c>
      <c r="CV449" s="10"/>
      <c r="CW449" s="10"/>
      <c r="CX449" s="11">
        <v>0</v>
      </c>
      <c r="CY449" s="10"/>
      <c r="CZ449" s="10"/>
      <c r="DA449" s="11">
        <v>0</v>
      </c>
      <c r="DB449" s="10"/>
      <c r="DC449" s="10"/>
      <c r="DD449" s="13">
        <v>0</v>
      </c>
      <c r="DE449" s="14"/>
    </row>
    <row r="450" spans="1:109" x14ac:dyDescent="0.35">
      <c r="A450" s="8" t="s">
        <v>963</v>
      </c>
      <c r="B450" s="9" t="s">
        <v>74</v>
      </c>
      <c r="C450" s="9" t="s">
        <v>52</v>
      </c>
      <c r="D450" s="9" t="s">
        <v>964</v>
      </c>
      <c r="E450" s="9" t="s">
        <v>54</v>
      </c>
      <c r="F450" s="9" t="s">
        <v>55</v>
      </c>
      <c r="G450" s="10"/>
      <c r="H450" s="10"/>
      <c r="I450" s="11">
        <v>0</v>
      </c>
      <c r="J450" s="10"/>
      <c r="K450" s="10"/>
      <c r="L450" s="12">
        <v>0</v>
      </c>
      <c r="M450" s="10"/>
      <c r="N450" s="10"/>
      <c r="O450" s="11">
        <v>0</v>
      </c>
      <c r="P450" s="10"/>
      <c r="Q450" s="10"/>
      <c r="R450" s="11">
        <v>0</v>
      </c>
      <c r="S450" s="10"/>
      <c r="T450" s="10"/>
      <c r="U450" s="11">
        <v>0</v>
      </c>
      <c r="V450" s="10"/>
      <c r="W450" s="10"/>
      <c r="X450" s="11">
        <v>0</v>
      </c>
      <c r="Y450" s="10"/>
      <c r="Z450" s="10"/>
      <c r="AA450" s="11"/>
      <c r="AB450" s="10"/>
      <c r="AC450" s="10"/>
      <c r="AD450" s="11">
        <v>0</v>
      </c>
      <c r="AE450" s="10"/>
      <c r="AF450" s="10"/>
      <c r="AG450" s="11">
        <v>0</v>
      </c>
      <c r="AH450" s="10"/>
      <c r="AI450" s="10"/>
      <c r="AJ450" s="11">
        <v>0</v>
      </c>
      <c r="AK450" s="10"/>
      <c r="AL450" s="10"/>
      <c r="AM450" s="11">
        <v>0</v>
      </c>
      <c r="AN450" s="10"/>
      <c r="AO450" s="10"/>
      <c r="AP450" s="11">
        <v>0</v>
      </c>
      <c r="AQ450" s="10"/>
      <c r="AR450" s="10"/>
      <c r="AS450" s="11">
        <v>0</v>
      </c>
      <c r="AT450" s="10"/>
      <c r="AU450" s="10"/>
      <c r="AV450" s="11">
        <v>0</v>
      </c>
      <c r="AW450" s="10"/>
      <c r="AX450" s="10"/>
      <c r="AY450" s="11">
        <v>0</v>
      </c>
      <c r="AZ450" s="10"/>
      <c r="BA450" s="10"/>
      <c r="BB450" s="11">
        <v>0</v>
      </c>
      <c r="BC450" s="10"/>
      <c r="BD450" s="10"/>
      <c r="BE450" s="11">
        <v>0</v>
      </c>
      <c r="BF450" s="10"/>
      <c r="BG450" s="10"/>
      <c r="BH450" s="11">
        <v>0</v>
      </c>
      <c r="BI450" s="10"/>
      <c r="BJ450" s="10"/>
      <c r="BK450" s="11">
        <v>0</v>
      </c>
      <c r="BL450" s="10"/>
      <c r="BM450" s="10"/>
      <c r="BN450" s="11">
        <v>0</v>
      </c>
      <c r="BO450" s="10"/>
      <c r="BP450" s="10"/>
      <c r="BQ450" s="11">
        <v>0</v>
      </c>
      <c r="BR450" s="10"/>
      <c r="BS450" s="10"/>
      <c r="BT450" s="11">
        <v>0</v>
      </c>
      <c r="BU450" s="10"/>
      <c r="BV450" s="10"/>
      <c r="BW450" s="11">
        <v>0</v>
      </c>
      <c r="BX450" s="10"/>
      <c r="BY450" s="10"/>
      <c r="BZ450" s="11">
        <v>0</v>
      </c>
      <c r="CA450" s="10"/>
      <c r="CB450" s="10"/>
      <c r="CC450" s="11">
        <v>0</v>
      </c>
      <c r="CD450" s="10"/>
      <c r="CE450" s="10"/>
      <c r="CF450" s="11">
        <v>0</v>
      </c>
      <c r="CG450" s="10"/>
      <c r="CH450" s="10"/>
      <c r="CI450" s="11">
        <v>0</v>
      </c>
      <c r="CJ450" s="10"/>
      <c r="CK450" s="10"/>
      <c r="CL450" s="11">
        <v>0</v>
      </c>
      <c r="CM450" s="10"/>
      <c r="CN450" s="10"/>
      <c r="CO450" s="11">
        <v>0</v>
      </c>
      <c r="CP450" s="10"/>
      <c r="CQ450" s="10"/>
      <c r="CR450" s="11">
        <v>0</v>
      </c>
      <c r="CS450" s="10"/>
      <c r="CT450" s="10"/>
      <c r="CU450" s="11">
        <v>0</v>
      </c>
      <c r="CV450" s="10"/>
      <c r="CW450" s="10"/>
      <c r="CX450" s="11">
        <v>0</v>
      </c>
      <c r="CY450" s="10"/>
      <c r="CZ450" s="10"/>
      <c r="DA450" s="11">
        <v>0</v>
      </c>
      <c r="DB450" s="10"/>
      <c r="DC450" s="10"/>
      <c r="DD450" s="13">
        <v>0</v>
      </c>
      <c r="DE450" s="14"/>
    </row>
    <row r="451" spans="1:109" x14ac:dyDescent="0.35">
      <c r="A451" s="8" t="s">
        <v>965</v>
      </c>
      <c r="B451" s="9" t="s">
        <v>42</v>
      </c>
      <c r="C451" s="9" t="s">
        <v>43</v>
      </c>
      <c r="D451" s="9" t="s">
        <v>966</v>
      </c>
      <c r="E451" s="9" t="s">
        <v>45</v>
      </c>
      <c r="F451" s="9" t="s">
        <v>46</v>
      </c>
      <c r="G451" s="10"/>
      <c r="H451" s="10"/>
      <c r="I451" s="11">
        <v>0</v>
      </c>
      <c r="J451" s="10"/>
      <c r="K451" s="10"/>
      <c r="L451" s="12">
        <v>0</v>
      </c>
      <c r="M451" s="10"/>
      <c r="N451" s="10"/>
      <c r="O451" s="11">
        <v>0</v>
      </c>
      <c r="P451" s="10"/>
      <c r="Q451" s="10"/>
      <c r="R451" s="11">
        <v>0</v>
      </c>
      <c r="S451" s="10"/>
      <c r="T451" s="10"/>
      <c r="U451" s="11">
        <v>0</v>
      </c>
      <c r="V451" s="10"/>
      <c r="W451" s="10"/>
      <c r="X451" s="11">
        <v>0</v>
      </c>
      <c r="Y451" s="10"/>
      <c r="Z451" s="10"/>
      <c r="AA451" s="11"/>
      <c r="AB451" s="10"/>
      <c r="AC451" s="10"/>
      <c r="AD451" s="11">
        <v>0</v>
      </c>
      <c r="AE451" s="10"/>
      <c r="AF451" s="10"/>
      <c r="AG451" s="11">
        <v>0</v>
      </c>
      <c r="AH451" s="10"/>
      <c r="AI451" s="10"/>
      <c r="AJ451" s="11">
        <v>0</v>
      </c>
      <c r="AK451" s="10"/>
      <c r="AL451" s="10"/>
      <c r="AM451" s="11">
        <v>0</v>
      </c>
      <c r="AN451" s="10"/>
      <c r="AO451" s="10"/>
      <c r="AP451" s="11">
        <v>0</v>
      </c>
      <c r="AQ451" s="10"/>
      <c r="AR451" s="10"/>
      <c r="AS451" s="11">
        <v>0</v>
      </c>
      <c r="AT451" s="10"/>
      <c r="AU451" s="10"/>
      <c r="AV451" s="11">
        <v>0</v>
      </c>
      <c r="AW451" s="10"/>
      <c r="AX451" s="10"/>
      <c r="AY451" s="11">
        <v>0</v>
      </c>
      <c r="AZ451" s="10"/>
      <c r="BA451" s="10"/>
      <c r="BB451" s="11">
        <v>0</v>
      </c>
      <c r="BC451" s="10"/>
      <c r="BD451" s="10"/>
      <c r="BE451" s="11">
        <v>0</v>
      </c>
      <c r="BF451" s="10"/>
      <c r="BG451" s="10"/>
      <c r="BH451" s="11">
        <v>0</v>
      </c>
      <c r="BI451" s="10"/>
      <c r="BJ451" s="10"/>
      <c r="BK451" s="11">
        <v>0</v>
      </c>
      <c r="BL451" s="10"/>
      <c r="BM451" s="10"/>
      <c r="BN451" s="11">
        <v>0</v>
      </c>
      <c r="BO451" s="10"/>
      <c r="BP451" s="10"/>
      <c r="BQ451" s="11">
        <v>0</v>
      </c>
      <c r="BR451" s="10"/>
      <c r="BS451" s="10"/>
      <c r="BT451" s="11">
        <v>0</v>
      </c>
      <c r="BU451" s="10"/>
      <c r="BV451" s="10"/>
      <c r="BW451" s="11">
        <v>0</v>
      </c>
      <c r="BX451" s="10"/>
      <c r="BY451" s="10"/>
      <c r="BZ451" s="11">
        <v>0</v>
      </c>
      <c r="CA451" s="10"/>
      <c r="CB451" s="10"/>
      <c r="CC451" s="11">
        <v>0</v>
      </c>
      <c r="CD451" s="10"/>
      <c r="CE451" s="10"/>
      <c r="CF451" s="11">
        <v>0</v>
      </c>
      <c r="CG451" s="10"/>
      <c r="CH451" s="10"/>
      <c r="CI451" s="11">
        <v>0</v>
      </c>
      <c r="CJ451" s="10"/>
      <c r="CK451" s="10"/>
      <c r="CL451" s="11">
        <v>0</v>
      </c>
      <c r="CM451" s="10"/>
      <c r="CN451" s="10"/>
      <c r="CO451" s="11">
        <v>0</v>
      </c>
      <c r="CP451" s="10"/>
      <c r="CQ451" s="10"/>
      <c r="CR451" s="11">
        <v>0</v>
      </c>
      <c r="CS451" s="10"/>
      <c r="CT451" s="10"/>
      <c r="CU451" s="11">
        <v>0</v>
      </c>
      <c r="CV451" s="10"/>
      <c r="CW451" s="10"/>
      <c r="CX451" s="11">
        <v>0</v>
      </c>
      <c r="CY451" s="10"/>
      <c r="CZ451" s="10"/>
      <c r="DA451" s="11">
        <v>0</v>
      </c>
      <c r="DB451" s="10"/>
      <c r="DC451" s="10"/>
      <c r="DD451" s="13">
        <v>0</v>
      </c>
      <c r="DE451" s="14"/>
    </row>
    <row r="452" spans="1:109" x14ac:dyDescent="0.35">
      <c r="A452" s="8" t="s">
        <v>967</v>
      </c>
      <c r="B452" s="9" t="s">
        <v>48</v>
      </c>
      <c r="C452" s="9" t="s">
        <v>43</v>
      </c>
      <c r="D452" s="9" t="s">
        <v>968</v>
      </c>
      <c r="E452" s="9" t="s">
        <v>45</v>
      </c>
      <c r="F452" s="9" t="s">
        <v>46</v>
      </c>
      <c r="G452" s="10"/>
      <c r="H452" s="10"/>
      <c r="I452" s="11">
        <v>0</v>
      </c>
      <c r="J452" s="10"/>
      <c r="K452" s="10"/>
      <c r="L452" s="12">
        <v>0</v>
      </c>
      <c r="M452" s="10"/>
      <c r="N452" s="10"/>
      <c r="O452" s="11">
        <v>0</v>
      </c>
      <c r="P452" s="10"/>
      <c r="Q452" s="10"/>
      <c r="R452" s="11">
        <v>0</v>
      </c>
      <c r="S452" s="10"/>
      <c r="T452" s="10"/>
      <c r="U452" s="11">
        <v>0</v>
      </c>
      <c r="V452" s="10"/>
      <c r="W452" s="10"/>
      <c r="X452" s="11">
        <v>0</v>
      </c>
      <c r="Y452" s="10"/>
      <c r="Z452" s="10"/>
      <c r="AA452" s="11"/>
      <c r="AB452" s="10"/>
      <c r="AC452" s="10"/>
      <c r="AD452" s="11">
        <v>0</v>
      </c>
      <c r="AE452" s="10"/>
      <c r="AF452" s="10"/>
      <c r="AG452" s="11">
        <v>0</v>
      </c>
      <c r="AH452" s="10"/>
      <c r="AI452" s="10"/>
      <c r="AJ452" s="11">
        <v>0</v>
      </c>
      <c r="AK452" s="10"/>
      <c r="AL452" s="10"/>
      <c r="AM452" s="11">
        <v>0</v>
      </c>
      <c r="AN452" s="10"/>
      <c r="AO452" s="10"/>
      <c r="AP452" s="11">
        <v>0</v>
      </c>
      <c r="AQ452" s="10"/>
      <c r="AR452" s="10"/>
      <c r="AS452" s="11">
        <v>0</v>
      </c>
      <c r="AT452" s="10"/>
      <c r="AU452" s="10"/>
      <c r="AV452" s="11">
        <v>0</v>
      </c>
      <c r="AW452" s="10"/>
      <c r="AX452" s="10"/>
      <c r="AY452" s="11">
        <v>0</v>
      </c>
      <c r="AZ452" s="10"/>
      <c r="BA452" s="10"/>
      <c r="BB452" s="11">
        <v>0</v>
      </c>
      <c r="BC452" s="10"/>
      <c r="BD452" s="10"/>
      <c r="BE452" s="11">
        <v>0</v>
      </c>
      <c r="BF452" s="10"/>
      <c r="BG452" s="10"/>
      <c r="BH452" s="11">
        <v>0</v>
      </c>
      <c r="BI452" s="10"/>
      <c r="BJ452" s="10"/>
      <c r="BK452" s="11">
        <v>0</v>
      </c>
      <c r="BL452" s="10"/>
      <c r="BM452" s="10"/>
      <c r="BN452" s="11">
        <v>0</v>
      </c>
      <c r="BO452" s="10"/>
      <c r="BP452" s="10"/>
      <c r="BQ452" s="11">
        <v>0</v>
      </c>
      <c r="BR452" s="10"/>
      <c r="BS452" s="10"/>
      <c r="BT452" s="11">
        <v>0</v>
      </c>
      <c r="BU452" s="10"/>
      <c r="BV452" s="10"/>
      <c r="BW452" s="11">
        <v>0</v>
      </c>
      <c r="BX452" s="10"/>
      <c r="BY452" s="10"/>
      <c r="BZ452" s="11">
        <v>0</v>
      </c>
      <c r="CA452" s="10"/>
      <c r="CB452" s="10"/>
      <c r="CC452" s="11">
        <v>0</v>
      </c>
      <c r="CD452" s="10"/>
      <c r="CE452" s="10"/>
      <c r="CF452" s="11">
        <v>0</v>
      </c>
      <c r="CG452" s="10"/>
      <c r="CH452" s="10"/>
      <c r="CI452" s="11">
        <v>0</v>
      </c>
      <c r="CJ452" s="10"/>
      <c r="CK452" s="10"/>
      <c r="CL452" s="11">
        <v>0</v>
      </c>
      <c r="CM452" s="10"/>
      <c r="CN452" s="10"/>
      <c r="CO452" s="11">
        <v>0</v>
      </c>
      <c r="CP452" s="10"/>
      <c r="CQ452" s="10"/>
      <c r="CR452" s="11">
        <v>0</v>
      </c>
      <c r="CS452" s="10"/>
      <c r="CT452" s="10"/>
      <c r="CU452" s="11">
        <v>0</v>
      </c>
      <c r="CV452" s="10"/>
      <c r="CW452" s="10"/>
      <c r="CX452" s="11">
        <v>0</v>
      </c>
      <c r="CY452" s="10"/>
      <c r="CZ452" s="10"/>
      <c r="DA452" s="11">
        <v>0</v>
      </c>
      <c r="DB452" s="10"/>
      <c r="DC452" s="10"/>
      <c r="DD452" s="13">
        <v>0</v>
      </c>
      <c r="DE452" s="14"/>
    </row>
    <row r="453" spans="1:109" x14ac:dyDescent="0.35">
      <c r="A453" s="8" t="s">
        <v>969</v>
      </c>
      <c r="B453" s="9" t="s">
        <v>108</v>
      </c>
      <c r="C453" s="9" t="s">
        <v>52</v>
      </c>
      <c r="D453" s="9" t="s">
        <v>970</v>
      </c>
      <c r="E453" s="9" t="s">
        <v>54</v>
      </c>
      <c r="F453" s="9" t="s">
        <v>55</v>
      </c>
      <c r="G453" s="10"/>
      <c r="H453" s="10"/>
      <c r="I453" s="11">
        <v>0</v>
      </c>
      <c r="J453" s="10"/>
      <c r="K453" s="10"/>
      <c r="L453" s="12">
        <v>0</v>
      </c>
      <c r="M453" s="10"/>
      <c r="N453" s="10"/>
      <c r="O453" s="11">
        <v>0</v>
      </c>
      <c r="P453" s="10"/>
      <c r="Q453" s="10"/>
      <c r="R453" s="11">
        <v>0</v>
      </c>
      <c r="S453" s="10"/>
      <c r="T453" s="10"/>
      <c r="U453" s="11">
        <v>0</v>
      </c>
      <c r="V453" s="10"/>
      <c r="W453" s="10"/>
      <c r="X453" s="11">
        <v>0</v>
      </c>
      <c r="Y453" s="10"/>
      <c r="Z453" s="10"/>
      <c r="AA453" s="11"/>
      <c r="AB453" s="10"/>
      <c r="AC453" s="10"/>
      <c r="AD453" s="11">
        <v>0</v>
      </c>
      <c r="AE453" s="10"/>
      <c r="AF453" s="10"/>
      <c r="AG453" s="11">
        <v>0</v>
      </c>
      <c r="AH453" s="10"/>
      <c r="AI453" s="10"/>
      <c r="AJ453" s="11">
        <v>0</v>
      </c>
      <c r="AK453" s="10"/>
      <c r="AL453" s="10"/>
      <c r="AM453" s="11">
        <v>0</v>
      </c>
      <c r="AN453" s="10"/>
      <c r="AO453" s="10"/>
      <c r="AP453" s="11">
        <v>0</v>
      </c>
      <c r="AQ453" s="10"/>
      <c r="AR453" s="10"/>
      <c r="AS453" s="11">
        <v>0</v>
      </c>
      <c r="AT453" s="10"/>
      <c r="AU453" s="10"/>
      <c r="AV453" s="11">
        <v>0</v>
      </c>
      <c r="AW453" s="10"/>
      <c r="AX453" s="10"/>
      <c r="AY453" s="11">
        <v>0</v>
      </c>
      <c r="AZ453" s="10"/>
      <c r="BA453" s="10"/>
      <c r="BB453" s="11">
        <v>0</v>
      </c>
      <c r="BC453" s="10"/>
      <c r="BD453" s="10"/>
      <c r="BE453" s="11">
        <v>0</v>
      </c>
      <c r="BF453" s="10"/>
      <c r="BG453" s="10"/>
      <c r="BH453" s="11">
        <v>0</v>
      </c>
      <c r="BI453" s="10"/>
      <c r="BJ453" s="10"/>
      <c r="BK453" s="11">
        <v>0</v>
      </c>
      <c r="BL453" s="10"/>
      <c r="BM453" s="10"/>
      <c r="BN453" s="11">
        <v>0</v>
      </c>
      <c r="BO453" s="10"/>
      <c r="BP453" s="10"/>
      <c r="BQ453" s="11">
        <v>0</v>
      </c>
      <c r="BR453" s="10"/>
      <c r="BS453" s="10"/>
      <c r="BT453" s="11">
        <v>0</v>
      </c>
      <c r="BU453" s="10"/>
      <c r="BV453" s="10"/>
      <c r="BW453" s="11">
        <v>0</v>
      </c>
      <c r="BX453" s="10"/>
      <c r="BY453" s="10"/>
      <c r="BZ453" s="11">
        <v>0</v>
      </c>
      <c r="CA453" s="10"/>
      <c r="CB453" s="10"/>
      <c r="CC453" s="11">
        <v>0</v>
      </c>
      <c r="CD453" s="10"/>
      <c r="CE453" s="10"/>
      <c r="CF453" s="11">
        <v>0</v>
      </c>
      <c r="CG453" s="10"/>
      <c r="CH453" s="10"/>
      <c r="CI453" s="11">
        <v>0</v>
      </c>
      <c r="CJ453" s="10"/>
      <c r="CK453" s="10"/>
      <c r="CL453" s="11">
        <v>0</v>
      </c>
      <c r="CM453" s="10"/>
      <c r="CN453" s="10"/>
      <c r="CO453" s="11">
        <v>0</v>
      </c>
      <c r="CP453" s="10"/>
      <c r="CQ453" s="10"/>
      <c r="CR453" s="11">
        <v>0</v>
      </c>
      <c r="CS453" s="10"/>
      <c r="CT453" s="10"/>
      <c r="CU453" s="11">
        <v>0</v>
      </c>
      <c r="CV453" s="10"/>
      <c r="CW453" s="10"/>
      <c r="CX453" s="11">
        <v>0</v>
      </c>
      <c r="CY453" s="10"/>
      <c r="CZ453" s="10"/>
      <c r="DA453" s="11">
        <v>0</v>
      </c>
      <c r="DB453" s="10"/>
      <c r="DC453" s="10"/>
      <c r="DD453" s="13">
        <v>0</v>
      </c>
      <c r="DE453" s="14"/>
    </row>
    <row r="454" spans="1:109" x14ac:dyDescent="0.35">
      <c r="A454" s="8" t="s">
        <v>971</v>
      </c>
      <c r="B454" s="9" t="s">
        <v>48</v>
      </c>
      <c r="C454" s="9" t="s">
        <v>43</v>
      </c>
      <c r="D454" s="9" t="s">
        <v>972</v>
      </c>
      <c r="E454" s="9" t="s">
        <v>45</v>
      </c>
      <c r="F454" s="9" t="s">
        <v>46</v>
      </c>
      <c r="G454" s="10"/>
      <c r="H454" s="10"/>
      <c r="I454" s="11">
        <v>0</v>
      </c>
      <c r="J454" s="10"/>
      <c r="K454" s="10"/>
      <c r="L454" s="12">
        <v>0</v>
      </c>
      <c r="M454" s="10"/>
      <c r="N454" s="10"/>
      <c r="O454" s="11">
        <v>0</v>
      </c>
      <c r="P454" s="10"/>
      <c r="Q454" s="10"/>
      <c r="R454" s="11">
        <v>0</v>
      </c>
      <c r="S454" s="10"/>
      <c r="T454" s="10"/>
      <c r="U454" s="11">
        <v>0</v>
      </c>
      <c r="V454" s="10"/>
      <c r="W454" s="10"/>
      <c r="X454" s="11">
        <v>0</v>
      </c>
      <c r="Y454" s="10"/>
      <c r="Z454" s="10"/>
      <c r="AA454" s="11"/>
      <c r="AB454" s="10"/>
      <c r="AC454" s="10"/>
      <c r="AD454" s="11">
        <v>0</v>
      </c>
      <c r="AE454" s="10"/>
      <c r="AF454" s="10"/>
      <c r="AG454" s="11">
        <v>0</v>
      </c>
      <c r="AH454" s="10"/>
      <c r="AI454" s="10"/>
      <c r="AJ454" s="11">
        <v>0</v>
      </c>
      <c r="AK454" s="10"/>
      <c r="AL454" s="10"/>
      <c r="AM454" s="11">
        <v>0</v>
      </c>
      <c r="AN454" s="10"/>
      <c r="AO454" s="10"/>
      <c r="AP454" s="11">
        <v>0</v>
      </c>
      <c r="AQ454" s="10"/>
      <c r="AR454" s="10"/>
      <c r="AS454" s="11">
        <v>0</v>
      </c>
      <c r="AT454" s="10"/>
      <c r="AU454" s="10"/>
      <c r="AV454" s="11">
        <v>0</v>
      </c>
      <c r="AW454" s="10"/>
      <c r="AX454" s="10"/>
      <c r="AY454" s="11">
        <v>0</v>
      </c>
      <c r="AZ454" s="10"/>
      <c r="BA454" s="10"/>
      <c r="BB454" s="11">
        <v>0</v>
      </c>
      <c r="BC454" s="10"/>
      <c r="BD454" s="10"/>
      <c r="BE454" s="11">
        <v>0</v>
      </c>
      <c r="BF454" s="10"/>
      <c r="BG454" s="10"/>
      <c r="BH454" s="11">
        <v>0</v>
      </c>
      <c r="BI454" s="10"/>
      <c r="BJ454" s="10"/>
      <c r="BK454" s="11">
        <v>0</v>
      </c>
      <c r="BL454" s="10"/>
      <c r="BM454" s="10"/>
      <c r="BN454" s="11">
        <v>0</v>
      </c>
      <c r="BO454" s="10"/>
      <c r="BP454" s="10"/>
      <c r="BQ454" s="11">
        <v>0</v>
      </c>
      <c r="BR454" s="10"/>
      <c r="BS454" s="10"/>
      <c r="BT454" s="11">
        <v>0</v>
      </c>
      <c r="BU454" s="10"/>
      <c r="BV454" s="10"/>
      <c r="BW454" s="11">
        <v>0</v>
      </c>
      <c r="BX454" s="10"/>
      <c r="BY454" s="10"/>
      <c r="BZ454" s="11">
        <v>0</v>
      </c>
      <c r="CA454" s="10"/>
      <c r="CB454" s="10"/>
      <c r="CC454" s="11">
        <v>0</v>
      </c>
      <c r="CD454" s="10"/>
      <c r="CE454" s="10"/>
      <c r="CF454" s="11">
        <v>0</v>
      </c>
      <c r="CG454" s="10"/>
      <c r="CH454" s="10"/>
      <c r="CI454" s="11">
        <v>0</v>
      </c>
      <c r="CJ454" s="10"/>
      <c r="CK454" s="10"/>
      <c r="CL454" s="11">
        <v>0</v>
      </c>
      <c r="CM454" s="10"/>
      <c r="CN454" s="10"/>
      <c r="CO454" s="11">
        <v>0</v>
      </c>
      <c r="CP454" s="10"/>
      <c r="CQ454" s="10"/>
      <c r="CR454" s="11">
        <v>0</v>
      </c>
      <c r="CS454" s="10"/>
      <c r="CT454" s="10"/>
      <c r="CU454" s="11">
        <v>0</v>
      </c>
      <c r="CV454" s="10"/>
      <c r="CW454" s="10"/>
      <c r="CX454" s="11">
        <v>0</v>
      </c>
      <c r="CY454" s="10"/>
      <c r="CZ454" s="10"/>
      <c r="DA454" s="11">
        <v>0</v>
      </c>
      <c r="DB454" s="10"/>
      <c r="DC454" s="10"/>
      <c r="DD454" s="13">
        <v>0</v>
      </c>
      <c r="DE454" s="14"/>
    </row>
    <row r="455" spans="1:109" x14ac:dyDescent="0.35">
      <c r="A455" s="8" t="s">
        <v>973</v>
      </c>
      <c r="B455" s="9" t="s">
        <v>172</v>
      </c>
      <c r="C455" s="9" t="s">
        <v>52</v>
      </c>
      <c r="D455" s="9" t="s">
        <v>974</v>
      </c>
      <c r="E455" s="9" t="s">
        <v>54</v>
      </c>
      <c r="F455" s="9" t="s">
        <v>55</v>
      </c>
      <c r="G455" s="10"/>
      <c r="H455" s="10"/>
      <c r="I455" s="11">
        <v>0</v>
      </c>
      <c r="J455" s="10"/>
      <c r="K455" s="10"/>
      <c r="L455" s="12">
        <v>0</v>
      </c>
      <c r="M455" s="10"/>
      <c r="N455" s="10"/>
      <c r="O455" s="11">
        <v>0</v>
      </c>
      <c r="P455" s="10"/>
      <c r="Q455" s="10"/>
      <c r="R455" s="11">
        <v>0</v>
      </c>
      <c r="S455" s="10"/>
      <c r="T455" s="10"/>
      <c r="U455" s="11">
        <v>0</v>
      </c>
      <c r="V455" s="10"/>
      <c r="W455" s="10"/>
      <c r="X455" s="11">
        <v>0</v>
      </c>
      <c r="Y455" s="10"/>
      <c r="Z455" s="10"/>
      <c r="AA455" s="11"/>
      <c r="AB455" s="10"/>
      <c r="AC455" s="10"/>
      <c r="AD455" s="11">
        <v>0</v>
      </c>
      <c r="AE455" s="10"/>
      <c r="AF455" s="10"/>
      <c r="AG455" s="11">
        <v>0</v>
      </c>
      <c r="AH455" s="10"/>
      <c r="AI455" s="10"/>
      <c r="AJ455" s="11">
        <v>0</v>
      </c>
      <c r="AK455" s="10"/>
      <c r="AL455" s="10"/>
      <c r="AM455" s="11">
        <v>0</v>
      </c>
      <c r="AN455" s="10"/>
      <c r="AO455" s="10"/>
      <c r="AP455" s="11">
        <v>0</v>
      </c>
      <c r="AQ455" s="10"/>
      <c r="AR455" s="10"/>
      <c r="AS455" s="11">
        <v>0</v>
      </c>
      <c r="AT455" s="10"/>
      <c r="AU455" s="10"/>
      <c r="AV455" s="11">
        <v>0</v>
      </c>
      <c r="AW455" s="10"/>
      <c r="AX455" s="10"/>
      <c r="AY455" s="11">
        <v>0</v>
      </c>
      <c r="AZ455" s="10"/>
      <c r="BA455" s="10"/>
      <c r="BB455" s="11">
        <v>0</v>
      </c>
      <c r="BC455" s="10"/>
      <c r="BD455" s="10"/>
      <c r="BE455" s="11">
        <v>0</v>
      </c>
      <c r="BF455" s="10"/>
      <c r="BG455" s="10"/>
      <c r="BH455" s="11">
        <v>0</v>
      </c>
      <c r="BI455" s="10"/>
      <c r="BJ455" s="10"/>
      <c r="BK455" s="11">
        <v>0</v>
      </c>
      <c r="BL455" s="10"/>
      <c r="BM455" s="10"/>
      <c r="BN455" s="11">
        <v>0</v>
      </c>
      <c r="BO455" s="10"/>
      <c r="BP455" s="10"/>
      <c r="BQ455" s="11">
        <v>0</v>
      </c>
      <c r="BR455" s="10"/>
      <c r="BS455" s="10"/>
      <c r="BT455" s="11">
        <v>0</v>
      </c>
      <c r="BU455" s="10"/>
      <c r="BV455" s="10"/>
      <c r="BW455" s="11">
        <v>0</v>
      </c>
      <c r="BX455" s="10"/>
      <c r="BY455" s="10"/>
      <c r="BZ455" s="11">
        <v>0</v>
      </c>
      <c r="CA455" s="10"/>
      <c r="CB455" s="10"/>
      <c r="CC455" s="11">
        <v>0</v>
      </c>
      <c r="CD455" s="10"/>
      <c r="CE455" s="10"/>
      <c r="CF455" s="11">
        <v>0</v>
      </c>
      <c r="CG455" s="10"/>
      <c r="CH455" s="10"/>
      <c r="CI455" s="11">
        <v>0</v>
      </c>
      <c r="CJ455" s="10"/>
      <c r="CK455" s="10"/>
      <c r="CL455" s="11">
        <v>0</v>
      </c>
      <c r="CM455" s="10"/>
      <c r="CN455" s="10"/>
      <c r="CO455" s="11">
        <v>0</v>
      </c>
      <c r="CP455" s="10"/>
      <c r="CQ455" s="10"/>
      <c r="CR455" s="11">
        <v>0</v>
      </c>
      <c r="CS455" s="10"/>
      <c r="CT455" s="10"/>
      <c r="CU455" s="11">
        <v>0</v>
      </c>
      <c r="CV455" s="10"/>
      <c r="CW455" s="10"/>
      <c r="CX455" s="11">
        <v>0</v>
      </c>
      <c r="CY455" s="10"/>
      <c r="CZ455" s="10"/>
      <c r="DA455" s="11">
        <v>0</v>
      </c>
      <c r="DB455" s="10"/>
      <c r="DC455" s="10"/>
      <c r="DD455" s="13">
        <v>0</v>
      </c>
      <c r="DE455" s="14"/>
    </row>
    <row r="456" spans="1:109" x14ac:dyDescent="0.35">
      <c r="A456" s="8" t="s">
        <v>975</v>
      </c>
      <c r="B456" s="9" t="s">
        <v>48</v>
      </c>
      <c r="C456" s="9" t="s">
        <v>43</v>
      </c>
      <c r="D456" s="9" t="s">
        <v>976</v>
      </c>
      <c r="E456" s="9" t="s">
        <v>45</v>
      </c>
      <c r="F456" s="9" t="s">
        <v>46</v>
      </c>
      <c r="G456" s="10"/>
      <c r="H456" s="10"/>
      <c r="I456" s="11">
        <v>0</v>
      </c>
      <c r="J456" s="10"/>
      <c r="K456" s="10"/>
      <c r="L456" s="12">
        <v>0</v>
      </c>
      <c r="M456" s="10"/>
      <c r="N456" s="10"/>
      <c r="O456" s="11">
        <v>0</v>
      </c>
      <c r="P456" s="10"/>
      <c r="Q456" s="10"/>
      <c r="R456" s="11">
        <v>0</v>
      </c>
      <c r="S456" s="10"/>
      <c r="T456" s="10"/>
      <c r="U456" s="11">
        <v>0</v>
      </c>
      <c r="V456" s="10"/>
      <c r="W456" s="10"/>
      <c r="X456" s="11">
        <v>0</v>
      </c>
      <c r="Y456" s="10"/>
      <c r="Z456" s="10"/>
      <c r="AA456" s="11"/>
      <c r="AB456" s="10"/>
      <c r="AC456" s="10"/>
      <c r="AD456" s="11">
        <v>0</v>
      </c>
      <c r="AE456" s="10"/>
      <c r="AF456" s="10"/>
      <c r="AG456" s="11">
        <v>0</v>
      </c>
      <c r="AH456" s="10"/>
      <c r="AI456" s="10"/>
      <c r="AJ456" s="11">
        <v>0</v>
      </c>
      <c r="AK456" s="10"/>
      <c r="AL456" s="10"/>
      <c r="AM456" s="11">
        <v>0</v>
      </c>
      <c r="AN456" s="10"/>
      <c r="AO456" s="10"/>
      <c r="AP456" s="11">
        <v>0</v>
      </c>
      <c r="AQ456" s="10"/>
      <c r="AR456" s="10"/>
      <c r="AS456" s="11">
        <v>0</v>
      </c>
      <c r="AT456" s="10"/>
      <c r="AU456" s="10"/>
      <c r="AV456" s="11">
        <v>0</v>
      </c>
      <c r="AW456" s="10"/>
      <c r="AX456" s="10"/>
      <c r="AY456" s="11">
        <v>0</v>
      </c>
      <c r="AZ456" s="10"/>
      <c r="BA456" s="10"/>
      <c r="BB456" s="11">
        <v>0</v>
      </c>
      <c r="BC456" s="10"/>
      <c r="BD456" s="10"/>
      <c r="BE456" s="11">
        <v>0</v>
      </c>
      <c r="BF456" s="10"/>
      <c r="BG456" s="10"/>
      <c r="BH456" s="11">
        <v>0</v>
      </c>
      <c r="BI456" s="10"/>
      <c r="BJ456" s="10"/>
      <c r="BK456" s="11">
        <v>0</v>
      </c>
      <c r="BL456" s="10"/>
      <c r="BM456" s="10"/>
      <c r="BN456" s="11">
        <v>0</v>
      </c>
      <c r="BO456" s="10"/>
      <c r="BP456" s="10"/>
      <c r="BQ456" s="11">
        <v>0</v>
      </c>
      <c r="BR456" s="10"/>
      <c r="BS456" s="10"/>
      <c r="BT456" s="11">
        <v>0</v>
      </c>
      <c r="BU456" s="10"/>
      <c r="BV456" s="10"/>
      <c r="BW456" s="11">
        <v>0</v>
      </c>
      <c r="BX456" s="10"/>
      <c r="BY456" s="10"/>
      <c r="BZ456" s="11">
        <v>0</v>
      </c>
      <c r="CA456" s="10"/>
      <c r="CB456" s="10"/>
      <c r="CC456" s="11">
        <v>0</v>
      </c>
      <c r="CD456" s="10"/>
      <c r="CE456" s="10"/>
      <c r="CF456" s="11">
        <v>0</v>
      </c>
      <c r="CG456" s="10"/>
      <c r="CH456" s="10"/>
      <c r="CI456" s="11">
        <v>0</v>
      </c>
      <c r="CJ456" s="10"/>
      <c r="CK456" s="10"/>
      <c r="CL456" s="11">
        <v>0</v>
      </c>
      <c r="CM456" s="10"/>
      <c r="CN456" s="10"/>
      <c r="CO456" s="11">
        <v>0</v>
      </c>
      <c r="CP456" s="10"/>
      <c r="CQ456" s="10"/>
      <c r="CR456" s="11">
        <v>0</v>
      </c>
      <c r="CS456" s="10"/>
      <c r="CT456" s="10"/>
      <c r="CU456" s="11">
        <v>0</v>
      </c>
      <c r="CV456" s="10"/>
      <c r="CW456" s="10"/>
      <c r="CX456" s="11">
        <v>0</v>
      </c>
      <c r="CY456" s="10"/>
      <c r="CZ456" s="10"/>
      <c r="DA456" s="11">
        <v>0</v>
      </c>
      <c r="DB456" s="10"/>
      <c r="DC456" s="10"/>
      <c r="DD456" s="13">
        <v>0</v>
      </c>
      <c r="DE456" s="14"/>
    </row>
    <row r="457" spans="1:109" x14ac:dyDescent="0.35">
      <c r="A457" s="8" t="s">
        <v>977</v>
      </c>
      <c r="B457" s="9" t="s">
        <v>51</v>
      </c>
      <c r="C457" s="9" t="s">
        <v>52</v>
      </c>
      <c r="D457" s="9" t="s">
        <v>978</v>
      </c>
      <c r="E457" s="9" t="s">
        <v>54</v>
      </c>
      <c r="F457" s="9" t="s">
        <v>55</v>
      </c>
      <c r="G457" s="10"/>
      <c r="H457" s="10"/>
      <c r="I457" s="11">
        <v>0</v>
      </c>
      <c r="J457" s="10"/>
      <c r="K457" s="10"/>
      <c r="L457" s="12">
        <v>0</v>
      </c>
      <c r="M457" s="10"/>
      <c r="N457" s="10"/>
      <c r="O457" s="11">
        <v>0</v>
      </c>
      <c r="P457" s="10"/>
      <c r="Q457" s="10"/>
      <c r="R457" s="11">
        <v>0</v>
      </c>
      <c r="S457" s="10"/>
      <c r="T457" s="10"/>
      <c r="U457" s="11">
        <v>0</v>
      </c>
      <c r="V457" s="10"/>
      <c r="W457" s="10"/>
      <c r="X457" s="11">
        <v>0</v>
      </c>
      <c r="Y457" s="10"/>
      <c r="Z457" s="10"/>
      <c r="AA457" s="11"/>
      <c r="AB457" s="10"/>
      <c r="AC457" s="10"/>
      <c r="AD457" s="11">
        <v>0</v>
      </c>
      <c r="AE457" s="10"/>
      <c r="AF457" s="10"/>
      <c r="AG457" s="11">
        <v>0</v>
      </c>
      <c r="AH457" s="10"/>
      <c r="AI457" s="10"/>
      <c r="AJ457" s="11">
        <v>0</v>
      </c>
      <c r="AK457" s="10"/>
      <c r="AL457" s="10"/>
      <c r="AM457" s="11">
        <v>0</v>
      </c>
      <c r="AN457" s="10"/>
      <c r="AO457" s="10"/>
      <c r="AP457" s="11">
        <v>0</v>
      </c>
      <c r="AQ457" s="10"/>
      <c r="AR457" s="10"/>
      <c r="AS457" s="11">
        <v>0</v>
      </c>
      <c r="AT457" s="10"/>
      <c r="AU457" s="10"/>
      <c r="AV457" s="11">
        <v>0</v>
      </c>
      <c r="AW457" s="10"/>
      <c r="AX457" s="10"/>
      <c r="AY457" s="11">
        <v>0</v>
      </c>
      <c r="AZ457" s="10"/>
      <c r="BA457" s="10"/>
      <c r="BB457" s="11">
        <v>0</v>
      </c>
      <c r="BC457" s="10"/>
      <c r="BD457" s="10"/>
      <c r="BE457" s="11">
        <v>0</v>
      </c>
      <c r="BF457" s="10"/>
      <c r="BG457" s="10"/>
      <c r="BH457" s="11">
        <v>0</v>
      </c>
      <c r="BI457" s="10"/>
      <c r="BJ457" s="10"/>
      <c r="BK457" s="11">
        <v>0</v>
      </c>
      <c r="BL457" s="10"/>
      <c r="BM457" s="10"/>
      <c r="BN457" s="11">
        <v>0</v>
      </c>
      <c r="BO457" s="10"/>
      <c r="BP457" s="10"/>
      <c r="BQ457" s="11">
        <v>0</v>
      </c>
      <c r="BR457" s="10"/>
      <c r="BS457" s="10"/>
      <c r="BT457" s="11">
        <v>0</v>
      </c>
      <c r="BU457" s="10"/>
      <c r="BV457" s="10"/>
      <c r="BW457" s="11">
        <v>0</v>
      </c>
      <c r="BX457" s="10"/>
      <c r="BY457" s="10"/>
      <c r="BZ457" s="11">
        <v>0</v>
      </c>
      <c r="CA457" s="10"/>
      <c r="CB457" s="10"/>
      <c r="CC457" s="11">
        <v>0</v>
      </c>
      <c r="CD457" s="10"/>
      <c r="CE457" s="10"/>
      <c r="CF457" s="11">
        <v>0</v>
      </c>
      <c r="CG457" s="10"/>
      <c r="CH457" s="10"/>
      <c r="CI457" s="11">
        <v>0</v>
      </c>
      <c r="CJ457" s="10"/>
      <c r="CK457" s="10"/>
      <c r="CL457" s="11">
        <v>0</v>
      </c>
      <c r="CM457" s="10"/>
      <c r="CN457" s="10"/>
      <c r="CO457" s="11">
        <v>0</v>
      </c>
      <c r="CP457" s="10"/>
      <c r="CQ457" s="10"/>
      <c r="CR457" s="11">
        <v>0</v>
      </c>
      <c r="CS457" s="10"/>
      <c r="CT457" s="10"/>
      <c r="CU457" s="11">
        <v>0</v>
      </c>
      <c r="CV457" s="10"/>
      <c r="CW457" s="10"/>
      <c r="CX457" s="11">
        <v>0</v>
      </c>
      <c r="CY457" s="10"/>
      <c r="CZ457" s="10"/>
      <c r="DA457" s="11">
        <v>0</v>
      </c>
      <c r="DB457" s="10"/>
      <c r="DC457" s="10"/>
      <c r="DD457" s="13">
        <v>0</v>
      </c>
      <c r="DE457" s="14"/>
    </row>
    <row r="458" spans="1:109" x14ac:dyDescent="0.35">
      <c r="A458" s="8" t="s">
        <v>979</v>
      </c>
      <c r="B458" s="9" t="s">
        <v>140</v>
      </c>
      <c r="C458" s="9" t="s">
        <v>43</v>
      </c>
      <c r="D458" s="9" t="s">
        <v>980</v>
      </c>
      <c r="E458" s="9" t="s">
        <v>45</v>
      </c>
      <c r="F458" s="9" t="s">
        <v>46</v>
      </c>
      <c r="G458" s="10"/>
      <c r="H458" s="10"/>
      <c r="I458" s="11">
        <v>0</v>
      </c>
      <c r="J458" s="10"/>
      <c r="K458" s="10"/>
      <c r="L458" s="12">
        <v>0</v>
      </c>
      <c r="M458" s="10"/>
      <c r="N458" s="10"/>
      <c r="O458" s="11">
        <v>0</v>
      </c>
      <c r="P458" s="10"/>
      <c r="Q458" s="10"/>
      <c r="R458" s="11">
        <v>0</v>
      </c>
      <c r="S458" s="10"/>
      <c r="T458" s="10"/>
      <c r="U458" s="11">
        <v>0</v>
      </c>
      <c r="V458" s="10"/>
      <c r="W458" s="10"/>
      <c r="X458" s="11">
        <v>0</v>
      </c>
      <c r="Y458" s="10"/>
      <c r="Z458" s="10"/>
      <c r="AA458" s="11"/>
      <c r="AB458" s="10"/>
      <c r="AC458" s="10"/>
      <c r="AD458" s="11">
        <v>0</v>
      </c>
      <c r="AE458" s="10"/>
      <c r="AF458" s="10"/>
      <c r="AG458" s="11">
        <v>0</v>
      </c>
      <c r="AH458" s="10"/>
      <c r="AI458" s="10"/>
      <c r="AJ458" s="11">
        <v>0</v>
      </c>
      <c r="AK458" s="10"/>
      <c r="AL458" s="10"/>
      <c r="AM458" s="11">
        <v>0</v>
      </c>
      <c r="AN458" s="10"/>
      <c r="AO458" s="10"/>
      <c r="AP458" s="11">
        <v>0</v>
      </c>
      <c r="AQ458" s="10"/>
      <c r="AR458" s="10"/>
      <c r="AS458" s="11">
        <v>0</v>
      </c>
      <c r="AT458" s="10"/>
      <c r="AU458" s="10"/>
      <c r="AV458" s="11">
        <v>0</v>
      </c>
      <c r="AW458" s="10"/>
      <c r="AX458" s="10"/>
      <c r="AY458" s="11">
        <v>0</v>
      </c>
      <c r="AZ458" s="10"/>
      <c r="BA458" s="10"/>
      <c r="BB458" s="11">
        <v>0</v>
      </c>
      <c r="BC458" s="10"/>
      <c r="BD458" s="10"/>
      <c r="BE458" s="11">
        <v>0</v>
      </c>
      <c r="BF458" s="10"/>
      <c r="BG458" s="10"/>
      <c r="BH458" s="11">
        <v>0</v>
      </c>
      <c r="BI458" s="10"/>
      <c r="BJ458" s="10"/>
      <c r="BK458" s="11">
        <v>0</v>
      </c>
      <c r="BL458" s="10"/>
      <c r="BM458" s="10"/>
      <c r="BN458" s="11">
        <v>0</v>
      </c>
      <c r="BO458" s="10"/>
      <c r="BP458" s="10"/>
      <c r="BQ458" s="11">
        <v>0</v>
      </c>
      <c r="BR458" s="10"/>
      <c r="BS458" s="10"/>
      <c r="BT458" s="11">
        <v>0</v>
      </c>
      <c r="BU458" s="10"/>
      <c r="BV458" s="10"/>
      <c r="BW458" s="11">
        <v>0</v>
      </c>
      <c r="BX458" s="10"/>
      <c r="BY458" s="10"/>
      <c r="BZ458" s="11">
        <v>0</v>
      </c>
      <c r="CA458" s="10"/>
      <c r="CB458" s="10"/>
      <c r="CC458" s="11">
        <v>0</v>
      </c>
      <c r="CD458" s="10"/>
      <c r="CE458" s="10"/>
      <c r="CF458" s="11">
        <v>0</v>
      </c>
      <c r="CG458" s="10"/>
      <c r="CH458" s="10"/>
      <c r="CI458" s="11">
        <v>0</v>
      </c>
      <c r="CJ458" s="10"/>
      <c r="CK458" s="10"/>
      <c r="CL458" s="11">
        <v>0</v>
      </c>
      <c r="CM458" s="10"/>
      <c r="CN458" s="10"/>
      <c r="CO458" s="11">
        <v>0</v>
      </c>
      <c r="CP458" s="10"/>
      <c r="CQ458" s="10"/>
      <c r="CR458" s="11">
        <v>0</v>
      </c>
      <c r="CS458" s="10"/>
      <c r="CT458" s="10"/>
      <c r="CU458" s="11">
        <v>0</v>
      </c>
      <c r="CV458" s="10"/>
      <c r="CW458" s="10"/>
      <c r="CX458" s="11">
        <v>0</v>
      </c>
      <c r="CY458" s="10"/>
      <c r="CZ458" s="10"/>
      <c r="DA458" s="11">
        <v>0</v>
      </c>
      <c r="DB458" s="10"/>
      <c r="DC458" s="10"/>
      <c r="DD458" s="13">
        <v>0</v>
      </c>
      <c r="DE458" s="14"/>
    </row>
    <row r="459" spans="1:109" x14ac:dyDescent="0.35">
      <c r="A459" s="8" t="s">
        <v>981</v>
      </c>
      <c r="B459" s="9" t="s">
        <v>860</v>
      </c>
      <c r="C459" s="9" t="s">
        <v>43</v>
      </c>
      <c r="D459" s="9" t="s">
        <v>982</v>
      </c>
      <c r="E459" s="9" t="s">
        <v>61</v>
      </c>
      <c r="F459" s="9" t="s">
        <v>62</v>
      </c>
      <c r="G459" s="10"/>
      <c r="H459" s="10"/>
      <c r="I459" s="11">
        <v>0</v>
      </c>
      <c r="J459" s="10"/>
      <c r="K459" s="10"/>
      <c r="L459" s="12">
        <v>0</v>
      </c>
      <c r="M459" s="10"/>
      <c r="N459" s="10"/>
      <c r="O459" s="11">
        <v>0</v>
      </c>
      <c r="P459" s="10"/>
      <c r="Q459" s="10"/>
      <c r="R459" s="11">
        <v>0</v>
      </c>
      <c r="S459" s="10"/>
      <c r="T459" s="10"/>
      <c r="U459" s="11">
        <v>0</v>
      </c>
      <c r="V459" s="10"/>
      <c r="W459" s="10"/>
      <c r="X459" s="11">
        <v>0</v>
      </c>
      <c r="Y459" s="10"/>
      <c r="Z459" s="10"/>
      <c r="AA459" s="11"/>
      <c r="AB459" s="10"/>
      <c r="AC459" s="10"/>
      <c r="AD459" s="11">
        <v>0</v>
      </c>
      <c r="AE459" s="10"/>
      <c r="AF459" s="10"/>
      <c r="AG459" s="11">
        <v>0</v>
      </c>
      <c r="AH459" s="10"/>
      <c r="AI459" s="10"/>
      <c r="AJ459" s="11">
        <v>0</v>
      </c>
      <c r="AK459" s="10"/>
      <c r="AL459" s="10"/>
      <c r="AM459" s="11">
        <v>0</v>
      </c>
      <c r="AN459" s="10"/>
      <c r="AO459" s="10"/>
      <c r="AP459" s="11">
        <v>0</v>
      </c>
      <c r="AQ459" s="10"/>
      <c r="AR459" s="10"/>
      <c r="AS459" s="11">
        <v>0</v>
      </c>
      <c r="AT459" s="10"/>
      <c r="AU459" s="10"/>
      <c r="AV459" s="11">
        <v>0</v>
      </c>
      <c r="AW459" s="10"/>
      <c r="AX459" s="10"/>
      <c r="AY459" s="11">
        <v>0</v>
      </c>
      <c r="AZ459" s="10"/>
      <c r="BA459" s="10"/>
      <c r="BB459" s="11">
        <v>0</v>
      </c>
      <c r="BC459" s="10"/>
      <c r="BD459" s="10"/>
      <c r="BE459" s="11">
        <v>0</v>
      </c>
      <c r="BF459" s="10"/>
      <c r="BG459" s="10"/>
      <c r="BH459" s="11">
        <v>0</v>
      </c>
      <c r="BI459" s="10"/>
      <c r="BJ459" s="10"/>
      <c r="BK459" s="11">
        <v>0</v>
      </c>
      <c r="BL459" s="10"/>
      <c r="BM459" s="10"/>
      <c r="BN459" s="11">
        <v>0</v>
      </c>
      <c r="BO459" s="10"/>
      <c r="BP459" s="10"/>
      <c r="BQ459" s="11">
        <v>0</v>
      </c>
      <c r="BR459" s="10"/>
      <c r="BS459" s="10"/>
      <c r="BT459" s="11">
        <v>0</v>
      </c>
      <c r="BU459" s="10"/>
      <c r="BV459" s="10"/>
      <c r="BW459" s="11">
        <v>0</v>
      </c>
      <c r="BX459" s="10"/>
      <c r="BY459" s="10"/>
      <c r="BZ459" s="11">
        <v>0</v>
      </c>
      <c r="CA459" s="10"/>
      <c r="CB459" s="10"/>
      <c r="CC459" s="11">
        <v>0</v>
      </c>
      <c r="CD459" s="10"/>
      <c r="CE459" s="10"/>
      <c r="CF459" s="11">
        <v>0</v>
      </c>
      <c r="CG459" s="10"/>
      <c r="CH459" s="10"/>
      <c r="CI459" s="11">
        <v>0</v>
      </c>
      <c r="CJ459" s="10"/>
      <c r="CK459" s="10"/>
      <c r="CL459" s="11">
        <v>0</v>
      </c>
      <c r="CM459" s="10"/>
      <c r="CN459" s="10"/>
      <c r="CO459" s="11">
        <v>0</v>
      </c>
      <c r="CP459" s="10"/>
      <c r="CQ459" s="10"/>
      <c r="CR459" s="11">
        <v>0</v>
      </c>
      <c r="CS459" s="10"/>
      <c r="CT459" s="10"/>
      <c r="CU459" s="11">
        <v>0</v>
      </c>
      <c r="CV459" s="10"/>
      <c r="CW459" s="10"/>
      <c r="CX459" s="11">
        <v>0</v>
      </c>
      <c r="CY459" s="10"/>
      <c r="CZ459" s="10"/>
      <c r="DA459" s="11">
        <v>0</v>
      </c>
      <c r="DB459" s="10"/>
      <c r="DC459" s="10"/>
      <c r="DD459" s="13">
        <v>0</v>
      </c>
      <c r="DE459" s="14"/>
    </row>
    <row r="460" spans="1:109" x14ac:dyDescent="0.35">
      <c r="A460" s="8" t="s">
        <v>983</v>
      </c>
      <c r="B460" s="9" t="s">
        <v>51</v>
      </c>
      <c r="C460" s="9" t="s">
        <v>52</v>
      </c>
      <c r="D460" s="9" t="s">
        <v>984</v>
      </c>
      <c r="E460" s="9" t="s">
        <v>54</v>
      </c>
      <c r="F460" s="9" t="s">
        <v>55</v>
      </c>
      <c r="G460" s="10"/>
      <c r="H460" s="10"/>
      <c r="I460" s="11">
        <v>0</v>
      </c>
      <c r="J460" s="10"/>
      <c r="K460" s="10"/>
      <c r="L460" s="12">
        <v>0</v>
      </c>
      <c r="M460" s="10"/>
      <c r="N460" s="10"/>
      <c r="O460" s="11">
        <v>0</v>
      </c>
      <c r="P460" s="10"/>
      <c r="Q460" s="10"/>
      <c r="R460" s="11">
        <v>0</v>
      </c>
      <c r="S460" s="10"/>
      <c r="T460" s="10"/>
      <c r="U460" s="11">
        <v>0</v>
      </c>
      <c r="V460" s="10"/>
      <c r="W460" s="10"/>
      <c r="X460" s="11">
        <v>0</v>
      </c>
      <c r="Y460" s="10"/>
      <c r="Z460" s="10"/>
      <c r="AA460" s="11"/>
      <c r="AB460" s="10"/>
      <c r="AC460" s="10"/>
      <c r="AD460" s="11">
        <v>0</v>
      </c>
      <c r="AE460" s="10"/>
      <c r="AF460" s="10"/>
      <c r="AG460" s="11">
        <v>0</v>
      </c>
      <c r="AH460" s="10"/>
      <c r="AI460" s="10"/>
      <c r="AJ460" s="11">
        <v>0</v>
      </c>
      <c r="AK460" s="10"/>
      <c r="AL460" s="10"/>
      <c r="AM460" s="11">
        <v>0</v>
      </c>
      <c r="AN460" s="10"/>
      <c r="AO460" s="10"/>
      <c r="AP460" s="11">
        <v>0</v>
      </c>
      <c r="AQ460" s="10"/>
      <c r="AR460" s="10"/>
      <c r="AS460" s="11">
        <v>0</v>
      </c>
      <c r="AT460" s="10"/>
      <c r="AU460" s="10"/>
      <c r="AV460" s="11">
        <v>0</v>
      </c>
      <c r="AW460" s="10"/>
      <c r="AX460" s="10"/>
      <c r="AY460" s="11">
        <v>0</v>
      </c>
      <c r="AZ460" s="10"/>
      <c r="BA460" s="10"/>
      <c r="BB460" s="11">
        <v>0</v>
      </c>
      <c r="BC460" s="10"/>
      <c r="BD460" s="10"/>
      <c r="BE460" s="11">
        <v>0</v>
      </c>
      <c r="BF460" s="10"/>
      <c r="BG460" s="10"/>
      <c r="BH460" s="11">
        <v>0</v>
      </c>
      <c r="BI460" s="10"/>
      <c r="BJ460" s="10"/>
      <c r="BK460" s="11">
        <v>0</v>
      </c>
      <c r="BL460" s="10"/>
      <c r="BM460" s="10"/>
      <c r="BN460" s="11">
        <v>0</v>
      </c>
      <c r="BO460" s="10"/>
      <c r="BP460" s="10"/>
      <c r="BQ460" s="11">
        <v>0</v>
      </c>
      <c r="BR460" s="10"/>
      <c r="BS460" s="10"/>
      <c r="BT460" s="11">
        <v>0</v>
      </c>
      <c r="BU460" s="10"/>
      <c r="BV460" s="10"/>
      <c r="BW460" s="11">
        <v>0</v>
      </c>
      <c r="BX460" s="10"/>
      <c r="BY460" s="10"/>
      <c r="BZ460" s="11">
        <v>0</v>
      </c>
      <c r="CA460" s="10"/>
      <c r="CB460" s="10"/>
      <c r="CC460" s="11">
        <v>0</v>
      </c>
      <c r="CD460" s="10"/>
      <c r="CE460" s="10"/>
      <c r="CF460" s="11">
        <v>0</v>
      </c>
      <c r="CG460" s="10"/>
      <c r="CH460" s="10"/>
      <c r="CI460" s="11">
        <v>0</v>
      </c>
      <c r="CJ460" s="10"/>
      <c r="CK460" s="10"/>
      <c r="CL460" s="11">
        <v>0</v>
      </c>
      <c r="CM460" s="10"/>
      <c r="CN460" s="10"/>
      <c r="CO460" s="11">
        <v>0</v>
      </c>
      <c r="CP460" s="10"/>
      <c r="CQ460" s="10"/>
      <c r="CR460" s="11">
        <v>0</v>
      </c>
      <c r="CS460" s="10"/>
      <c r="CT460" s="10"/>
      <c r="CU460" s="11">
        <v>0</v>
      </c>
      <c r="CV460" s="10"/>
      <c r="CW460" s="10"/>
      <c r="CX460" s="11">
        <v>0</v>
      </c>
      <c r="CY460" s="10"/>
      <c r="CZ460" s="10"/>
      <c r="DA460" s="11">
        <v>0</v>
      </c>
      <c r="DB460" s="10"/>
      <c r="DC460" s="10"/>
      <c r="DD460" s="13">
        <v>0</v>
      </c>
      <c r="DE460" s="14"/>
    </row>
    <row r="461" spans="1:109" x14ac:dyDescent="0.35">
      <c r="A461" s="8" t="s">
        <v>985</v>
      </c>
      <c r="B461" s="9" t="s">
        <v>108</v>
      </c>
      <c r="C461" s="9" t="s">
        <v>52</v>
      </c>
      <c r="D461" s="9" t="s">
        <v>986</v>
      </c>
      <c r="E461" s="9" t="s">
        <v>54</v>
      </c>
      <c r="F461" s="9" t="s">
        <v>55</v>
      </c>
      <c r="G461" s="10"/>
      <c r="H461" s="10"/>
      <c r="I461" s="11">
        <v>0</v>
      </c>
      <c r="J461" s="10"/>
      <c r="K461" s="10"/>
      <c r="L461" s="12">
        <v>0</v>
      </c>
      <c r="M461" s="10"/>
      <c r="N461" s="10"/>
      <c r="O461" s="11">
        <v>0</v>
      </c>
      <c r="P461" s="10"/>
      <c r="Q461" s="10"/>
      <c r="R461" s="11">
        <v>0</v>
      </c>
      <c r="S461" s="10"/>
      <c r="T461" s="10"/>
      <c r="U461" s="11">
        <v>0</v>
      </c>
      <c r="V461" s="10"/>
      <c r="W461" s="10"/>
      <c r="X461" s="11">
        <v>0</v>
      </c>
      <c r="Y461" s="10"/>
      <c r="Z461" s="10"/>
      <c r="AA461" s="11"/>
      <c r="AB461" s="10"/>
      <c r="AC461" s="10"/>
      <c r="AD461" s="11">
        <v>0</v>
      </c>
      <c r="AE461" s="10"/>
      <c r="AF461" s="10"/>
      <c r="AG461" s="11">
        <v>0</v>
      </c>
      <c r="AH461" s="10"/>
      <c r="AI461" s="10"/>
      <c r="AJ461" s="11">
        <v>0</v>
      </c>
      <c r="AK461" s="10"/>
      <c r="AL461" s="10"/>
      <c r="AM461" s="11">
        <v>0</v>
      </c>
      <c r="AN461" s="10"/>
      <c r="AO461" s="10"/>
      <c r="AP461" s="11">
        <v>0</v>
      </c>
      <c r="AQ461" s="10"/>
      <c r="AR461" s="10"/>
      <c r="AS461" s="11">
        <v>0</v>
      </c>
      <c r="AT461" s="10"/>
      <c r="AU461" s="10"/>
      <c r="AV461" s="11">
        <v>0</v>
      </c>
      <c r="AW461" s="10"/>
      <c r="AX461" s="10"/>
      <c r="AY461" s="11">
        <v>0</v>
      </c>
      <c r="AZ461" s="10"/>
      <c r="BA461" s="10"/>
      <c r="BB461" s="11">
        <v>0</v>
      </c>
      <c r="BC461" s="10"/>
      <c r="BD461" s="10"/>
      <c r="BE461" s="11">
        <v>0</v>
      </c>
      <c r="BF461" s="10"/>
      <c r="BG461" s="10"/>
      <c r="BH461" s="11">
        <v>0</v>
      </c>
      <c r="BI461" s="10"/>
      <c r="BJ461" s="10"/>
      <c r="BK461" s="11">
        <v>0</v>
      </c>
      <c r="BL461" s="10"/>
      <c r="BM461" s="10"/>
      <c r="BN461" s="11">
        <v>0</v>
      </c>
      <c r="BO461" s="10"/>
      <c r="BP461" s="10"/>
      <c r="BQ461" s="11">
        <v>0</v>
      </c>
      <c r="BR461" s="10"/>
      <c r="BS461" s="10"/>
      <c r="BT461" s="11">
        <v>0</v>
      </c>
      <c r="BU461" s="10"/>
      <c r="BV461" s="10"/>
      <c r="BW461" s="11">
        <v>0</v>
      </c>
      <c r="BX461" s="10"/>
      <c r="BY461" s="10"/>
      <c r="BZ461" s="11">
        <v>0</v>
      </c>
      <c r="CA461" s="10"/>
      <c r="CB461" s="10"/>
      <c r="CC461" s="11">
        <v>0</v>
      </c>
      <c r="CD461" s="10"/>
      <c r="CE461" s="10"/>
      <c r="CF461" s="11">
        <v>0</v>
      </c>
      <c r="CG461" s="10"/>
      <c r="CH461" s="10"/>
      <c r="CI461" s="11">
        <v>0</v>
      </c>
      <c r="CJ461" s="10"/>
      <c r="CK461" s="10"/>
      <c r="CL461" s="11">
        <v>0</v>
      </c>
      <c r="CM461" s="10"/>
      <c r="CN461" s="10"/>
      <c r="CO461" s="11">
        <v>0</v>
      </c>
      <c r="CP461" s="10"/>
      <c r="CQ461" s="10"/>
      <c r="CR461" s="11">
        <v>0</v>
      </c>
      <c r="CS461" s="10"/>
      <c r="CT461" s="10"/>
      <c r="CU461" s="11">
        <v>0</v>
      </c>
      <c r="CV461" s="10"/>
      <c r="CW461" s="10"/>
      <c r="CX461" s="11">
        <v>0</v>
      </c>
      <c r="CY461" s="10"/>
      <c r="CZ461" s="10"/>
      <c r="DA461" s="11">
        <v>0</v>
      </c>
      <c r="DB461" s="10"/>
      <c r="DC461" s="10"/>
      <c r="DD461" s="13">
        <v>0</v>
      </c>
      <c r="DE461" s="14"/>
    </row>
    <row r="462" spans="1:109" x14ac:dyDescent="0.35">
      <c r="A462" s="8" t="s">
        <v>987</v>
      </c>
      <c r="B462" s="9" t="s">
        <v>48</v>
      </c>
      <c r="C462" s="9" t="s">
        <v>43</v>
      </c>
      <c r="D462" s="9" t="s">
        <v>988</v>
      </c>
      <c r="E462" s="9" t="s">
        <v>45</v>
      </c>
      <c r="F462" s="9" t="s">
        <v>46</v>
      </c>
      <c r="G462" s="10"/>
      <c r="H462" s="10"/>
      <c r="I462" s="11">
        <v>0</v>
      </c>
      <c r="J462" s="10"/>
      <c r="K462" s="10"/>
      <c r="L462" s="12">
        <v>0</v>
      </c>
      <c r="M462" s="10"/>
      <c r="N462" s="10"/>
      <c r="O462" s="11">
        <v>0</v>
      </c>
      <c r="P462" s="10"/>
      <c r="Q462" s="10"/>
      <c r="R462" s="11">
        <v>0</v>
      </c>
      <c r="S462" s="10"/>
      <c r="T462" s="10"/>
      <c r="U462" s="11">
        <v>0</v>
      </c>
      <c r="V462" s="10"/>
      <c r="W462" s="10"/>
      <c r="X462" s="11">
        <v>0</v>
      </c>
      <c r="Y462" s="10"/>
      <c r="Z462" s="10"/>
      <c r="AA462" s="11"/>
      <c r="AB462" s="10"/>
      <c r="AC462" s="10"/>
      <c r="AD462" s="11">
        <v>0</v>
      </c>
      <c r="AE462" s="10"/>
      <c r="AF462" s="10"/>
      <c r="AG462" s="11">
        <v>0</v>
      </c>
      <c r="AH462" s="10"/>
      <c r="AI462" s="10"/>
      <c r="AJ462" s="11">
        <v>0</v>
      </c>
      <c r="AK462" s="10"/>
      <c r="AL462" s="10"/>
      <c r="AM462" s="11">
        <v>0</v>
      </c>
      <c r="AN462" s="10"/>
      <c r="AO462" s="10"/>
      <c r="AP462" s="11">
        <v>0</v>
      </c>
      <c r="AQ462" s="10"/>
      <c r="AR462" s="10"/>
      <c r="AS462" s="11">
        <v>0</v>
      </c>
      <c r="AT462" s="10"/>
      <c r="AU462" s="10"/>
      <c r="AV462" s="11">
        <v>0</v>
      </c>
      <c r="AW462" s="10"/>
      <c r="AX462" s="10"/>
      <c r="AY462" s="11">
        <v>0</v>
      </c>
      <c r="AZ462" s="10"/>
      <c r="BA462" s="10"/>
      <c r="BB462" s="11">
        <v>0</v>
      </c>
      <c r="BC462" s="10"/>
      <c r="BD462" s="10"/>
      <c r="BE462" s="11">
        <v>0</v>
      </c>
      <c r="BF462" s="10"/>
      <c r="BG462" s="10"/>
      <c r="BH462" s="11">
        <v>0</v>
      </c>
      <c r="BI462" s="10"/>
      <c r="BJ462" s="10"/>
      <c r="BK462" s="11">
        <v>0</v>
      </c>
      <c r="BL462" s="10"/>
      <c r="BM462" s="10"/>
      <c r="BN462" s="11">
        <v>0</v>
      </c>
      <c r="BO462" s="10"/>
      <c r="BP462" s="10"/>
      <c r="BQ462" s="11">
        <v>0</v>
      </c>
      <c r="BR462" s="10"/>
      <c r="BS462" s="10"/>
      <c r="BT462" s="11">
        <v>0</v>
      </c>
      <c r="BU462" s="10"/>
      <c r="BV462" s="10"/>
      <c r="BW462" s="11">
        <v>0</v>
      </c>
      <c r="BX462" s="10"/>
      <c r="BY462" s="10"/>
      <c r="BZ462" s="11">
        <v>0</v>
      </c>
      <c r="CA462" s="10"/>
      <c r="CB462" s="10"/>
      <c r="CC462" s="11">
        <v>0</v>
      </c>
      <c r="CD462" s="10"/>
      <c r="CE462" s="10"/>
      <c r="CF462" s="11">
        <v>0</v>
      </c>
      <c r="CG462" s="10"/>
      <c r="CH462" s="10"/>
      <c r="CI462" s="11">
        <v>0</v>
      </c>
      <c r="CJ462" s="10"/>
      <c r="CK462" s="10"/>
      <c r="CL462" s="11">
        <v>0</v>
      </c>
      <c r="CM462" s="10"/>
      <c r="CN462" s="10"/>
      <c r="CO462" s="11">
        <v>0</v>
      </c>
      <c r="CP462" s="10"/>
      <c r="CQ462" s="10"/>
      <c r="CR462" s="11">
        <v>0</v>
      </c>
      <c r="CS462" s="10"/>
      <c r="CT462" s="10"/>
      <c r="CU462" s="11">
        <v>0</v>
      </c>
      <c r="CV462" s="10"/>
      <c r="CW462" s="10"/>
      <c r="CX462" s="11">
        <v>0</v>
      </c>
      <c r="CY462" s="10"/>
      <c r="CZ462" s="10"/>
      <c r="DA462" s="11">
        <v>0</v>
      </c>
      <c r="DB462" s="10"/>
      <c r="DC462" s="10"/>
      <c r="DD462" s="13">
        <v>0</v>
      </c>
      <c r="DE462" s="14"/>
    </row>
    <row r="463" spans="1:109" x14ac:dyDescent="0.35">
      <c r="A463" s="8" t="s">
        <v>989</v>
      </c>
      <c r="B463" s="9" t="s">
        <v>108</v>
      </c>
      <c r="C463" s="9" t="s">
        <v>52</v>
      </c>
      <c r="D463" s="9" t="s">
        <v>990</v>
      </c>
      <c r="E463" s="9" t="s">
        <v>54</v>
      </c>
      <c r="F463" s="9" t="s">
        <v>55</v>
      </c>
      <c r="G463" s="10"/>
      <c r="H463" s="10"/>
      <c r="I463" s="11">
        <v>0</v>
      </c>
      <c r="J463" s="10"/>
      <c r="K463" s="10"/>
      <c r="L463" s="12">
        <v>0</v>
      </c>
      <c r="M463" s="10"/>
      <c r="N463" s="10"/>
      <c r="O463" s="11">
        <v>0</v>
      </c>
      <c r="P463" s="10"/>
      <c r="Q463" s="10"/>
      <c r="R463" s="11">
        <v>0</v>
      </c>
      <c r="S463" s="10"/>
      <c r="T463" s="10"/>
      <c r="U463" s="11">
        <v>0</v>
      </c>
      <c r="V463" s="10"/>
      <c r="W463" s="10"/>
      <c r="X463" s="11">
        <v>0</v>
      </c>
      <c r="Y463" s="10"/>
      <c r="Z463" s="10"/>
      <c r="AA463" s="11"/>
      <c r="AB463" s="10"/>
      <c r="AC463" s="10"/>
      <c r="AD463" s="11">
        <v>0</v>
      </c>
      <c r="AE463" s="10"/>
      <c r="AF463" s="10"/>
      <c r="AG463" s="11">
        <v>0</v>
      </c>
      <c r="AH463" s="10"/>
      <c r="AI463" s="10"/>
      <c r="AJ463" s="11">
        <v>0</v>
      </c>
      <c r="AK463" s="10"/>
      <c r="AL463" s="10"/>
      <c r="AM463" s="11">
        <v>0</v>
      </c>
      <c r="AN463" s="10"/>
      <c r="AO463" s="10"/>
      <c r="AP463" s="11">
        <v>0</v>
      </c>
      <c r="AQ463" s="10"/>
      <c r="AR463" s="10"/>
      <c r="AS463" s="11">
        <v>0</v>
      </c>
      <c r="AT463" s="10"/>
      <c r="AU463" s="10"/>
      <c r="AV463" s="11">
        <v>0</v>
      </c>
      <c r="AW463" s="10"/>
      <c r="AX463" s="10"/>
      <c r="AY463" s="11">
        <v>0</v>
      </c>
      <c r="AZ463" s="10"/>
      <c r="BA463" s="10"/>
      <c r="BB463" s="11">
        <v>0</v>
      </c>
      <c r="BC463" s="10"/>
      <c r="BD463" s="10"/>
      <c r="BE463" s="11">
        <v>0</v>
      </c>
      <c r="BF463" s="10"/>
      <c r="BG463" s="10"/>
      <c r="BH463" s="11">
        <v>0</v>
      </c>
      <c r="BI463" s="10"/>
      <c r="BJ463" s="10"/>
      <c r="BK463" s="11">
        <v>0</v>
      </c>
      <c r="BL463" s="10"/>
      <c r="BM463" s="10"/>
      <c r="BN463" s="11">
        <v>0</v>
      </c>
      <c r="BO463" s="10"/>
      <c r="BP463" s="10"/>
      <c r="BQ463" s="11">
        <v>0</v>
      </c>
      <c r="BR463" s="10"/>
      <c r="BS463" s="10"/>
      <c r="BT463" s="11">
        <v>0</v>
      </c>
      <c r="BU463" s="10"/>
      <c r="BV463" s="10"/>
      <c r="BW463" s="11">
        <v>0</v>
      </c>
      <c r="BX463" s="10"/>
      <c r="BY463" s="10"/>
      <c r="BZ463" s="11">
        <v>0</v>
      </c>
      <c r="CA463" s="10"/>
      <c r="CB463" s="10"/>
      <c r="CC463" s="11">
        <v>0</v>
      </c>
      <c r="CD463" s="10"/>
      <c r="CE463" s="10"/>
      <c r="CF463" s="11">
        <v>0</v>
      </c>
      <c r="CG463" s="10"/>
      <c r="CH463" s="10"/>
      <c r="CI463" s="11">
        <v>0</v>
      </c>
      <c r="CJ463" s="10"/>
      <c r="CK463" s="10"/>
      <c r="CL463" s="11">
        <v>0</v>
      </c>
      <c r="CM463" s="10"/>
      <c r="CN463" s="10"/>
      <c r="CO463" s="11">
        <v>0</v>
      </c>
      <c r="CP463" s="10"/>
      <c r="CQ463" s="10"/>
      <c r="CR463" s="11">
        <v>0</v>
      </c>
      <c r="CS463" s="10"/>
      <c r="CT463" s="10"/>
      <c r="CU463" s="11">
        <v>0</v>
      </c>
      <c r="CV463" s="10"/>
      <c r="CW463" s="10"/>
      <c r="CX463" s="11">
        <v>0</v>
      </c>
      <c r="CY463" s="10"/>
      <c r="CZ463" s="10"/>
      <c r="DA463" s="11">
        <v>0</v>
      </c>
      <c r="DB463" s="10"/>
      <c r="DC463" s="10"/>
      <c r="DD463" s="13">
        <v>0</v>
      </c>
      <c r="DE463" s="14"/>
    </row>
    <row r="464" spans="1:109" x14ac:dyDescent="0.35">
      <c r="A464" s="8" t="s">
        <v>991</v>
      </c>
      <c r="B464" s="9" t="s">
        <v>74</v>
      </c>
      <c r="C464" s="9" t="s">
        <v>52</v>
      </c>
      <c r="D464" s="9" t="s">
        <v>992</v>
      </c>
      <c r="E464" s="9" t="s">
        <v>54</v>
      </c>
      <c r="F464" s="9" t="s">
        <v>55</v>
      </c>
      <c r="G464" s="10"/>
      <c r="H464" s="10"/>
      <c r="I464" s="11">
        <v>0</v>
      </c>
      <c r="J464" s="10"/>
      <c r="K464" s="10"/>
      <c r="L464" s="12">
        <v>0</v>
      </c>
      <c r="M464" s="10"/>
      <c r="N464" s="10"/>
      <c r="O464" s="11">
        <v>0</v>
      </c>
      <c r="P464" s="10"/>
      <c r="Q464" s="10"/>
      <c r="R464" s="11">
        <v>0</v>
      </c>
      <c r="S464" s="10"/>
      <c r="T464" s="10"/>
      <c r="U464" s="11">
        <v>0</v>
      </c>
      <c r="V464" s="10"/>
      <c r="W464" s="10"/>
      <c r="X464" s="11">
        <v>0</v>
      </c>
      <c r="Y464" s="10"/>
      <c r="Z464" s="10"/>
      <c r="AA464" s="11"/>
      <c r="AB464" s="10"/>
      <c r="AC464" s="10"/>
      <c r="AD464" s="11">
        <v>0</v>
      </c>
      <c r="AE464" s="10"/>
      <c r="AF464" s="10"/>
      <c r="AG464" s="11">
        <v>0</v>
      </c>
      <c r="AH464" s="10"/>
      <c r="AI464" s="10"/>
      <c r="AJ464" s="11">
        <v>0</v>
      </c>
      <c r="AK464" s="10"/>
      <c r="AL464" s="10"/>
      <c r="AM464" s="11">
        <v>0</v>
      </c>
      <c r="AN464" s="10"/>
      <c r="AO464" s="10"/>
      <c r="AP464" s="11">
        <v>0</v>
      </c>
      <c r="AQ464" s="10"/>
      <c r="AR464" s="10"/>
      <c r="AS464" s="11">
        <v>0</v>
      </c>
      <c r="AT464" s="10"/>
      <c r="AU464" s="10"/>
      <c r="AV464" s="11">
        <v>0</v>
      </c>
      <c r="AW464" s="10"/>
      <c r="AX464" s="10"/>
      <c r="AY464" s="11">
        <v>0</v>
      </c>
      <c r="AZ464" s="10"/>
      <c r="BA464" s="10"/>
      <c r="BB464" s="11">
        <v>0</v>
      </c>
      <c r="BC464" s="10"/>
      <c r="BD464" s="10"/>
      <c r="BE464" s="11">
        <v>0</v>
      </c>
      <c r="BF464" s="10"/>
      <c r="BG464" s="10"/>
      <c r="BH464" s="11">
        <v>0</v>
      </c>
      <c r="BI464" s="10"/>
      <c r="BJ464" s="10"/>
      <c r="BK464" s="11">
        <v>0</v>
      </c>
      <c r="BL464" s="10"/>
      <c r="BM464" s="10"/>
      <c r="BN464" s="11">
        <v>0</v>
      </c>
      <c r="BO464" s="10"/>
      <c r="BP464" s="10"/>
      <c r="BQ464" s="11">
        <v>0</v>
      </c>
      <c r="BR464" s="10"/>
      <c r="BS464" s="10"/>
      <c r="BT464" s="11">
        <v>0</v>
      </c>
      <c r="BU464" s="10"/>
      <c r="BV464" s="10"/>
      <c r="BW464" s="11">
        <v>0</v>
      </c>
      <c r="BX464" s="10"/>
      <c r="BY464" s="10"/>
      <c r="BZ464" s="11">
        <v>0</v>
      </c>
      <c r="CA464" s="10"/>
      <c r="CB464" s="10"/>
      <c r="CC464" s="11">
        <v>0</v>
      </c>
      <c r="CD464" s="10"/>
      <c r="CE464" s="10"/>
      <c r="CF464" s="11">
        <v>0</v>
      </c>
      <c r="CG464" s="10"/>
      <c r="CH464" s="10"/>
      <c r="CI464" s="11">
        <v>0</v>
      </c>
      <c r="CJ464" s="10"/>
      <c r="CK464" s="10"/>
      <c r="CL464" s="11">
        <v>0</v>
      </c>
      <c r="CM464" s="10"/>
      <c r="CN464" s="10"/>
      <c r="CO464" s="11">
        <v>0</v>
      </c>
      <c r="CP464" s="10"/>
      <c r="CQ464" s="10"/>
      <c r="CR464" s="11">
        <v>0</v>
      </c>
      <c r="CS464" s="10"/>
      <c r="CT464" s="10"/>
      <c r="CU464" s="11">
        <v>0</v>
      </c>
      <c r="CV464" s="10"/>
      <c r="CW464" s="10"/>
      <c r="CX464" s="11">
        <v>0</v>
      </c>
      <c r="CY464" s="10"/>
      <c r="CZ464" s="10"/>
      <c r="DA464" s="11">
        <v>0</v>
      </c>
      <c r="DB464" s="10"/>
      <c r="DC464" s="10"/>
      <c r="DD464" s="13">
        <v>0</v>
      </c>
      <c r="DE464" s="14"/>
    </row>
    <row r="465" spans="1:109" x14ac:dyDescent="0.35">
      <c r="A465" s="8" t="s">
        <v>993</v>
      </c>
      <c r="B465" s="9" t="s">
        <v>74</v>
      </c>
      <c r="C465" s="9" t="s">
        <v>52</v>
      </c>
      <c r="D465" s="9" t="s">
        <v>994</v>
      </c>
      <c r="E465" s="9" t="s">
        <v>54</v>
      </c>
      <c r="F465" s="9" t="s">
        <v>55</v>
      </c>
      <c r="G465" s="10"/>
      <c r="H465" s="10"/>
      <c r="I465" s="11">
        <v>0</v>
      </c>
      <c r="J465" s="10"/>
      <c r="K465" s="10"/>
      <c r="L465" s="12">
        <v>0</v>
      </c>
      <c r="M465" s="10"/>
      <c r="N465" s="10"/>
      <c r="O465" s="11">
        <v>0</v>
      </c>
      <c r="P465" s="10"/>
      <c r="Q465" s="10"/>
      <c r="R465" s="11">
        <v>0</v>
      </c>
      <c r="S465" s="10"/>
      <c r="T465" s="10"/>
      <c r="U465" s="11">
        <v>0</v>
      </c>
      <c r="V465" s="10"/>
      <c r="W465" s="10"/>
      <c r="X465" s="11">
        <v>0</v>
      </c>
      <c r="Y465" s="10"/>
      <c r="Z465" s="10"/>
      <c r="AA465" s="11"/>
      <c r="AB465" s="10"/>
      <c r="AC465" s="10"/>
      <c r="AD465" s="11">
        <v>0</v>
      </c>
      <c r="AE465" s="10"/>
      <c r="AF465" s="10"/>
      <c r="AG465" s="11">
        <v>0</v>
      </c>
      <c r="AH465" s="10"/>
      <c r="AI465" s="10"/>
      <c r="AJ465" s="11">
        <v>0</v>
      </c>
      <c r="AK465" s="10"/>
      <c r="AL465" s="10"/>
      <c r="AM465" s="11">
        <v>0</v>
      </c>
      <c r="AN465" s="10"/>
      <c r="AO465" s="10"/>
      <c r="AP465" s="11">
        <v>0</v>
      </c>
      <c r="AQ465" s="10"/>
      <c r="AR465" s="10"/>
      <c r="AS465" s="11">
        <v>0</v>
      </c>
      <c r="AT465" s="10"/>
      <c r="AU465" s="10"/>
      <c r="AV465" s="11">
        <v>0</v>
      </c>
      <c r="AW465" s="10"/>
      <c r="AX465" s="10"/>
      <c r="AY465" s="11">
        <v>0</v>
      </c>
      <c r="AZ465" s="10"/>
      <c r="BA465" s="10"/>
      <c r="BB465" s="11">
        <v>0</v>
      </c>
      <c r="BC465" s="10"/>
      <c r="BD465" s="10"/>
      <c r="BE465" s="11">
        <v>0</v>
      </c>
      <c r="BF465" s="10"/>
      <c r="BG465" s="10"/>
      <c r="BH465" s="11">
        <v>0</v>
      </c>
      <c r="BI465" s="10"/>
      <c r="BJ465" s="10"/>
      <c r="BK465" s="11">
        <v>0</v>
      </c>
      <c r="BL465" s="10"/>
      <c r="BM465" s="10"/>
      <c r="BN465" s="11">
        <v>0</v>
      </c>
      <c r="BO465" s="10"/>
      <c r="BP465" s="10"/>
      <c r="BQ465" s="11">
        <v>0</v>
      </c>
      <c r="BR465" s="10"/>
      <c r="BS465" s="10"/>
      <c r="BT465" s="11">
        <v>0</v>
      </c>
      <c r="BU465" s="10"/>
      <c r="BV465" s="10"/>
      <c r="BW465" s="11">
        <v>0</v>
      </c>
      <c r="BX465" s="10"/>
      <c r="BY465" s="10"/>
      <c r="BZ465" s="11">
        <v>0</v>
      </c>
      <c r="CA465" s="10"/>
      <c r="CB465" s="10"/>
      <c r="CC465" s="11">
        <v>0</v>
      </c>
      <c r="CD465" s="10"/>
      <c r="CE465" s="10"/>
      <c r="CF465" s="11">
        <v>0</v>
      </c>
      <c r="CG465" s="10"/>
      <c r="CH465" s="10"/>
      <c r="CI465" s="11">
        <v>0</v>
      </c>
      <c r="CJ465" s="10"/>
      <c r="CK465" s="10"/>
      <c r="CL465" s="11">
        <v>0</v>
      </c>
      <c r="CM465" s="10"/>
      <c r="CN465" s="10"/>
      <c r="CO465" s="11">
        <v>0</v>
      </c>
      <c r="CP465" s="10"/>
      <c r="CQ465" s="10"/>
      <c r="CR465" s="11">
        <v>0</v>
      </c>
      <c r="CS465" s="10"/>
      <c r="CT465" s="10"/>
      <c r="CU465" s="11">
        <v>0</v>
      </c>
      <c r="CV465" s="10"/>
      <c r="CW465" s="10"/>
      <c r="CX465" s="11">
        <v>0</v>
      </c>
      <c r="CY465" s="10"/>
      <c r="CZ465" s="10"/>
      <c r="DA465" s="11">
        <v>0</v>
      </c>
      <c r="DB465" s="10"/>
      <c r="DC465" s="10"/>
      <c r="DD465" s="13">
        <v>0</v>
      </c>
      <c r="DE465" s="14"/>
    </row>
    <row r="466" spans="1:109" x14ac:dyDescent="0.35">
      <c r="A466" s="8" t="s">
        <v>995</v>
      </c>
      <c r="B466" s="9" t="s">
        <v>42</v>
      </c>
      <c r="C466" s="9" t="s">
        <v>43</v>
      </c>
      <c r="D466" s="9" t="s">
        <v>996</v>
      </c>
      <c r="E466" s="9" t="s">
        <v>45</v>
      </c>
      <c r="F466" s="9" t="s">
        <v>46</v>
      </c>
      <c r="G466" s="10"/>
      <c r="H466" s="10"/>
      <c r="I466" s="11">
        <v>0</v>
      </c>
      <c r="J466" s="10"/>
      <c r="K466" s="10"/>
      <c r="L466" s="12">
        <v>0</v>
      </c>
      <c r="M466" s="10"/>
      <c r="N466" s="10"/>
      <c r="O466" s="11">
        <v>0</v>
      </c>
      <c r="P466" s="10"/>
      <c r="Q466" s="10"/>
      <c r="R466" s="11">
        <v>0</v>
      </c>
      <c r="S466" s="10"/>
      <c r="T466" s="10"/>
      <c r="U466" s="11">
        <v>0</v>
      </c>
      <c r="V466" s="10"/>
      <c r="W466" s="10"/>
      <c r="X466" s="11">
        <v>0</v>
      </c>
      <c r="Y466" s="10"/>
      <c r="Z466" s="10">
        <v>70900</v>
      </c>
      <c r="AA466" s="11"/>
      <c r="AB466" s="10"/>
      <c r="AC466" s="10"/>
      <c r="AD466" s="11">
        <v>0</v>
      </c>
      <c r="AE466" s="10"/>
      <c r="AF466" s="10"/>
      <c r="AG466" s="11">
        <v>0</v>
      </c>
      <c r="AH466" s="10"/>
      <c r="AI466" s="10"/>
      <c r="AJ466" s="11">
        <v>0</v>
      </c>
      <c r="AK466" s="10"/>
      <c r="AL466" s="10"/>
      <c r="AM466" s="11">
        <v>0</v>
      </c>
      <c r="AN466" s="10"/>
      <c r="AO466" s="10"/>
      <c r="AP466" s="11">
        <v>0</v>
      </c>
      <c r="AQ466" s="10"/>
      <c r="AR466" s="10"/>
      <c r="AS466" s="11">
        <v>0</v>
      </c>
      <c r="AT466" s="10"/>
      <c r="AU466" s="10"/>
      <c r="AV466" s="11">
        <v>0</v>
      </c>
      <c r="AW466" s="10"/>
      <c r="AX466" s="10"/>
      <c r="AY466" s="11">
        <v>0</v>
      </c>
      <c r="AZ466" s="10"/>
      <c r="BA466" s="10"/>
      <c r="BB466" s="11">
        <v>0</v>
      </c>
      <c r="BC466" s="10"/>
      <c r="BD466" s="10"/>
      <c r="BE466" s="11">
        <v>0</v>
      </c>
      <c r="BF466" s="10"/>
      <c r="BG466" s="10"/>
      <c r="BH466" s="11">
        <v>0</v>
      </c>
      <c r="BI466" s="10"/>
      <c r="BJ466" s="10"/>
      <c r="BK466" s="11">
        <v>0</v>
      </c>
      <c r="BL466" s="10"/>
      <c r="BM466" s="10"/>
      <c r="BN466" s="11">
        <v>0</v>
      </c>
      <c r="BO466" s="10"/>
      <c r="BP466" s="10"/>
      <c r="BQ466" s="11">
        <v>0</v>
      </c>
      <c r="BR466" s="10"/>
      <c r="BS466" s="10"/>
      <c r="BT466" s="11">
        <v>0</v>
      </c>
      <c r="BU466" s="10"/>
      <c r="BV466" s="10"/>
      <c r="BW466" s="11">
        <v>0</v>
      </c>
      <c r="BX466" s="10"/>
      <c r="BY466" s="10"/>
      <c r="BZ466" s="11">
        <v>0</v>
      </c>
      <c r="CA466" s="10"/>
      <c r="CB466" s="10"/>
      <c r="CC466" s="11">
        <v>0</v>
      </c>
      <c r="CD466" s="10"/>
      <c r="CE466" s="10"/>
      <c r="CF466" s="11">
        <v>0</v>
      </c>
      <c r="CG466" s="10"/>
      <c r="CH466" s="10"/>
      <c r="CI466" s="11">
        <v>0</v>
      </c>
      <c r="CJ466" s="10"/>
      <c r="CK466" s="10"/>
      <c r="CL466" s="11">
        <v>0</v>
      </c>
      <c r="CM466" s="10"/>
      <c r="CN466" s="10"/>
      <c r="CO466" s="11">
        <v>0</v>
      </c>
      <c r="CP466" s="10"/>
      <c r="CQ466" s="10"/>
      <c r="CR466" s="11">
        <v>0</v>
      </c>
      <c r="CS466" s="10"/>
      <c r="CT466" s="10"/>
      <c r="CU466" s="11">
        <v>0</v>
      </c>
      <c r="CV466" s="10"/>
      <c r="CW466" s="10"/>
      <c r="CX466" s="11">
        <v>0</v>
      </c>
      <c r="CY466" s="10"/>
      <c r="CZ466" s="10"/>
      <c r="DA466" s="11">
        <v>0</v>
      </c>
      <c r="DB466" s="10"/>
      <c r="DC466" s="10">
        <f t="shared" ref="DC466" si="578">SUM(H466,K466,N466,Q466,T466,W466,Z466,AC466,AF466,AI466,AL466,AO466,AR466,AU466,AX466,BA466,BD466,BG466,BJ466,BM466,BP466,BS466,BV466,BY466,CB466,CE466,CH466,CK466,CN466,CQ466,CT466,CW466,CZ466)</f>
        <v>70900</v>
      </c>
      <c r="DD466" s="13">
        <v>0</v>
      </c>
      <c r="DE466" s="14"/>
    </row>
    <row r="467" spans="1:109" x14ac:dyDescent="0.35">
      <c r="A467" s="8" t="s">
        <v>997</v>
      </c>
      <c r="B467" s="9" t="s">
        <v>51</v>
      </c>
      <c r="C467" s="9" t="s">
        <v>52</v>
      </c>
      <c r="D467" s="9" t="s">
        <v>998</v>
      </c>
      <c r="E467" s="9" t="s">
        <v>54</v>
      </c>
      <c r="F467" s="9" t="s">
        <v>55</v>
      </c>
      <c r="G467" s="10"/>
      <c r="H467" s="10"/>
      <c r="I467" s="11">
        <v>0</v>
      </c>
      <c r="J467" s="10"/>
      <c r="K467" s="10"/>
      <c r="L467" s="12">
        <v>0</v>
      </c>
      <c r="M467" s="10"/>
      <c r="N467" s="10"/>
      <c r="O467" s="11">
        <v>0</v>
      </c>
      <c r="P467" s="10"/>
      <c r="Q467" s="10"/>
      <c r="R467" s="11">
        <v>0</v>
      </c>
      <c r="S467" s="10"/>
      <c r="T467" s="10"/>
      <c r="U467" s="11">
        <v>0</v>
      </c>
      <c r="V467" s="10"/>
      <c r="W467" s="10"/>
      <c r="X467" s="11">
        <v>0</v>
      </c>
      <c r="Y467" s="10"/>
      <c r="Z467" s="10"/>
      <c r="AA467" s="11"/>
      <c r="AB467" s="10"/>
      <c r="AC467" s="10"/>
      <c r="AD467" s="11">
        <v>0</v>
      </c>
      <c r="AE467" s="10"/>
      <c r="AF467" s="10"/>
      <c r="AG467" s="11">
        <v>0</v>
      </c>
      <c r="AH467" s="10"/>
      <c r="AI467" s="10"/>
      <c r="AJ467" s="11">
        <v>0</v>
      </c>
      <c r="AK467" s="10"/>
      <c r="AL467" s="10"/>
      <c r="AM467" s="11">
        <v>0</v>
      </c>
      <c r="AN467" s="10"/>
      <c r="AO467" s="10"/>
      <c r="AP467" s="11">
        <v>0</v>
      </c>
      <c r="AQ467" s="10"/>
      <c r="AR467" s="10"/>
      <c r="AS467" s="11">
        <v>0</v>
      </c>
      <c r="AT467" s="10"/>
      <c r="AU467" s="10"/>
      <c r="AV467" s="11">
        <v>0</v>
      </c>
      <c r="AW467" s="10"/>
      <c r="AX467" s="10"/>
      <c r="AY467" s="11">
        <v>0</v>
      </c>
      <c r="AZ467" s="10"/>
      <c r="BA467" s="10"/>
      <c r="BB467" s="11">
        <v>0</v>
      </c>
      <c r="BC467" s="10"/>
      <c r="BD467" s="10"/>
      <c r="BE467" s="11">
        <v>0</v>
      </c>
      <c r="BF467" s="10"/>
      <c r="BG467" s="10"/>
      <c r="BH467" s="11">
        <v>0</v>
      </c>
      <c r="BI467" s="10"/>
      <c r="BJ467" s="10"/>
      <c r="BK467" s="11">
        <v>0</v>
      </c>
      <c r="BL467" s="10"/>
      <c r="BM467" s="10"/>
      <c r="BN467" s="11">
        <v>0</v>
      </c>
      <c r="BO467" s="10"/>
      <c r="BP467" s="10"/>
      <c r="BQ467" s="11">
        <v>0</v>
      </c>
      <c r="BR467" s="10"/>
      <c r="BS467" s="10"/>
      <c r="BT467" s="11">
        <v>0</v>
      </c>
      <c r="BU467" s="10"/>
      <c r="BV467" s="10"/>
      <c r="BW467" s="11">
        <v>0</v>
      </c>
      <c r="BX467" s="10"/>
      <c r="BY467" s="10"/>
      <c r="BZ467" s="11">
        <v>0</v>
      </c>
      <c r="CA467" s="10"/>
      <c r="CB467" s="10"/>
      <c r="CC467" s="11">
        <v>0</v>
      </c>
      <c r="CD467" s="10"/>
      <c r="CE467" s="10"/>
      <c r="CF467" s="11">
        <v>0</v>
      </c>
      <c r="CG467" s="10"/>
      <c r="CH467" s="10"/>
      <c r="CI467" s="11">
        <v>0</v>
      </c>
      <c r="CJ467" s="10"/>
      <c r="CK467" s="10"/>
      <c r="CL467" s="11">
        <v>0</v>
      </c>
      <c r="CM467" s="10"/>
      <c r="CN467" s="10"/>
      <c r="CO467" s="11">
        <v>0</v>
      </c>
      <c r="CP467" s="10"/>
      <c r="CQ467" s="10"/>
      <c r="CR467" s="11">
        <v>0</v>
      </c>
      <c r="CS467" s="10"/>
      <c r="CT467" s="10"/>
      <c r="CU467" s="11">
        <v>0</v>
      </c>
      <c r="CV467" s="10"/>
      <c r="CW467" s="10"/>
      <c r="CX467" s="11">
        <v>0</v>
      </c>
      <c r="CY467" s="10"/>
      <c r="CZ467" s="10"/>
      <c r="DA467" s="11">
        <v>0</v>
      </c>
      <c r="DB467" s="10"/>
      <c r="DC467" s="10"/>
      <c r="DD467" s="13">
        <v>0</v>
      </c>
      <c r="DE467" s="14"/>
    </row>
    <row r="468" spans="1:109" x14ac:dyDescent="0.35">
      <c r="A468" s="8" t="s">
        <v>999</v>
      </c>
      <c r="B468" s="9" t="s">
        <v>140</v>
      </c>
      <c r="C468" s="9" t="s">
        <v>43</v>
      </c>
      <c r="D468" s="9" t="s">
        <v>1000</v>
      </c>
      <c r="E468" s="9" t="s">
        <v>45</v>
      </c>
      <c r="F468" s="9" t="s">
        <v>46</v>
      </c>
      <c r="G468" s="10"/>
      <c r="H468" s="10"/>
      <c r="I468" s="11">
        <v>0</v>
      </c>
      <c r="J468" s="10"/>
      <c r="K468" s="10"/>
      <c r="L468" s="12">
        <v>0</v>
      </c>
      <c r="M468" s="10"/>
      <c r="N468" s="10"/>
      <c r="O468" s="11">
        <v>0</v>
      </c>
      <c r="P468" s="10"/>
      <c r="Q468" s="10"/>
      <c r="R468" s="11">
        <v>0</v>
      </c>
      <c r="S468" s="10"/>
      <c r="T468" s="10"/>
      <c r="U468" s="11">
        <v>0</v>
      </c>
      <c r="V468" s="10"/>
      <c r="W468" s="10"/>
      <c r="X468" s="11">
        <v>0</v>
      </c>
      <c r="Y468" s="10"/>
      <c r="Z468" s="10"/>
      <c r="AA468" s="11"/>
      <c r="AB468" s="10"/>
      <c r="AC468" s="10"/>
      <c r="AD468" s="11">
        <v>0</v>
      </c>
      <c r="AE468" s="10"/>
      <c r="AF468" s="10"/>
      <c r="AG468" s="11">
        <v>0</v>
      </c>
      <c r="AH468" s="10"/>
      <c r="AI468" s="10"/>
      <c r="AJ468" s="11">
        <v>0</v>
      </c>
      <c r="AK468" s="10"/>
      <c r="AL468" s="10"/>
      <c r="AM468" s="11">
        <v>0</v>
      </c>
      <c r="AN468" s="10"/>
      <c r="AO468" s="10"/>
      <c r="AP468" s="11">
        <v>0</v>
      </c>
      <c r="AQ468" s="10"/>
      <c r="AR468" s="10"/>
      <c r="AS468" s="11">
        <v>0</v>
      </c>
      <c r="AT468" s="10"/>
      <c r="AU468" s="10"/>
      <c r="AV468" s="11">
        <v>0</v>
      </c>
      <c r="AW468" s="10"/>
      <c r="AX468" s="10"/>
      <c r="AY468" s="11">
        <v>0</v>
      </c>
      <c r="AZ468" s="10"/>
      <c r="BA468" s="10"/>
      <c r="BB468" s="11">
        <v>0</v>
      </c>
      <c r="BC468" s="10"/>
      <c r="BD468" s="10"/>
      <c r="BE468" s="11">
        <v>0</v>
      </c>
      <c r="BF468" s="10"/>
      <c r="BG468" s="10"/>
      <c r="BH468" s="11">
        <v>0</v>
      </c>
      <c r="BI468" s="10"/>
      <c r="BJ468" s="10"/>
      <c r="BK468" s="11">
        <v>0</v>
      </c>
      <c r="BL468" s="10"/>
      <c r="BM468" s="10"/>
      <c r="BN468" s="11">
        <v>0</v>
      </c>
      <c r="BO468" s="10"/>
      <c r="BP468" s="10"/>
      <c r="BQ468" s="11">
        <v>0</v>
      </c>
      <c r="BR468" s="10"/>
      <c r="BS468" s="10"/>
      <c r="BT468" s="11">
        <v>0</v>
      </c>
      <c r="BU468" s="10"/>
      <c r="BV468" s="10"/>
      <c r="BW468" s="11">
        <v>0</v>
      </c>
      <c r="BX468" s="10"/>
      <c r="BY468" s="10"/>
      <c r="BZ468" s="11">
        <v>0</v>
      </c>
      <c r="CA468" s="10"/>
      <c r="CB468" s="10"/>
      <c r="CC468" s="11">
        <v>0</v>
      </c>
      <c r="CD468" s="10"/>
      <c r="CE468" s="10"/>
      <c r="CF468" s="11">
        <v>0</v>
      </c>
      <c r="CG468" s="10"/>
      <c r="CH468" s="10"/>
      <c r="CI468" s="11">
        <v>0</v>
      </c>
      <c r="CJ468" s="10"/>
      <c r="CK468" s="10"/>
      <c r="CL468" s="11">
        <v>0</v>
      </c>
      <c r="CM468" s="10"/>
      <c r="CN468" s="10"/>
      <c r="CO468" s="11">
        <v>0</v>
      </c>
      <c r="CP468" s="10"/>
      <c r="CQ468" s="10"/>
      <c r="CR468" s="11">
        <v>0</v>
      </c>
      <c r="CS468" s="10"/>
      <c r="CT468" s="10"/>
      <c r="CU468" s="11">
        <v>0</v>
      </c>
      <c r="CV468" s="10"/>
      <c r="CW468" s="10"/>
      <c r="CX468" s="11">
        <v>0</v>
      </c>
      <c r="CY468" s="10"/>
      <c r="CZ468" s="10"/>
      <c r="DA468" s="11">
        <v>0</v>
      </c>
      <c r="DB468" s="10"/>
      <c r="DC468" s="10"/>
      <c r="DD468" s="13">
        <v>0</v>
      </c>
      <c r="DE468" s="14"/>
    </row>
    <row r="469" spans="1:109" x14ac:dyDescent="0.35">
      <c r="A469" s="8" t="s">
        <v>1001</v>
      </c>
      <c r="B469" s="9" t="s">
        <v>118</v>
      </c>
      <c r="C469" s="9" t="s">
        <v>43</v>
      </c>
      <c r="D469" s="9" t="s">
        <v>1002</v>
      </c>
      <c r="E469" s="9" t="s">
        <v>61</v>
      </c>
      <c r="F469" s="9" t="s">
        <v>62</v>
      </c>
      <c r="G469" s="10"/>
      <c r="H469" s="10"/>
      <c r="I469" s="11">
        <v>0</v>
      </c>
      <c r="J469" s="10"/>
      <c r="K469" s="10"/>
      <c r="L469" s="12">
        <v>0</v>
      </c>
      <c r="M469" s="10"/>
      <c r="N469" s="10"/>
      <c r="O469" s="11">
        <v>0</v>
      </c>
      <c r="P469" s="10"/>
      <c r="Q469" s="10"/>
      <c r="R469" s="11">
        <v>0</v>
      </c>
      <c r="S469" s="10"/>
      <c r="T469" s="10"/>
      <c r="U469" s="11">
        <v>0</v>
      </c>
      <c r="V469" s="10"/>
      <c r="W469" s="10"/>
      <c r="X469" s="11">
        <v>0</v>
      </c>
      <c r="Y469" s="10"/>
      <c r="Z469" s="10"/>
      <c r="AA469" s="11"/>
      <c r="AB469" s="10"/>
      <c r="AC469" s="10"/>
      <c r="AD469" s="11">
        <v>0</v>
      </c>
      <c r="AE469" s="10"/>
      <c r="AF469" s="10"/>
      <c r="AG469" s="11">
        <v>0</v>
      </c>
      <c r="AH469" s="10"/>
      <c r="AI469" s="10"/>
      <c r="AJ469" s="11">
        <v>0</v>
      </c>
      <c r="AK469" s="10"/>
      <c r="AL469" s="10"/>
      <c r="AM469" s="11">
        <v>0</v>
      </c>
      <c r="AN469" s="10"/>
      <c r="AO469" s="10"/>
      <c r="AP469" s="11">
        <v>0</v>
      </c>
      <c r="AQ469" s="10"/>
      <c r="AR469" s="10"/>
      <c r="AS469" s="11">
        <v>0</v>
      </c>
      <c r="AT469" s="10"/>
      <c r="AU469" s="10"/>
      <c r="AV469" s="11">
        <v>0</v>
      </c>
      <c r="AW469" s="10"/>
      <c r="AX469" s="10"/>
      <c r="AY469" s="11">
        <v>0</v>
      </c>
      <c r="AZ469" s="10"/>
      <c r="BA469" s="10"/>
      <c r="BB469" s="11">
        <v>0</v>
      </c>
      <c r="BC469" s="10"/>
      <c r="BD469" s="10"/>
      <c r="BE469" s="11">
        <v>0</v>
      </c>
      <c r="BF469" s="10"/>
      <c r="BG469" s="10"/>
      <c r="BH469" s="11">
        <v>0</v>
      </c>
      <c r="BI469" s="10"/>
      <c r="BJ469" s="10"/>
      <c r="BK469" s="11">
        <v>0</v>
      </c>
      <c r="BL469" s="10"/>
      <c r="BM469" s="10"/>
      <c r="BN469" s="11">
        <v>0</v>
      </c>
      <c r="BO469" s="10"/>
      <c r="BP469" s="10"/>
      <c r="BQ469" s="11">
        <v>0</v>
      </c>
      <c r="BR469" s="10"/>
      <c r="BS469" s="10"/>
      <c r="BT469" s="11">
        <v>0</v>
      </c>
      <c r="BU469" s="10"/>
      <c r="BV469" s="10"/>
      <c r="BW469" s="11">
        <v>0</v>
      </c>
      <c r="BX469" s="10"/>
      <c r="BY469" s="10"/>
      <c r="BZ469" s="11">
        <v>0</v>
      </c>
      <c r="CA469" s="10"/>
      <c r="CB469" s="10"/>
      <c r="CC469" s="11">
        <v>0</v>
      </c>
      <c r="CD469" s="10"/>
      <c r="CE469" s="10"/>
      <c r="CF469" s="11">
        <v>0</v>
      </c>
      <c r="CG469" s="10"/>
      <c r="CH469" s="10"/>
      <c r="CI469" s="11">
        <v>0</v>
      </c>
      <c r="CJ469" s="10"/>
      <c r="CK469" s="10"/>
      <c r="CL469" s="11">
        <v>0</v>
      </c>
      <c r="CM469" s="10"/>
      <c r="CN469" s="10"/>
      <c r="CO469" s="11">
        <v>0</v>
      </c>
      <c r="CP469" s="10"/>
      <c r="CQ469" s="10"/>
      <c r="CR469" s="11">
        <v>0</v>
      </c>
      <c r="CS469" s="10"/>
      <c r="CT469" s="10"/>
      <c r="CU469" s="11">
        <v>0</v>
      </c>
      <c r="CV469" s="10"/>
      <c r="CW469" s="10"/>
      <c r="CX469" s="11">
        <v>0</v>
      </c>
      <c r="CY469" s="10"/>
      <c r="CZ469" s="10"/>
      <c r="DA469" s="11">
        <v>0</v>
      </c>
      <c r="DB469" s="10"/>
      <c r="DC469" s="10"/>
      <c r="DD469" s="13">
        <v>0</v>
      </c>
      <c r="DE469" s="14"/>
    </row>
    <row r="470" spans="1:109" x14ac:dyDescent="0.35">
      <c r="A470" s="8" t="s">
        <v>1003</v>
      </c>
      <c r="B470" s="9" t="s">
        <v>42</v>
      </c>
      <c r="C470" s="9" t="s">
        <v>43</v>
      </c>
      <c r="D470" s="9" t="s">
        <v>1004</v>
      </c>
      <c r="E470" s="9" t="s">
        <v>45</v>
      </c>
      <c r="F470" s="9" t="s">
        <v>46</v>
      </c>
      <c r="G470" s="10"/>
      <c r="H470" s="10"/>
      <c r="I470" s="11">
        <v>0</v>
      </c>
      <c r="J470" s="10"/>
      <c r="K470" s="10"/>
      <c r="L470" s="12">
        <v>0</v>
      </c>
      <c r="M470" s="10"/>
      <c r="N470" s="10"/>
      <c r="O470" s="11">
        <v>0</v>
      </c>
      <c r="P470" s="10"/>
      <c r="Q470" s="10"/>
      <c r="R470" s="11">
        <v>0</v>
      </c>
      <c r="S470" s="10"/>
      <c r="T470" s="10"/>
      <c r="U470" s="11">
        <v>0</v>
      </c>
      <c r="V470" s="10"/>
      <c r="W470" s="10"/>
      <c r="X470" s="11">
        <v>0</v>
      </c>
      <c r="Y470" s="10"/>
      <c r="Z470" s="10"/>
      <c r="AA470" s="11"/>
      <c r="AB470" s="10"/>
      <c r="AC470" s="10"/>
      <c r="AD470" s="11">
        <v>0</v>
      </c>
      <c r="AE470" s="10"/>
      <c r="AF470" s="10"/>
      <c r="AG470" s="11">
        <v>0</v>
      </c>
      <c r="AH470" s="10"/>
      <c r="AI470" s="10"/>
      <c r="AJ470" s="11">
        <v>0</v>
      </c>
      <c r="AK470" s="10"/>
      <c r="AL470" s="10"/>
      <c r="AM470" s="11">
        <v>0</v>
      </c>
      <c r="AN470" s="10"/>
      <c r="AO470" s="10"/>
      <c r="AP470" s="11">
        <v>0</v>
      </c>
      <c r="AQ470" s="10"/>
      <c r="AR470" s="10"/>
      <c r="AS470" s="11">
        <v>0</v>
      </c>
      <c r="AT470" s="10"/>
      <c r="AU470" s="10"/>
      <c r="AV470" s="11">
        <v>0</v>
      </c>
      <c r="AW470" s="10"/>
      <c r="AX470" s="10"/>
      <c r="AY470" s="11">
        <v>0</v>
      </c>
      <c r="AZ470" s="10"/>
      <c r="BA470" s="10"/>
      <c r="BB470" s="11">
        <v>0</v>
      </c>
      <c r="BC470" s="10"/>
      <c r="BD470" s="10"/>
      <c r="BE470" s="11">
        <v>0</v>
      </c>
      <c r="BF470" s="10"/>
      <c r="BG470" s="10"/>
      <c r="BH470" s="11">
        <v>0</v>
      </c>
      <c r="BI470" s="10"/>
      <c r="BJ470" s="10"/>
      <c r="BK470" s="11">
        <v>0</v>
      </c>
      <c r="BL470" s="10"/>
      <c r="BM470" s="10"/>
      <c r="BN470" s="11">
        <v>0</v>
      </c>
      <c r="BO470" s="10"/>
      <c r="BP470" s="10"/>
      <c r="BQ470" s="11">
        <v>0</v>
      </c>
      <c r="BR470" s="10"/>
      <c r="BS470" s="10"/>
      <c r="BT470" s="11">
        <v>0</v>
      </c>
      <c r="BU470" s="10"/>
      <c r="BV470" s="10"/>
      <c r="BW470" s="11">
        <v>0</v>
      </c>
      <c r="BX470" s="10"/>
      <c r="BY470" s="10"/>
      <c r="BZ470" s="11">
        <v>0</v>
      </c>
      <c r="CA470" s="10"/>
      <c r="CB470" s="10"/>
      <c r="CC470" s="11">
        <v>0</v>
      </c>
      <c r="CD470" s="10"/>
      <c r="CE470" s="10"/>
      <c r="CF470" s="11">
        <v>0</v>
      </c>
      <c r="CG470" s="10"/>
      <c r="CH470" s="10"/>
      <c r="CI470" s="11">
        <v>0</v>
      </c>
      <c r="CJ470" s="10"/>
      <c r="CK470" s="10"/>
      <c r="CL470" s="11">
        <v>0</v>
      </c>
      <c r="CM470" s="10"/>
      <c r="CN470" s="10"/>
      <c r="CO470" s="11">
        <v>0</v>
      </c>
      <c r="CP470" s="10"/>
      <c r="CQ470" s="10"/>
      <c r="CR470" s="11">
        <v>0</v>
      </c>
      <c r="CS470" s="10"/>
      <c r="CT470" s="10"/>
      <c r="CU470" s="11">
        <v>0</v>
      </c>
      <c r="CV470" s="10"/>
      <c r="CW470" s="10"/>
      <c r="CX470" s="11">
        <v>0</v>
      </c>
      <c r="CY470" s="10"/>
      <c r="CZ470" s="10"/>
      <c r="DA470" s="11">
        <v>0</v>
      </c>
      <c r="DB470" s="10"/>
      <c r="DC470" s="10"/>
      <c r="DD470" s="13">
        <v>0</v>
      </c>
      <c r="DE470" s="14"/>
    </row>
    <row r="471" spans="1:109" x14ac:dyDescent="0.35">
      <c r="A471" s="8" t="s">
        <v>1005</v>
      </c>
      <c r="B471" s="9" t="s">
        <v>118</v>
      </c>
      <c r="C471" s="9" t="s">
        <v>43</v>
      </c>
      <c r="D471" s="9" t="s">
        <v>1006</v>
      </c>
      <c r="E471" s="9" t="s">
        <v>61</v>
      </c>
      <c r="F471" s="9" t="s">
        <v>62</v>
      </c>
      <c r="G471" s="10"/>
      <c r="H471" s="10"/>
      <c r="I471" s="11">
        <v>0</v>
      </c>
      <c r="J471" s="10"/>
      <c r="K471" s="10"/>
      <c r="L471" s="12">
        <v>0</v>
      </c>
      <c r="M471" s="10"/>
      <c r="N471" s="10"/>
      <c r="O471" s="11">
        <v>0</v>
      </c>
      <c r="P471" s="10"/>
      <c r="Q471" s="10"/>
      <c r="R471" s="11">
        <v>0</v>
      </c>
      <c r="S471" s="10"/>
      <c r="T471" s="10"/>
      <c r="U471" s="11">
        <v>0</v>
      </c>
      <c r="V471" s="10"/>
      <c r="W471" s="10"/>
      <c r="X471" s="11">
        <v>0</v>
      </c>
      <c r="Y471" s="10"/>
      <c r="Z471" s="10"/>
      <c r="AA471" s="11"/>
      <c r="AB471" s="10"/>
      <c r="AC471" s="10"/>
      <c r="AD471" s="11">
        <v>0</v>
      </c>
      <c r="AE471" s="10"/>
      <c r="AF471" s="10"/>
      <c r="AG471" s="11">
        <v>0</v>
      </c>
      <c r="AH471" s="10"/>
      <c r="AI471" s="10"/>
      <c r="AJ471" s="11">
        <v>0</v>
      </c>
      <c r="AK471" s="10"/>
      <c r="AL471" s="10"/>
      <c r="AM471" s="11">
        <v>0</v>
      </c>
      <c r="AN471" s="10"/>
      <c r="AO471" s="10"/>
      <c r="AP471" s="11">
        <v>0</v>
      </c>
      <c r="AQ471" s="10"/>
      <c r="AR471" s="10"/>
      <c r="AS471" s="11">
        <v>0</v>
      </c>
      <c r="AT471" s="10"/>
      <c r="AU471" s="10"/>
      <c r="AV471" s="11">
        <v>0</v>
      </c>
      <c r="AW471" s="10"/>
      <c r="AX471" s="10"/>
      <c r="AY471" s="11">
        <v>0</v>
      </c>
      <c r="AZ471" s="10"/>
      <c r="BA471" s="10"/>
      <c r="BB471" s="11">
        <v>0</v>
      </c>
      <c r="BC471" s="10"/>
      <c r="BD471" s="10"/>
      <c r="BE471" s="11">
        <v>0</v>
      </c>
      <c r="BF471" s="10"/>
      <c r="BG471" s="10"/>
      <c r="BH471" s="11">
        <v>0</v>
      </c>
      <c r="BI471" s="10"/>
      <c r="BJ471" s="10"/>
      <c r="BK471" s="11">
        <v>0</v>
      </c>
      <c r="BL471" s="10"/>
      <c r="BM471" s="10"/>
      <c r="BN471" s="11">
        <v>0</v>
      </c>
      <c r="BO471" s="10"/>
      <c r="BP471" s="10"/>
      <c r="BQ471" s="11">
        <v>0</v>
      </c>
      <c r="BR471" s="10"/>
      <c r="BS471" s="10"/>
      <c r="BT471" s="11">
        <v>0</v>
      </c>
      <c r="BU471" s="10"/>
      <c r="BV471" s="10"/>
      <c r="BW471" s="11">
        <v>0</v>
      </c>
      <c r="BX471" s="10"/>
      <c r="BY471" s="10"/>
      <c r="BZ471" s="11">
        <v>0</v>
      </c>
      <c r="CA471" s="10"/>
      <c r="CB471" s="10"/>
      <c r="CC471" s="11">
        <v>0</v>
      </c>
      <c r="CD471" s="10"/>
      <c r="CE471" s="10"/>
      <c r="CF471" s="11">
        <v>0</v>
      </c>
      <c r="CG471" s="10"/>
      <c r="CH471" s="10"/>
      <c r="CI471" s="11">
        <v>0</v>
      </c>
      <c r="CJ471" s="10"/>
      <c r="CK471" s="10"/>
      <c r="CL471" s="11">
        <v>0</v>
      </c>
      <c r="CM471" s="10"/>
      <c r="CN471" s="10"/>
      <c r="CO471" s="11">
        <v>0</v>
      </c>
      <c r="CP471" s="10"/>
      <c r="CQ471" s="10"/>
      <c r="CR471" s="11">
        <v>0</v>
      </c>
      <c r="CS471" s="10"/>
      <c r="CT471" s="10"/>
      <c r="CU471" s="11">
        <v>0</v>
      </c>
      <c r="CV471" s="10"/>
      <c r="CW471" s="10"/>
      <c r="CX471" s="11">
        <v>0</v>
      </c>
      <c r="CY471" s="10"/>
      <c r="CZ471" s="10"/>
      <c r="DA471" s="11">
        <v>0</v>
      </c>
      <c r="DB471" s="10"/>
      <c r="DC471" s="10"/>
      <c r="DD471" s="13">
        <v>0</v>
      </c>
      <c r="DE471" s="14"/>
    </row>
    <row r="472" spans="1:109" x14ac:dyDescent="0.35">
      <c r="A472" s="8" t="s">
        <v>1007</v>
      </c>
      <c r="B472" s="9" t="s">
        <v>118</v>
      </c>
      <c r="C472" s="9" t="s">
        <v>43</v>
      </c>
      <c r="D472" s="9" t="s">
        <v>1008</v>
      </c>
      <c r="E472" s="9" t="s">
        <v>61</v>
      </c>
      <c r="F472" s="9" t="s">
        <v>62</v>
      </c>
      <c r="G472" s="10"/>
      <c r="H472" s="10"/>
      <c r="I472" s="11">
        <v>0</v>
      </c>
      <c r="J472" s="10"/>
      <c r="K472" s="10"/>
      <c r="L472" s="12">
        <v>0</v>
      </c>
      <c r="M472" s="10"/>
      <c r="N472" s="10"/>
      <c r="O472" s="11">
        <v>0</v>
      </c>
      <c r="P472" s="10"/>
      <c r="Q472" s="10"/>
      <c r="R472" s="11">
        <v>0</v>
      </c>
      <c r="S472" s="10"/>
      <c r="T472" s="10"/>
      <c r="U472" s="11">
        <v>0</v>
      </c>
      <c r="V472" s="10"/>
      <c r="W472" s="10"/>
      <c r="X472" s="11">
        <v>0</v>
      </c>
      <c r="Y472" s="10"/>
      <c r="Z472" s="10"/>
      <c r="AA472" s="11"/>
      <c r="AB472" s="10"/>
      <c r="AC472" s="10"/>
      <c r="AD472" s="11">
        <v>0</v>
      </c>
      <c r="AE472" s="10"/>
      <c r="AF472" s="10"/>
      <c r="AG472" s="11">
        <v>0</v>
      </c>
      <c r="AH472" s="10"/>
      <c r="AI472" s="10"/>
      <c r="AJ472" s="11">
        <v>0</v>
      </c>
      <c r="AK472" s="10"/>
      <c r="AL472" s="10"/>
      <c r="AM472" s="11">
        <v>0</v>
      </c>
      <c r="AN472" s="10"/>
      <c r="AO472" s="10"/>
      <c r="AP472" s="11">
        <v>0</v>
      </c>
      <c r="AQ472" s="10"/>
      <c r="AR472" s="10"/>
      <c r="AS472" s="11">
        <v>0</v>
      </c>
      <c r="AT472" s="10"/>
      <c r="AU472" s="10"/>
      <c r="AV472" s="11">
        <v>0</v>
      </c>
      <c r="AW472" s="10"/>
      <c r="AX472" s="10"/>
      <c r="AY472" s="11">
        <v>0</v>
      </c>
      <c r="AZ472" s="10"/>
      <c r="BA472" s="10"/>
      <c r="BB472" s="11">
        <v>0</v>
      </c>
      <c r="BC472" s="10"/>
      <c r="BD472" s="10"/>
      <c r="BE472" s="11">
        <v>0</v>
      </c>
      <c r="BF472" s="10"/>
      <c r="BG472" s="10"/>
      <c r="BH472" s="11">
        <v>0</v>
      </c>
      <c r="BI472" s="10"/>
      <c r="BJ472" s="10"/>
      <c r="BK472" s="11">
        <v>0</v>
      </c>
      <c r="BL472" s="10"/>
      <c r="BM472" s="10"/>
      <c r="BN472" s="11">
        <v>0</v>
      </c>
      <c r="BO472" s="10"/>
      <c r="BP472" s="10"/>
      <c r="BQ472" s="11">
        <v>0</v>
      </c>
      <c r="BR472" s="10"/>
      <c r="BS472" s="10"/>
      <c r="BT472" s="11">
        <v>0</v>
      </c>
      <c r="BU472" s="10"/>
      <c r="BV472" s="10"/>
      <c r="BW472" s="11">
        <v>0</v>
      </c>
      <c r="BX472" s="10"/>
      <c r="BY472" s="10"/>
      <c r="BZ472" s="11">
        <v>0</v>
      </c>
      <c r="CA472" s="10"/>
      <c r="CB472" s="10"/>
      <c r="CC472" s="11">
        <v>0</v>
      </c>
      <c r="CD472" s="10"/>
      <c r="CE472" s="10"/>
      <c r="CF472" s="11">
        <v>0</v>
      </c>
      <c r="CG472" s="10"/>
      <c r="CH472" s="10"/>
      <c r="CI472" s="11">
        <v>0</v>
      </c>
      <c r="CJ472" s="10"/>
      <c r="CK472" s="10"/>
      <c r="CL472" s="11">
        <v>0</v>
      </c>
      <c r="CM472" s="10"/>
      <c r="CN472" s="10"/>
      <c r="CO472" s="11">
        <v>0</v>
      </c>
      <c r="CP472" s="10"/>
      <c r="CQ472" s="10"/>
      <c r="CR472" s="11">
        <v>0</v>
      </c>
      <c r="CS472" s="10"/>
      <c r="CT472" s="10"/>
      <c r="CU472" s="11">
        <v>0</v>
      </c>
      <c r="CV472" s="10"/>
      <c r="CW472" s="10"/>
      <c r="CX472" s="11">
        <v>0</v>
      </c>
      <c r="CY472" s="10"/>
      <c r="CZ472" s="10"/>
      <c r="DA472" s="11">
        <v>0</v>
      </c>
      <c r="DB472" s="10"/>
      <c r="DC472" s="10"/>
      <c r="DD472" s="13">
        <v>0</v>
      </c>
      <c r="DE472" s="14"/>
    </row>
    <row r="473" spans="1:109" x14ac:dyDescent="0.35">
      <c r="A473" s="8" t="s">
        <v>1009</v>
      </c>
      <c r="B473" s="9" t="s">
        <v>48</v>
      </c>
      <c r="C473" s="9" t="s">
        <v>43</v>
      </c>
      <c r="D473" s="9" t="s">
        <v>1010</v>
      </c>
      <c r="E473" s="9" t="s">
        <v>45</v>
      </c>
      <c r="F473" s="9" t="s">
        <v>46</v>
      </c>
      <c r="G473" s="10"/>
      <c r="H473" s="10"/>
      <c r="I473" s="11">
        <v>0</v>
      </c>
      <c r="J473" s="10"/>
      <c r="K473" s="10"/>
      <c r="L473" s="12">
        <v>0</v>
      </c>
      <c r="M473" s="10"/>
      <c r="N473" s="10"/>
      <c r="O473" s="11">
        <v>0</v>
      </c>
      <c r="P473" s="10"/>
      <c r="Q473" s="10"/>
      <c r="R473" s="11">
        <v>0</v>
      </c>
      <c r="S473" s="10"/>
      <c r="T473" s="10"/>
      <c r="U473" s="11">
        <v>0</v>
      </c>
      <c r="V473" s="10"/>
      <c r="W473" s="10"/>
      <c r="X473" s="11">
        <v>0</v>
      </c>
      <c r="Y473" s="10"/>
      <c r="Z473" s="10"/>
      <c r="AA473" s="11"/>
      <c r="AB473" s="10"/>
      <c r="AC473" s="10"/>
      <c r="AD473" s="11">
        <v>0</v>
      </c>
      <c r="AE473" s="10"/>
      <c r="AF473" s="10"/>
      <c r="AG473" s="11">
        <v>0</v>
      </c>
      <c r="AH473" s="10"/>
      <c r="AI473" s="10"/>
      <c r="AJ473" s="11">
        <v>0</v>
      </c>
      <c r="AK473" s="10"/>
      <c r="AL473" s="10"/>
      <c r="AM473" s="11">
        <v>0</v>
      </c>
      <c r="AN473" s="10"/>
      <c r="AO473" s="10"/>
      <c r="AP473" s="11">
        <v>0</v>
      </c>
      <c r="AQ473" s="10"/>
      <c r="AR473" s="10"/>
      <c r="AS473" s="11">
        <v>0</v>
      </c>
      <c r="AT473" s="10"/>
      <c r="AU473" s="10"/>
      <c r="AV473" s="11">
        <v>0</v>
      </c>
      <c r="AW473" s="10"/>
      <c r="AX473" s="10"/>
      <c r="AY473" s="11">
        <v>0</v>
      </c>
      <c r="AZ473" s="10"/>
      <c r="BA473" s="10"/>
      <c r="BB473" s="11">
        <v>0</v>
      </c>
      <c r="BC473" s="10"/>
      <c r="BD473" s="10"/>
      <c r="BE473" s="11">
        <v>0</v>
      </c>
      <c r="BF473" s="10"/>
      <c r="BG473" s="10"/>
      <c r="BH473" s="11">
        <v>0</v>
      </c>
      <c r="BI473" s="10"/>
      <c r="BJ473" s="10"/>
      <c r="BK473" s="11">
        <v>0</v>
      </c>
      <c r="BL473" s="10"/>
      <c r="BM473" s="10"/>
      <c r="BN473" s="11">
        <v>0</v>
      </c>
      <c r="BO473" s="10"/>
      <c r="BP473" s="10"/>
      <c r="BQ473" s="11">
        <v>0</v>
      </c>
      <c r="BR473" s="10"/>
      <c r="BS473" s="10"/>
      <c r="BT473" s="11">
        <v>0</v>
      </c>
      <c r="BU473" s="10"/>
      <c r="BV473" s="10"/>
      <c r="BW473" s="11">
        <v>0</v>
      </c>
      <c r="BX473" s="10"/>
      <c r="BY473" s="10"/>
      <c r="BZ473" s="11">
        <v>0</v>
      </c>
      <c r="CA473" s="10"/>
      <c r="CB473" s="10"/>
      <c r="CC473" s="11">
        <v>0</v>
      </c>
      <c r="CD473" s="10"/>
      <c r="CE473" s="10"/>
      <c r="CF473" s="11">
        <v>0</v>
      </c>
      <c r="CG473" s="10"/>
      <c r="CH473" s="10"/>
      <c r="CI473" s="11">
        <v>0</v>
      </c>
      <c r="CJ473" s="10"/>
      <c r="CK473" s="10"/>
      <c r="CL473" s="11">
        <v>0</v>
      </c>
      <c r="CM473" s="10"/>
      <c r="CN473" s="10"/>
      <c r="CO473" s="11">
        <v>0</v>
      </c>
      <c r="CP473" s="10"/>
      <c r="CQ473" s="10"/>
      <c r="CR473" s="11">
        <v>0</v>
      </c>
      <c r="CS473" s="10"/>
      <c r="CT473" s="10"/>
      <c r="CU473" s="11">
        <v>0</v>
      </c>
      <c r="CV473" s="10"/>
      <c r="CW473" s="10"/>
      <c r="CX473" s="11">
        <v>0</v>
      </c>
      <c r="CY473" s="10"/>
      <c r="CZ473" s="10"/>
      <c r="DA473" s="11">
        <v>0</v>
      </c>
      <c r="DB473" s="10"/>
      <c r="DC473" s="10"/>
      <c r="DD473" s="13">
        <v>0</v>
      </c>
      <c r="DE473" s="14"/>
    </row>
    <row r="474" spans="1:109" x14ac:dyDescent="0.35">
      <c r="A474" s="8" t="s">
        <v>1011</v>
      </c>
      <c r="B474" s="9" t="s">
        <v>77</v>
      </c>
      <c r="C474" s="9" t="s">
        <v>43</v>
      </c>
      <c r="D474" s="9" t="s">
        <v>1012</v>
      </c>
      <c r="E474" s="9" t="s">
        <v>61</v>
      </c>
      <c r="F474" s="9" t="s">
        <v>62</v>
      </c>
      <c r="G474" s="10"/>
      <c r="H474" s="10"/>
      <c r="I474" s="11">
        <v>0</v>
      </c>
      <c r="J474" s="10"/>
      <c r="K474" s="10"/>
      <c r="L474" s="12">
        <v>0</v>
      </c>
      <c r="M474" s="10"/>
      <c r="N474" s="10"/>
      <c r="O474" s="11">
        <v>0</v>
      </c>
      <c r="P474" s="10"/>
      <c r="Q474" s="10"/>
      <c r="R474" s="11">
        <v>0</v>
      </c>
      <c r="S474" s="10"/>
      <c r="T474" s="10"/>
      <c r="U474" s="11">
        <v>0</v>
      </c>
      <c r="V474" s="10"/>
      <c r="W474" s="10"/>
      <c r="X474" s="11">
        <v>0</v>
      </c>
      <c r="Y474" s="10"/>
      <c r="Z474" s="10"/>
      <c r="AA474" s="11"/>
      <c r="AB474" s="10"/>
      <c r="AC474" s="10"/>
      <c r="AD474" s="11">
        <v>0</v>
      </c>
      <c r="AE474" s="10"/>
      <c r="AF474" s="10"/>
      <c r="AG474" s="11">
        <v>0</v>
      </c>
      <c r="AH474" s="10"/>
      <c r="AI474" s="10"/>
      <c r="AJ474" s="11">
        <v>0</v>
      </c>
      <c r="AK474" s="10"/>
      <c r="AL474" s="10"/>
      <c r="AM474" s="11">
        <v>0</v>
      </c>
      <c r="AN474" s="10"/>
      <c r="AO474" s="10"/>
      <c r="AP474" s="11">
        <v>0</v>
      </c>
      <c r="AQ474" s="10"/>
      <c r="AR474" s="10"/>
      <c r="AS474" s="11">
        <v>0</v>
      </c>
      <c r="AT474" s="10"/>
      <c r="AU474" s="10"/>
      <c r="AV474" s="11">
        <v>0</v>
      </c>
      <c r="AW474" s="10"/>
      <c r="AX474" s="10"/>
      <c r="AY474" s="11">
        <v>0</v>
      </c>
      <c r="AZ474" s="10"/>
      <c r="BA474" s="10"/>
      <c r="BB474" s="11">
        <v>0</v>
      </c>
      <c r="BC474" s="10"/>
      <c r="BD474" s="10"/>
      <c r="BE474" s="11">
        <v>0</v>
      </c>
      <c r="BF474" s="10"/>
      <c r="BG474" s="10"/>
      <c r="BH474" s="11">
        <v>0</v>
      </c>
      <c r="BI474" s="10"/>
      <c r="BJ474" s="10"/>
      <c r="BK474" s="11">
        <v>0</v>
      </c>
      <c r="BL474" s="10"/>
      <c r="BM474" s="10"/>
      <c r="BN474" s="11">
        <v>0</v>
      </c>
      <c r="BO474" s="10"/>
      <c r="BP474" s="10"/>
      <c r="BQ474" s="11">
        <v>0</v>
      </c>
      <c r="BR474" s="10"/>
      <c r="BS474" s="10"/>
      <c r="BT474" s="11">
        <v>0</v>
      </c>
      <c r="BU474" s="10"/>
      <c r="BV474" s="10"/>
      <c r="BW474" s="11">
        <v>0</v>
      </c>
      <c r="BX474" s="10"/>
      <c r="BY474" s="10"/>
      <c r="BZ474" s="11">
        <v>0</v>
      </c>
      <c r="CA474" s="10"/>
      <c r="CB474" s="10"/>
      <c r="CC474" s="11">
        <v>0</v>
      </c>
      <c r="CD474" s="10"/>
      <c r="CE474" s="10"/>
      <c r="CF474" s="11">
        <v>0</v>
      </c>
      <c r="CG474" s="10"/>
      <c r="CH474" s="10"/>
      <c r="CI474" s="11">
        <v>0</v>
      </c>
      <c r="CJ474" s="10"/>
      <c r="CK474" s="10"/>
      <c r="CL474" s="11">
        <v>0</v>
      </c>
      <c r="CM474" s="10"/>
      <c r="CN474" s="10"/>
      <c r="CO474" s="11">
        <v>0</v>
      </c>
      <c r="CP474" s="10"/>
      <c r="CQ474" s="10"/>
      <c r="CR474" s="11">
        <v>0</v>
      </c>
      <c r="CS474" s="10"/>
      <c r="CT474" s="10"/>
      <c r="CU474" s="11">
        <v>0</v>
      </c>
      <c r="CV474" s="10"/>
      <c r="CW474" s="10"/>
      <c r="CX474" s="11">
        <v>0</v>
      </c>
      <c r="CY474" s="10"/>
      <c r="CZ474" s="10"/>
      <c r="DA474" s="11">
        <v>0</v>
      </c>
      <c r="DB474" s="10"/>
      <c r="DC474" s="10"/>
      <c r="DD474" s="13">
        <v>0</v>
      </c>
      <c r="DE474" s="14"/>
    </row>
    <row r="475" spans="1:109" x14ac:dyDescent="0.35">
      <c r="A475" s="8" t="s">
        <v>1013</v>
      </c>
      <c r="B475" s="9" t="s">
        <v>860</v>
      </c>
      <c r="C475" s="9" t="s">
        <v>43</v>
      </c>
      <c r="D475" s="9" t="s">
        <v>1014</v>
      </c>
      <c r="E475" s="9" t="s">
        <v>45</v>
      </c>
      <c r="F475" s="9" t="s">
        <v>46</v>
      </c>
      <c r="G475" s="10"/>
      <c r="H475" s="10"/>
      <c r="I475" s="11">
        <v>0</v>
      </c>
      <c r="J475" s="10"/>
      <c r="K475" s="10"/>
      <c r="L475" s="12">
        <v>0</v>
      </c>
      <c r="M475" s="10"/>
      <c r="N475" s="10"/>
      <c r="O475" s="11">
        <v>0</v>
      </c>
      <c r="P475" s="10"/>
      <c r="Q475" s="10"/>
      <c r="R475" s="11">
        <v>0</v>
      </c>
      <c r="S475" s="10"/>
      <c r="T475" s="10"/>
      <c r="U475" s="11">
        <v>0</v>
      </c>
      <c r="V475" s="10"/>
      <c r="W475" s="10"/>
      <c r="X475" s="11">
        <v>0</v>
      </c>
      <c r="Y475" s="10"/>
      <c r="Z475" s="10"/>
      <c r="AA475" s="11"/>
      <c r="AB475" s="10"/>
      <c r="AC475" s="10"/>
      <c r="AD475" s="11">
        <v>0</v>
      </c>
      <c r="AE475" s="10"/>
      <c r="AF475" s="10"/>
      <c r="AG475" s="11">
        <v>0</v>
      </c>
      <c r="AH475" s="10"/>
      <c r="AI475" s="10"/>
      <c r="AJ475" s="11">
        <v>0</v>
      </c>
      <c r="AK475" s="10"/>
      <c r="AL475" s="10"/>
      <c r="AM475" s="11">
        <v>0</v>
      </c>
      <c r="AN475" s="10"/>
      <c r="AO475" s="10"/>
      <c r="AP475" s="11">
        <v>0</v>
      </c>
      <c r="AQ475" s="10"/>
      <c r="AR475" s="10"/>
      <c r="AS475" s="11">
        <v>0</v>
      </c>
      <c r="AT475" s="10"/>
      <c r="AU475" s="10"/>
      <c r="AV475" s="11">
        <v>0</v>
      </c>
      <c r="AW475" s="10"/>
      <c r="AX475" s="10"/>
      <c r="AY475" s="11">
        <v>0</v>
      </c>
      <c r="AZ475" s="10"/>
      <c r="BA475" s="10"/>
      <c r="BB475" s="11">
        <v>0</v>
      </c>
      <c r="BC475" s="10"/>
      <c r="BD475" s="10"/>
      <c r="BE475" s="11">
        <v>0</v>
      </c>
      <c r="BF475" s="10"/>
      <c r="BG475" s="10"/>
      <c r="BH475" s="11">
        <v>0</v>
      </c>
      <c r="BI475" s="10"/>
      <c r="BJ475" s="10"/>
      <c r="BK475" s="11">
        <v>0</v>
      </c>
      <c r="BL475" s="10"/>
      <c r="BM475" s="10"/>
      <c r="BN475" s="11">
        <v>0</v>
      </c>
      <c r="BO475" s="10"/>
      <c r="BP475" s="10"/>
      <c r="BQ475" s="11">
        <v>0</v>
      </c>
      <c r="BR475" s="10"/>
      <c r="BS475" s="10"/>
      <c r="BT475" s="11">
        <v>0</v>
      </c>
      <c r="BU475" s="10"/>
      <c r="BV475" s="10"/>
      <c r="BW475" s="11">
        <v>0</v>
      </c>
      <c r="BX475" s="10"/>
      <c r="BY475" s="10"/>
      <c r="BZ475" s="11">
        <v>0</v>
      </c>
      <c r="CA475" s="10"/>
      <c r="CB475" s="10"/>
      <c r="CC475" s="11">
        <v>0</v>
      </c>
      <c r="CD475" s="10"/>
      <c r="CE475" s="10"/>
      <c r="CF475" s="11">
        <v>0</v>
      </c>
      <c r="CG475" s="10"/>
      <c r="CH475" s="10"/>
      <c r="CI475" s="11">
        <v>0</v>
      </c>
      <c r="CJ475" s="10"/>
      <c r="CK475" s="10"/>
      <c r="CL475" s="11">
        <v>0</v>
      </c>
      <c r="CM475" s="10"/>
      <c r="CN475" s="10"/>
      <c r="CO475" s="11">
        <v>0</v>
      </c>
      <c r="CP475" s="10"/>
      <c r="CQ475" s="10"/>
      <c r="CR475" s="11">
        <v>0</v>
      </c>
      <c r="CS475" s="10"/>
      <c r="CT475" s="10"/>
      <c r="CU475" s="11">
        <v>0</v>
      </c>
      <c r="CV475" s="10"/>
      <c r="CW475" s="10"/>
      <c r="CX475" s="11">
        <v>0</v>
      </c>
      <c r="CY475" s="10"/>
      <c r="CZ475" s="10"/>
      <c r="DA475" s="11">
        <v>0</v>
      </c>
      <c r="DB475" s="10"/>
      <c r="DC475" s="10"/>
      <c r="DD475" s="13">
        <v>0</v>
      </c>
      <c r="DE475" s="14"/>
    </row>
    <row r="476" spans="1:109" x14ac:dyDescent="0.35">
      <c r="A476" s="8" t="s">
        <v>1015</v>
      </c>
      <c r="B476" s="9" t="s">
        <v>118</v>
      </c>
      <c r="C476" s="9" t="s">
        <v>43</v>
      </c>
      <c r="D476" s="9" t="s">
        <v>1016</v>
      </c>
      <c r="E476" s="9" t="s">
        <v>61</v>
      </c>
      <c r="F476" s="9" t="s">
        <v>62</v>
      </c>
      <c r="G476" s="10"/>
      <c r="H476" s="10"/>
      <c r="I476" s="11">
        <v>0</v>
      </c>
      <c r="J476" s="10"/>
      <c r="K476" s="10"/>
      <c r="L476" s="12">
        <v>0</v>
      </c>
      <c r="M476" s="10"/>
      <c r="N476" s="10"/>
      <c r="O476" s="11">
        <v>0</v>
      </c>
      <c r="P476" s="10"/>
      <c r="Q476" s="10"/>
      <c r="R476" s="11">
        <v>0</v>
      </c>
      <c r="S476" s="10"/>
      <c r="T476" s="10"/>
      <c r="U476" s="11">
        <v>0</v>
      </c>
      <c r="V476" s="10">
        <v>500000</v>
      </c>
      <c r="W476" s="10"/>
      <c r="X476" s="11">
        <v>0</v>
      </c>
      <c r="Y476" s="10"/>
      <c r="Z476" s="10"/>
      <c r="AA476" s="11"/>
      <c r="AB476" s="10"/>
      <c r="AC476" s="10"/>
      <c r="AD476" s="11">
        <v>0</v>
      </c>
      <c r="AE476" s="10"/>
      <c r="AF476" s="10"/>
      <c r="AG476" s="11">
        <v>0</v>
      </c>
      <c r="AH476" s="10"/>
      <c r="AI476" s="10"/>
      <c r="AJ476" s="11">
        <v>0</v>
      </c>
      <c r="AK476" s="10"/>
      <c r="AL476" s="10"/>
      <c r="AM476" s="11">
        <v>0</v>
      </c>
      <c r="AN476" s="10"/>
      <c r="AO476" s="10"/>
      <c r="AP476" s="11">
        <v>0</v>
      </c>
      <c r="AQ476" s="10"/>
      <c r="AR476" s="10"/>
      <c r="AS476" s="11">
        <v>0</v>
      </c>
      <c r="AT476" s="10"/>
      <c r="AU476" s="10"/>
      <c r="AV476" s="11">
        <v>0</v>
      </c>
      <c r="AW476" s="10"/>
      <c r="AX476" s="10"/>
      <c r="AY476" s="11">
        <v>0</v>
      </c>
      <c r="AZ476" s="10"/>
      <c r="BA476" s="10"/>
      <c r="BB476" s="11">
        <v>0</v>
      </c>
      <c r="BC476" s="10"/>
      <c r="BD476" s="10"/>
      <c r="BE476" s="11">
        <v>0</v>
      </c>
      <c r="BF476" s="10"/>
      <c r="BG476" s="10"/>
      <c r="BH476" s="11">
        <v>0</v>
      </c>
      <c r="BI476" s="10"/>
      <c r="BJ476" s="10"/>
      <c r="BK476" s="11">
        <v>0</v>
      </c>
      <c r="BL476" s="10"/>
      <c r="BM476" s="10"/>
      <c r="BN476" s="11">
        <v>0</v>
      </c>
      <c r="BO476" s="10"/>
      <c r="BP476" s="10"/>
      <c r="BQ476" s="11">
        <v>0</v>
      </c>
      <c r="BR476" s="10"/>
      <c r="BS476" s="10"/>
      <c r="BT476" s="11">
        <v>0</v>
      </c>
      <c r="BU476" s="10"/>
      <c r="BV476" s="10"/>
      <c r="BW476" s="11">
        <v>0</v>
      </c>
      <c r="BX476" s="10"/>
      <c r="BY476" s="10"/>
      <c r="BZ476" s="11">
        <v>0</v>
      </c>
      <c r="CA476" s="10"/>
      <c r="CB476" s="10"/>
      <c r="CC476" s="11">
        <v>0</v>
      </c>
      <c r="CD476" s="10"/>
      <c r="CE476" s="10"/>
      <c r="CF476" s="11">
        <v>0</v>
      </c>
      <c r="CG476" s="10"/>
      <c r="CH476" s="10"/>
      <c r="CI476" s="11">
        <v>0</v>
      </c>
      <c r="CJ476" s="10"/>
      <c r="CK476" s="10"/>
      <c r="CL476" s="11">
        <v>0</v>
      </c>
      <c r="CM476" s="10"/>
      <c r="CN476" s="10"/>
      <c r="CO476" s="11">
        <v>0</v>
      </c>
      <c r="CP476" s="10"/>
      <c r="CQ476" s="10"/>
      <c r="CR476" s="11">
        <v>0</v>
      </c>
      <c r="CS476" s="10"/>
      <c r="CT476" s="10"/>
      <c r="CU476" s="11">
        <v>0</v>
      </c>
      <c r="CV476" s="10"/>
      <c r="CW476" s="10"/>
      <c r="CX476" s="11">
        <v>0</v>
      </c>
      <c r="CY476" s="10"/>
      <c r="CZ476" s="10"/>
      <c r="DA476" s="11">
        <v>0</v>
      </c>
      <c r="DB476" s="10">
        <v>500000</v>
      </c>
      <c r="DC476" s="10"/>
      <c r="DD476" s="15">
        <f t="shared" ref="DD476" si="579">DC476/DB476</f>
        <v>0</v>
      </c>
      <c r="DE476" s="16"/>
    </row>
    <row r="477" spans="1:109" x14ac:dyDescent="0.35">
      <c r="A477" s="8" t="s">
        <v>1017</v>
      </c>
      <c r="B477" s="9" t="s">
        <v>48</v>
      </c>
      <c r="C477" s="9" t="s">
        <v>43</v>
      </c>
      <c r="D477" s="9" t="s">
        <v>1018</v>
      </c>
      <c r="E477" s="9" t="s">
        <v>45</v>
      </c>
      <c r="F477" s="9" t="s">
        <v>46</v>
      </c>
      <c r="G477" s="10"/>
      <c r="H477" s="10"/>
      <c r="I477" s="11">
        <v>0</v>
      </c>
      <c r="J477" s="10"/>
      <c r="K477" s="10"/>
      <c r="L477" s="12">
        <v>0</v>
      </c>
      <c r="M477" s="10"/>
      <c r="N477" s="10"/>
      <c r="O477" s="11">
        <v>0</v>
      </c>
      <c r="P477" s="10"/>
      <c r="Q477" s="10"/>
      <c r="R477" s="11">
        <v>0</v>
      </c>
      <c r="S477" s="10"/>
      <c r="T477" s="10"/>
      <c r="U477" s="11">
        <v>0</v>
      </c>
      <c r="V477" s="10"/>
      <c r="W477" s="10"/>
      <c r="X477" s="11">
        <v>0</v>
      </c>
      <c r="Y477" s="10"/>
      <c r="Z477" s="10"/>
      <c r="AA477" s="11"/>
      <c r="AB477" s="10"/>
      <c r="AC477" s="10"/>
      <c r="AD477" s="11">
        <v>0</v>
      </c>
      <c r="AE477" s="10"/>
      <c r="AF477" s="10"/>
      <c r="AG477" s="11">
        <v>0</v>
      </c>
      <c r="AH477" s="10"/>
      <c r="AI477" s="10"/>
      <c r="AJ477" s="11">
        <v>0</v>
      </c>
      <c r="AK477" s="10"/>
      <c r="AL477" s="10"/>
      <c r="AM477" s="11">
        <v>0</v>
      </c>
      <c r="AN477" s="10"/>
      <c r="AO477" s="10"/>
      <c r="AP477" s="11">
        <v>0</v>
      </c>
      <c r="AQ477" s="10"/>
      <c r="AR477" s="10"/>
      <c r="AS477" s="11">
        <v>0</v>
      </c>
      <c r="AT477" s="10"/>
      <c r="AU477" s="10"/>
      <c r="AV477" s="11">
        <v>0</v>
      </c>
      <c r="AW477" s="10"/>
      <c r="AX477" s="10"/>
      <c r="AY477" s="11">
        <v>0</v>
      </c>
      <c r="AZ477" s="10"/>
      <c r="BA477" s="10"/>
      <c r="BB477" s="11">
        <v>0</v>
      </c>
      <c r="BC477" s="10"/>
      <c r="BD477" s="10"/>
      <c r="BE477" s="11">
        <v>0</v>
      </c>
      <c r="BF477" s="10"/>
      <c r="BG477" s="10"/>
      <c r="BH477" s="11">
        <v>0</v>
      </c>
      <c r="BI477" s="10"/>
      <c r="BJ477" s="10"/>
      <c r="BK477" s="11">
        <v>0</v>
      </c>
      <c r="BL477" s="10"/>
      <c r="BM477" s="10"/>
      <c r="BN477" s="11">
        <v>0</v>
      </c>
      <c r="BO477" s="10"/>
      <c r="BP477" s="10"/>
      <c r="BQ477" s="11">
        <v>0</v>
      </c>
      <c r="BR477" s="10"/>
      <c r="BS477" s="10"/>
      <c r="BT477" s="11">
        <v>0</v>
      </c>
      <c r="BU477" s="10"/>
      <c r="BV477" s="10"/>
      <c r="BW477" s="11">
        <v>0</v>
      </c>
      <c r="BX477" s="10"/>
      <c r="BY477" s="10"/>
      <c r="BZ477" s="11">
        <v>0</v>
      </c>
      <c r="CA477" s="10"/>
      <c r="CB477" s="10"/>
      <c r="CC477" s="11">
        <v>0</v>
      </c>
      <c r="CD477" s="10"/>
      <c r="CE477" s="10"/>
      <c r="CF477" s="11">
        <v>0</v>
      </c>
      <c r="CG477" s="10"/>
      <c r="CH477" s="10"/>
      <c r="CI477" s="11">
        <v>0</v>
      </c>
      <c r="CJ477" s="10"/>
      <c r="CK477" s="10"/>
      <c r="CL477" s="11">
        <v>0</v>
      </c>
      <c r="CM477" s="10"/>
      <c r="CN477" s="10"/>
      <c r="CO477" s="11">
        <v>0</v>
      </c>
      <c r="CP477" s="10"/>
      <c r="CQ477" s="10"/>
      <c r="CR477" s="11">
        <v>0</v>
      </c>
      <c r="CS477" s="10"/>
      <c r="CT477" s="10"/>
      <c r="CU477" s="11">
        <v>0</v>
      </c>
      <c r="CV477" s="10"/>
      <c r="CW477" s="10"/>
      <c r="CX477" s="11">
        <v>0</v>
      </c>
      <c r="CY477" s="10"/>
      <c r="CZ477" s="10"/>
      <c r="DA477" s="11">
        <v>0</v>
      </c>
      <c r="DB477" s="10"/>
      <c r="DC477" s="10"/>
      <c r="DD477" s="13">
        <v>0</v>
      </c>
      <c r="DE477" s="14"/>
    </row>
    <row r="478" spans="1:109" x14ac:dyDescent="0.35">
      <c r="A478" s="8" t="s">
        <v>1019</v>
      </c>
      <c r="B478" s="9" t="s">
        <v>140</v>
      </c>
      <c r="C478" s="9" t="s">
        <v>43</v>
      </c>
      <c r="D478" s="9" t="s">
        <v>1020</v>
      </c>
      <c r="E478" s="9" t="s">
        <v>45</v>
      </c>
      <c r="F478" s="9" t="s">
        <v>46</v>
      </c>
      <c r="G478" s="10"/>
      <c r="H478" s="10"/>
      <c r="I478" s="11">
        <v>0</v>
      </c>
      <c r="J478" s="10"/>
      <c r="K478" s="10"/>
      <c r="L478" s="12">
        <v>0</v>
      </c>
      <c r="M478" s="10"/>
      <c r="N478" s="10"/>
      <c r="O478" s="11">
        <v>0</v>
      </c>
      <c r="P478" s="10"/>
      <c r="Q478" s="10"/>
      <c r="R478" s="11">
        <v>0</v>
      </c>
      <c r="S478" s="10"/>
      <c r="T478" s="10"/>
      <c r="U478" s="11">
        <v>0</v>
      </c>
      <c r="V478" s="10"/>
      <c r="W478" s="10"/>
      <c r="X478" s="11">
        <v>0</v>
      </c>
      <c r="Y478" s="10"/>
      <c r="Z478" s="10"/>
      <c r="AA478" s="11"/>
      <c r="AB478" s="10"/>
      <c r="AC478" s="10"/>
      <c r="AD478" s="11">
        <v>0</v>
      </c>
      <c r="AE478" s="10"/>
      <c r="AF478" s="10"/>
      <c r="AG478" s="11">
        <v>0</v>
      </c>
      <c r="AH478" s="10"/>
      <c r="AI478" s="10"/>
      <c r="AJ478" s="11">
        <v>0</v>
      </c>
      <c r="AK478" s="10"/>
      <c r="AL478" s="10"/>
      <c r="AM478" s="11">
        <v>0</v>
      </c>
      <c r="AN478" s="10"/>
      <c r="AO478" s="10"/>
      <c r="AP478" s="11">
        <v>0</v>
      </c>
      <c r="AQ478" s="10"/>
      <c r="AR478" s="10"/>
      <c r="AS478" s="11">
        <v>0</v>
      </c>
      <c r="AT478" s="10"/>
      <c r="AU478" s="10"/>
      <c r="AV478" s="11">
        <v>0</v>
      </c>
      <c r="AW478" s="10"/>
      <c r="AX478" s="10"/>
      <c r="AY478" s="11">
        <v>0</v>
      </c>
      <c r="AZ478" s="10"/>
      <c r="BA478" s="10"/>
      <c r="BB478" s="11">
        <v>0</v>
      </c>
      <c r="BC478" s="10"/>
      <c r="BD478" s="10"/>
      <c r="BE478" s="11">
        <v>0</v>
      </c>
      <c r="BF478" s="10"/>
      <c r="BG478" s="10"/>
      <c r="BH478" s="11">
        <v>0</v>
      </c>
      <c r="BI478" s="10"/>
      <c r="BJ478" s="10"/>
      <c r="BK478" s="11">
        <v>0</v>
      </c>
      <c r="BL478" s="10"/>
      <c r="BM478" s="10"/>
      <c r="BN478" s="11">
        <v>0</v>
      </c>
      <c r="BO478" s="10"/>
      <c r="BP478" s="10"/>
      <c r="BQ478" s="11">
        <v>0</v>
      </c>
      <c r="BR478" s="10"/>
      <c r="BS478" s="10"/>
      <c r="BT478" s="11">
        <v>0</v>
      </c>
      <c r="BU478" s="10"/>
      <c r="BV478" s="10"/>
      <c r="BW478" s="11">
        <v>0</v>
      </c>
      <c r="BX478" s="10"/>
      <c r="BY478" s="10"/>
      <c r="BZ478" s="11">
        <v>0</v>
      </c>
      <c r="CA478" s="10"/>
      <c r="CB478" s="10"/>
      <c r="CC478" s="11">
        <v>0</v>
      </c>
      <c r="CD478" s="10"/>
      <c r="CE478" s="10"/>
      <c r="CF478" s="11">
        <v>0</v>
      </c>
      <c r="CG478" s="10"/>
      <c r="CH478" s="10"/>
      <c r="CI478" s="11">
        <v>0</v>
      </c>
      <c r="CJ478" s="10"/>
      <c r="CK478" s="10"/>
      <c r="CL478" s="11">
        <v>0</v>
      </c>
      <c r="CM478" s="10"/>
      <c r="CN478" s="10"/>
      <c r="CO478" s="11">
        <v>0</v>
      </c>
      <c r="CP478" s="10"/>
      <c r="CQ478" s="10"/>
      <c r="CR478" s="11">
        <v>0</v>
      </c>
      <c r="CS478" s="10"/>
      <c r="CT478" s="10"/>
      <c r="CU478" s="11">
        <v>0</v>
      </c>
      <c r="CV478" s="10"/>
      <c r="CW478" s="10"/>
      <c r="CX478" s="11">
        <v>0</v>
      </c>
      <c r="CY478" s="10"/>
      <c r="CZ478" s="10"/>
      <c r="DA478" s="11">
        <v>0</v>
      </c>
      <c r="DB478" s="10"/>
      <c r="DC478" s="10"/>
      <c r="DD478" s="13">
        <v>0</v>
      </c>
      <c r="DE478" s="14"/>
    </row>
    <row r="479" spans="1:109" x14ac:dyDescent="0.35">
      <c r="A479" s="8" t="s">
        <v>1021</v>
      </c>
      <c r="B479" s="9" t="s">
        <v>118</v>
      </c>
      <c r="C479" s="9" t="s">
        <v>43</v>
      </c>
      <c r="D479" s="9" t="s">
        <v>1022</v>
      </c>
      <c r="E479" s="9" t="s">
        <v>61</v>
      </c>
      <c r="F479" s="9" t="s">
        <v>62</v>
      </c>
      <c r="G479" s="10"/>
      <c r="H479" s="10"/>
      <c r="I479" s="11">
        <v>0</v>
      </c>
      <c r="J479" s="10"/>
      <c r="K479" s="10"/>
      <c r="L479" s="12">
        <v>0</v>
      </c>
      <c r="M479" s="10"/>
      <c r="N479" s="10"/>
      <c r="O479" s="11">
        <v>0</v>
      </c>
      <c r="P479" s="10"/>
      <c r="Q479" s="10"/>
      <c r="R479" s="11">
        <v>0</v>
      </c>
      <c r="S479" s="10"/>
      <c r="T479" s="10"/>
      <c r="U479" s="11">
        <v>0</v>
      </c>
      <c r="V479" s="10"/>
      <c r="W479" s="10"/>
      <c r="X479" s="11">
        <v>0</v>
      </c>
      <c r="Y479" s="10"/>
      <c r="Z479" s="10"/>
      <c r="AA479" s="11"/>
      <c r="AB479" s="10"/>
      <c r="AC479" s="10"/>
      <c r="AD479" s="11">
        <v>0</v>
      </c>
      <c r="AE479" s="10"/>
      <c r="AF479" s="10"/>
      <c r="AG479" s="11">
        <v>0</v>
      </c>
      <c r="AH479" s="10"/>
      <c r="AI479" s="10"/>
      <c r="AJ479" s="11">
        <v>0</v>
      </c>
      <c r="AK479" s="10"/>
      <c r="AL479" s="10"/>
      <c r="AM479" s="11">
        <v>0</v>
      </c>
      <c r="AN479" s="10"/>
      <c r="AO479" s="10"/>
      <c r="AP479" s="11">
        <v>0</v>
      </c>
      <c r="AQ479" s="10"/>
      <c r="AR479" s="10"/>
      <c r="AS479" s="11">
        <v>0</v>
      </c>
      <c r="AT479" s="10"/>
      <c r="AU479" s="10"/>
      <c r="AV479" s="11">
        <v>0</v>
      </c>
      <c r="AW479" s="10"/>
      <c r="AX479" s="10"/>
      <c r="AY479" s="11">
        <v>0</v>
      </c>
      <c r="AZ479" s="10"/>
      <c r="BA479" s="10"/>
      <c r="BB479" s="11">
        <v>0</v>
      </c>
      <c r="BC479" s="10"/>
      <c r="BD479" s="10"/>
      <c r="BE479" s="11">
        <v>0</v>
      </c>
      <c r="BF479" s="10"/>
      <c r="BG479" s="10"/>
      <c r="BH479" s="11">
        <v>0</v>
      </c>
      <c r="BI479" s="10"/>
      <c r="BJ479" s="10"/>
      <c r="BK479" s="11">
        <v>0</v>
      </c>
      <c r="BL479" s="10"/>
      <c r="BM479" s="10"/>
      <c r="BN479" s="11">
        <v>0</v>
      </c>
      <c r="BO479" s="10"/>
      <c r="BP479" s="10"/>
      <c r="BQ479" s="11">
        <v>0</v>
      </c>
      <c r="BR479" s="10"/>
      <c r="BS479" s="10"/>
      <c r="BT479" s="11">
        <v>0</v>
      </c>
      <c r="BU479" s="10"/>
      <c r="BV479" s="10"/>
      <c r="BW479" s="11">
        <v>0</v>
      </c>
      <c r="BX479" s="10"/>
      <c r="BY479" s="10"/>
      <c r="BZ479" s="11">
        <v>0</v>
      </c>
      <c r="CA479" s="10"/>
      <c r="CB479" s="10"/>
      <c r="CC479" s="11">
        <v>0</v>
      </c>
      <c r="CD479" s="10"/>
      <c r="CE479" s="10"/>
      <c r="CF479" s="11">
        <v>0</v>
      </c>
      <c r="CG479" s="10"/>
      <c r="CH479" s="10"/>
      <c r="CI479" s="11">
        <v>0</v>
      </c>
      <c r="CJ479" s="10"/>
      <c r="CK479" s="10"/>
      <c r="CL479" s="11">
        <v>0</v>
      </c>
      <c r="CM479" s="10"/>
      <c r="CN479" s="10"/>
      <c r="CO479" s="11">
        <v>0</v>
      </c>
      <c r="CP479" s="10"/>
      <c r="CQ479" s="10"/>
      <c r="CR479" s="11">
        <v>0</v>
      </c>
      <c r="CS479" s="10"/>
      <c r="CT479" s="10"/>
      <c r="CU479" s="11">
        <v>0</v>
      </c>
      <c r="CV479" s="10"/>
      <c r="CW479" s="10"/>
      <c r="CX479" s="11">
        <v>0</v>
      </c>
      <c r="CY479" s="10"/>
      <c r="CZ479" s="10"/>
      <c r="DA479" s="11">
        <v>0</v>
      </c>
      <c r="DB479" s="10"/>
      <c r="DC479" s="10"/>
      <c r="DD479" s="13">
        <v>0</v>
      </c>
      <c r="DE479" s="14"/>
    </row>
    <row r="480" spans="1:109" x14ac:dyDescent="0.35">
      <c r="A480" s="8" t="s">
        <v>1023</v>
      </c>
      <c r="B480" s="9" t="s">
        <v>77</v>
      </c>
      <c r="C480" s="9" t="s">
        <v>43</v>
      </c>
      <c r="D480" s="9" t="s">
        <v>1024</v>
      </c>
      <c r="E480" s="9" t="s">
        <v>61</v>
      </c>
      <c r="F480" s="9" t="s">
        <v>62</v>
      </c>
      <c r="G480" s="10"/>
      <c r="H480" s="10"/>
      <c r="I480" s="11">
        <v>0</v>
      </c>
      <c r="J480" s="10"/>
      <c r="K480" s="10"/>
      <c r="L480" s="12">
        <v>0</v>
      </c>
      <c r="M480" s="10"/>
      <c r="N480" s="10"/>
      <c r="O480" s="11">
        <v>0</v>
      </c>
      <c r="P480" s="10"/>
      <c r="Q480" s="10"/>
      <c r="R480" s="11">
        <v>0</v>
      </c>
      <c r="S480" s="10"/>
      <c r="T480" s="10"/>
      <c r="U480" s="11">
        <v>0</v>
      </c>
      <c r="V480" s="10"/>
      <c r="W480" s="10"/>
      <c r="X480" s="11">
        <v>0</v>
      </c>
      <c r="Y480" s="10"/>
      <c r="Z480" s="10"/>
      <c r="AA480" s="11"/>
      <c r="AB480" s="10"/>
      <c r="AC480" s="10"/>
      <c r="AD480" s="11">
        <v>0</v>
      </c>
      <c r="AE480" s="10"/>
      <c r="AF480" s="10"/>
      <c r="AG480" s="11">
        <v>0</v>
      </c>
      <c r="AH480" s="10"/>
      <c r="AI480" s="10"/>
      <c r="AJ480" s="11">
        <v>0</v>
      </c>
      <c r="AK480" s="10"/>
      <c r="AL480" s="10"/>
      <c r="AM480" s="11">
        <v>0</v>
      </c>
      <c r="AN480" s="10"/>
      <c r="AO480" s="10"/>
      <c r="AP480" s="11">
        <v>0</v>
      </c>
      <c r="AQ480" s="10"/>
      <c r="AR480" s="10"/>
      <c r="AS480" s="11">
        <v>0</v>
      </c>
      <c r="AT480" s="10"/>
      <c r="AU480" s="10"/>
      <c r="AV480" s="11">
        <v>0</v>
      </c>
      <c r="AW480" s="10"/>
      <c r="AX480" s="10"/>
      <c r="AY480" s="11">
        <v>0</v>
      </c>
      <c r="AZ480" s="10"/>
      <c r="BA480" s="10"/>
      <c r="BB480" s="11">
        <v>0</v>
      </c>
      <c r="BC480" s="10"/>
      <c r="BD480" s="10"/>
      <c r="BE480" s="11">
        <v>0</v>
      </c>
      <c r="BF480" s="10"/>
      <c r="BG480" s="10"/>
      <c r="BH480" s="11">
        <v>0</v>
      </c>
      <c r="BI480" s="10"/>
      <c r="BJ480" s="10"/>
      <c r="BK480" s="11">
        <v>0</v>
      </c>
      <c r="BL480" s="10"/>
      <c r="BM480" s="10"/>
      <c r="BN480" s="11">
        <v>0</v>
      </c>
      <c r="BO480" s="10"/>
      <c r="BP480" s="10"/>
      <c r="BQ480" s="11">
        <v>0</v>
      </c>
      <c r="BR480" s="10"/>
      <c r="BS480" s="10"/>
      <c r="BT480" s="11">
        <v>0</v>
      </c>
      <c r="BU480" s="10"/>
      <c r="BV480" s="10"/>
      <c r="BW480" s="11">
        <v>0</v>
      </c>
      <c r="BX480" s="10"/>
      <c r="BY480" s="10"/>
      <c r="BZ480" s="11">
        <v>0</v>
      </c>
      <c r="CA480" s="10"/>
      <c r="CB480" s="10"/>
      <c r="CC480" s="11">
        <v>0</v>
      </c>
      <c r="CD480" s="10"/>
      <c r="CE480" s="10"/>
      <c r="CF480" s="11">
        <v>0</v>
      </c>
      <c r="CG480" s="10"/>
      <c r="CH480" s="10"/>
      <c r="CI480" s="11">
        <v>0</v>
      </c>
      <c r="CJ480" s="10"/>
      <c r="CK480" s="10"/>
      <c r="CL480" s="11">
        <v>0</v>
      </c>
      <c r="CM480" s="10"/>
      <c r="CN480" s="10"/>
      <c r="CO480" s="11">
        <v>0</v>
      </c>
      <c r="CP480" s="10"/>
      <c r="CQ480" s="10"/>
      <c r="CR480" s="11">
        <v>0</v>
      </c>
      <c r="CS480" s="10"/>
      <c r="CT480" s="10"/>
      <c r="CU480" s="11">
        <v>0</v>
      </c>
      <c r="CV480" s="10"/>
      <c r="CW480" s="10"/>
      <c r="CX480" s="11">
        <v>0</v>
      </c>
      <c r="CY480" s="10"/>
      <c r="CZ480" s="10"/>
      <c r="DA480" s="11">
        <v>0</v>
      </c>
      <c r="DB480" s="10"/>
      <c r="DC480" s="10"/>
      <c r="DD480" s="13">
        <v>0</v>
      </c>
      <c r="DE480" s="14"/>
    </row>
    <row r="481" spans="1:109" x14ac:dyDescent="0.35">
      <c r="A481" s="8" t="s">
        <v>1025</v>
      </c>
      <c r="B481" s="9" t="s">
        <v>48</v>
      </c>
      <c r="C481" s="9" t="s">
        <v>43</v>
      </c>
      <c r="D481" s="9" t="s">
        <v>1026</v>
      </c>
      <c r="E481" s="9" t="s">
        <v>45</v>
      </c>
      <c r="F481" s="9" t="s">
        <v>46</v>
      </c>
      <c r="G481" s="10"/>
      <c r="H481" s="10"/>
      <c r="I481" s="11">
        <v>0</v>
      </c>
      <c r="J481" s="10"/>
      <c r="K481" s="10"/>
      <c r="L481" s="12">
        <v>0</v>
      </c>
      <c r="M481" s="10"/>
      <c r="N481" s="10"/>
      <c r="O481" s="11">
        <v>0</v>
      </c>
      <c r="P481" s="10"/>
      <c r="Q481" s="10"/>
      <c r="R481" s="11">
        <v>0</v>
      </c>
      <c r="S481" s="10"/>
      <c r="T481" s="10"/>
      <c r="U481" s="11">
        <v>0</v>
      </c>
      <c r="V481" s="10"/>
      <c r="W481" s="10"/>
      <c r="X481" s="11">
        <v>0</v>
      </c>
      <c r="Y481" s="10"/>
      <c r="Z481" s="10"/>
      <c r="AA481" s="11"/>
      <c r="AB481" s="10"/>
      <c r="AC481" s="10"/>
      <c r="AD481" s="11">
        <v>0</v>
      </c>
      <c r="AE481" s="10"/>
      <c r="AF481" s="10"/>
      <c r="AG481" s="11">
        <v>0</v>
      </c>
      <c r="AH481" s="10"/>
      <c r="AI481" s="10"/>
      <c r="AJ481" s="11">
        <v>0</v>
      </c>
      <c r="AK481" s="10"/>
      <c r="AL481" s="10"/>
      <c r="AM481" s="11">
        <v>0</v>
      </c>
      <c r="AN481" s="10"/>
      <c r="AO481" s="10"/>
      <c r="AP481" s="11">
        <v>0</v>
      </c>
      <c r="AQ481" s="10"/>
      <c r="AR481" s="10"/>
      <c r="AS481" s="11">
        <v>0</v>
      </c>
      <c r="AT481" s="10"/>
      <c r="AU481" s="10"/>
      <c r="AV481" s="11">
        <v>0</v>
      </c>
      <c r="AW481" s="10"/>
      <c r="AX481" s="10"/>
      <c r="AY481" s="11">
        <v>0</v>
      </c>
      <c r="AZ481" s="10"/>
      <c r="BA481" s="10"/>
      <c r="BB481" s="11">
        <v>0</v>
      </c>
      <c r="BC481" s="10"/>
      <c r="BD481" s="10"/>
      <c r="BE481" s="11">
        <v>0</v>
      </c>
      <c r="BF481" s="10"/>
      <c r="BG481" s="10"/>
      <c r="BH481" s="11">
        <v>0</v>
      </c>
      <c r="BI481" s="10"/>
      <c r="BJ481" s="10"/>
      <c r="BK481" s="11">
        <v>0</v>
      </c>
      <c r="BL481" s="10"/>
      <c r="BM481" s="10"/>
      <c r="BN481" s="11">
        <v>0</v>
      </c>
      <c r="BO481" s="10"/>
      <c r="BP481" s="10"/>
      <c r="BQ481" s="11">
        <v>0</v>
      </c>
      <c r="BR481" s="10"/>
      <c r="BS481" s="10"/>
      <c r="BT481" s="11">
        <v>0</v>
      </c>
      <c r="BU481" s="10"/>
      <c r="BV481" s="10"/>
      <c r="BW481" s="11">
        <v>0</v>
      </c>
      <c r="BX481" s="10"/>
      <c r="BY481" s="10"/>
      <c r="BZ481" s="11">
        <v>0</v>
      </c>
      <c r="CA481" s="10"/>
      <c r="CB481" s="10"/>
      <c r="CC481" s="11">
        <v>0</v>
      </c>
      <c r="CD481" s="10"/>
      <c r="CE481" s="10"/>
      <c r="CF481" s="11">
        <v>0</v>
      </c>
      <c r="CG481" s="10"/>
      <c r="CH481" s="10"/>
      <c r="CI481" s="11">
        <v>0</v>
      </c>
      <c r="CJ481" s="10"/>
      <c r="CK481" s="10"/>
      <c r="CL481" s="11">
        <v>0</v>
      </c>
      <c r="CM481" s="10"/>
      <c r="CN481" s="10"/>
      <c r="CO481" s="11">
        <v>0</v>
      </c>
      <c r="CP481" s="10"/>
      <c r="CQ481" s="10"/>
      <c r="CR481" s="11">
        <v>0</v>
      </c>
      <c r="CS481" s="10"/>
      <c r="CT481" s="10"/>
      <c r="CU481" s="11">
        <v>0</v>
      </c>
      <c r="CV481" s="10"/>
      <c r="CW481" s="10"/>
      <c r="CX481" s="11">
        <v>0</v>
      </c>
      <c r="CY481" s="10"/>
      <c r="CZ481" s="10"/>
      <c r="DA481" s="11">
        <v>0</v>
      </c>
      <c r="DB481" s="10"/>
      <c r="DC481" s="10"/>
      <c r="DD481" s="13">
        <v>0</v>
      </c>
      <c r="DE481" s="14"/>
    </row>
    <row r="482" spans="1:109" x14ac:dyDescent="0.35">
      <c r="A482" s="8" t="s">
        <v>1027</v>
      </c>
      <c r="B482" s="9" t="s">
        <v>77</v>
      </c>
      <c r="C482" s="9" t="s">
        <v>43</v>
      </c>
      <c r="D482" s="9" t="s">
        <v>1028</v>
      </c>
      <c r="E482" s="9" t="s">
        <v>61</v>
      </c>
      <c r="F482" s="9" t="s">
        <v>62</v>
      </c>
      <c r="G482" s="10"/>
      <c r="H482" s="10"/>
      <c r="I482" s="11">
        <v>0</v>
      </c>
      <c r="J482" s="10"/>
      <c r="K482" s="10"/>
      <c r="L482" s="12">
        <v>0</v>
      </c>
      <c r="M482" s="10"/>
      <c r="N482" s="10"/>
      <c r="O482" s="11">
        <v>0</v>
      </c>
      <c r="P482" s="10"/>
      <c r="Q482" s="10"/>
      <c r="R482" s="11">
        <v>0</v>
      </c>
      <c r="S482" s="10"/>
      <c r="T482" s="10"/>
      <c r="U482" s="11">
        <v>0</v>
      </c>
      <c r="V482" s="10"/>
      <c r="W482" s="10"/>
      <c r="X482" s="11">
        <v>0</v>
      </c>
      <c r="Y482" s="10"/>
      <c r="Z482" s="10"/>
      <c r="AA482" s="11"/>
      <c r="AB482" s="10"/>
      <c r="AC482" s="10"/>
      <c r="AD482" s="11">
        <v>0</v>
      </c>
      <c r="AE482" s="10"/>
      <c r="AF482" s="10"/>
      <c r="AG482" s="11">
        <v>0</v>
      </c>
      <c r="AH482" s="10"/>
      <c r="AI482" s="10"/>
      <c r="AJ482" s="11">
        <v>0</v>
      </c>
      <c r="AK482" s="10"/>
      <c r="AL482" s="10"/>
      <c r="AM482" s="11">
        <v>0</v>
      </c>
      <c r="AN482" s="10"/>
      <c r="AO482" s="10"/>
      <c r="AP482" s="11">
        <v>0</v>
      </c>
      <c r="AQ482" s="10"/>
      <c r="AR482" s="10"/>
      <c r="AS482" s="11">
        <v>0</v>
      </c>
      <c r="AT482" s="10"/>
      <c r="AU482" s="10"/>
      <c r="AV482" s="11">
        <v>0</v>
      </c>
      <c r="AW482" s="10"/>
      <c r="AX482" s="10"/>
      <c r="AY482" s="11">
        <v>0</v>
      </c>
      <c r="AZ482" s="10"/>
      <c r="BA482" s="10"/>
      <c r="BB482" s="11">
        <v>0</v>
      </c>
      <c r="BC482" s="10"/>
      <c r="BD482" s="10"/>
      <c r="BE482" s="11">
        <v>0</v>
      </c>
      <c r="BF482" s="10"/>
      <c r="BG482" s="10"/>
      <c r="BH482" s="11">
        <v>0</v>
      </c>
      <c r="BI482" s="10"/>
      <c r="BJ482" s="10"/>
      <c r="BK482" s="11">
        <v>0</v>
      </c>
      <c r="BL482" s="10"/>
      <c r="BM482" s="10"/>
      <c r="BN482" s="11">
        <v>0</v>
      </c>
      <c r="BO482" s="10"/>
      <c r="BP482" s="10"/>
      <c r="BQ482" s="11">
        <v>0</v>
      </c>
      <c r="BR482" s="10"/>
      <c r="BS482" s="10"/>
      <c r="BT482" s="11">
        <v>0</v>
      </c>
      <c r="BU482" s="10"/>
      <c r="BV482" s="10"/>
      <c r="BW482" s="11">
        <v>0</v>
      </c>
      <c r="BX482" s="10"/>
      <c r="BY482" s="10"/>
      <c r="BZ482" s="11">
        <v>0</v>
      </c>
      <c r="CA482" s="10"/>
      <c r="CB482" s="10"/>
      <c r="CC482" s="11">
        <v>0</v>
      </c>
      <c r="CD482" s="10"/>
      <c r="CE482" s="10"/>
      <c r="CF482" s="11">
        <v>0</v>
      </c>
      <c r="CG482" s="10"/>
      <c r="CH482" s="10"/>
      <c r="CI482" s="11">
        <v>0</v>
      </c>
      <c r="CJ482" s="10"/>
      <c r="CK482" s="10"/>
      <c r="CL482" s="11">
        <v>0</v>
      </c>
      <c r="CM482" s="10"/>
      <c r="CN482" s="10"/>
      <c r="CO482" s="11">
        <v>0</v>
      </c>
      <c r="CP482" s="10"/>
      <c r="CQ482" s="10"/>
      <c r="CR482" s="11">
        <v>0</v>
      </c>
      <c r="CS482" s="10"/>
      <c r="CT482" s="10"/>
      <c r="CU482" s="11">
        <v>0</v>
      </c>
      <c r="CV482" s="10"/>
      <c r="CW482" s="10"/>
      <c r="CX482" s="11">
        <v>0</v>
      </c>
      <c r="CY482" s="10"/>
      <c r="CZ482" s="10"/>
      <c r="DA482" s="11">
        <v>0</v>
      </c>
      <c r="DB482" s="10"/>
      <c r="DC482" s="10"/>
      <c r="DD482" s="13">
        <v>0</v>
      </c>
      <c r="DE482" s="14"/>
    </row>
    <row r="483" spans="1:109" x14ac:dyDescent="0.35">
      <c r="A483" s="8" t="s">
        <v>1029</v>
      </c>
      <c r="B483" s="9" t="s">
        <v>860</v>
      </c>
      <c r="C483" s="9" t="s">
        <v>43</v>
      </c>
      <c r="D483" s="9" t="s">
        <v>1030</v>
      </c>
      <c r="E483" s="9" t="s">
        <v>61</v>
      </c>
      <c r="F483" s="9" t="s">
        <v>62</v>
      </c>
      <c r="G483" s="10"/>
      <c r="H483" s="10"/>
      <c r="I483" s="11">
        <v>0</v>
      </c>
      <c r="J483" s="10"/>
      <c r="K483" s="10"/>
      <c r="L483" s="12">
        <v>0</v>
      </c>
      <c r="M483" s="10"/>
      <c r="N483" s="10"/>
      <c r="O483" s="11">
        <v>0</v>
      </c>
      <c r="P483" s="10"/>
      <c r="Q483" s="10"/>
      <c r="R483" s="11">
        <v>0</v>
      </c>
      <c r="S483" s="10"/>
      <c r="T483" s="10"/>
      <c r="U483" s="11">
        <v>0</v>
      </c>
      <c r="V483" s="10"/>
      <c r="W483" s="10"/>
      <c r="X483" s="11">
        <v>0</v>
      </c>
      <c r="Y483" s="10"/>
      <c r="Z483" s="10"/>
      <c r="AA483" s="11"/>
      <c r="AB483" s="10"/>
      <c r="AC483" s="10"/>
      <c r="AD483" s="11">
        <v>0</v>
      </c>
      <c r="AE483" s="10"/>
      <c r="AF483" s="10"/>
      <c r="AG483" s="11">
        <v>0</v>
      </c>
      <c r="AH483" s="10"/>
      <c r="AI483" s="10"/>
      <c r="AJ483" s="11">
        <v>0</v>
      </c>
      <c r="AK483" s="10"/>
      <c r="AL483" s="10"/>
      <c r="AM483" s="11">
        <v>0</v>
      </c>
      <c r="AN483" s="10"/>
      <c r="AO483" s="10"/>
      <c r="AP483" s="11">
        <v>0</v>
      </c>
      <c r="AQ483" s="10"/>
      <c r="AR483" s="10"/>
      <c r="AS483" s="11">
        <v>0</v>
      </c>
      <c r="AT483" s="10"/>
      <c r="AU483" s="10"/>
      <c r="AV483" s="11">
        <v>0</v>
      </c>
      <c r="AW483" s="10"/>
      <c r="AX483" s="10"/>
      <c r="AY483" s="11">
        <v>0</v>
      </c>
      <c r="AZ483" s="10"/>
      <c r="BA483" s="10"/>
      <c r="BB483" s="11">
        <v>0</v>
      </c>
      <c r="BC483" s="10"/>
      <c r="BD483" s="10"/>
      <c r="BE483" s="11">
        <v>0</v>
      </c>
      <c r="BF483" s="10"/>
      <c r="BG483" s="10"/>
      <c r="BH483" s="11">
        <v>0</v>
      </c>
      <c r="BI483" s="10"/>
      <c r="BJ483" s="10"/>
      <c r="BK483" s="11">
        <v>0</v>
      </c>
      <c r="BL483" s="10"/>
      <c r="BM483" s="10"/>
      <c r="BN483" s="11">
        <v>0</v>
      </c>
      <c r="BO483" s="10"/>
      <c r="BP483" s="10"/>
      <c r="BQ483" s="11">
        <v>0</v>
      </c>
      <c r="BR483" s="10"/>
      <c r="BS483" s="10"/>
      <c r="BT483" s="11">
        <v>0</v>
      </c>
      <c r="BU483" s="10"/>
      <c r="BV483" s="10"/>
      <c r="BW483" s="11">
        <v>0</v>
      </c>
      <c r="BX483" s="10"/>
      <c r="BY483" s="10"/>
      <c r="BZ483" s="11">
        <v>0</v>
      </c>
      <c r="CA483" s="10"/>
      <c r="CB483" s="10"/>
      <c r="CC483" s="11">
        <v>0</v>
      </c>
      <c r="CD483" s="10"/>
      <c r="CE483" s="10"/>
      <c r="CF483" s="11">
        <v>0</v>
      </c>
      <c r="CG483" s="10"/>
      <c r="CH483" s="10"/>
      <c r="CI483" s="11">
        <v>0</v>
      </c>
      <c r="CJ483" s="10"/>
      <c r="CK483" s="10"/>
      <c r="CL483" s="11">
        <v>0</v>
      </c>
      <c r="CM483" s="10"/>
      <c r="CN483" s="10"/>
      <c r="CO483" s="11">
        <v>0</v>
      </c>
      <c r="CP483" s="10"/>
      <c r="CQ483" s="10"/>
      <c r="CR483" s="11">
        <v>0</v>
      </c>
      <c r="CS483" s="10"/>
      <c r="CT483" s="10"/>
      <c r="CU483" s="11">
        <v>0</v>
      </c>
      <c r="CV483" s="10"/>
      <c r="CW483" s="10"/>
      <c r="CX483" s="11">
        <v>0</v>
      </c>
      <c r="CY483" s="10"/>
      <c r="CZ483" s="10"/>
      <c r="DA483" s="11">
        <v>0</v>
      </c>
      <c r="DB483" s="10"/>
      <c r="DC483" s="10"/>
      <c r="DD483" s="13">
        <v>0</v>
      </c>
      <c r="DE483" s="14"/>
    </row>
    <row r="484" spans="1:109" x14ac:dyDescent="0.35">
      <c r="A484" s="8" t="s">
        <v>1031</v>
      </c>
      <c r="B484" s="9" t="s">
        <v>59</v>
      </c>
      <c r="C484" s="9" t="s">
        <v>43</v>
      </c>
      <c r="D484" s="9" t="s">
        <v>1032</v>
      </c>
      <c r="E484" s="9" t="s">
        <v>61</v>
      </c>
      <c r="F484" s="9" t="s">
        <v>62</v>
      </c>
      <c r="G484" s="10"/>
      <c r="H484" s="10"/>
      <c r="I484" s="11">
        <v>0</v>
      </c>
      <c r="J484" s="10"/>
      <c r="K484" s="10"/>
      <c r="L484" s="12">
        <v>0</v>
      </c>
      <c r="M484" s="10"/>
      <c r="N484" s="10"/>
      <c r="O484" s="11">
        <v>0</v>
      </c>
      <c r="P484" s="10"/>
      <c r="Q484" s="10"/>
      <c r="R484" s="11">
        <v>0</v>
      </c>
      <c r="S484" s="10"/>
      <c r="T484" s="10"/>
      <c r="U484" s="11">
        <v>0</v>
      </c>
      <c r="V484" s="10">
        <v>500000</v>
      </c>
      <c r="W484" s="10"/>
      <c r="X484" s="11">
        <v>0</v>
      </c>
      <c r="Y484" s="10"/>
      <c r="Z484" s="10"/>
      <c r="AA484" s="11"/>
      <c r="AB484" s="10"/>
      <c r="AC484" s="10"/>
      <c r="AD484" s="11">
        <v>0</v>
      </c>
      <c r="AE484" s="10"/>
      <c r="AF484" s="10"/>
      <c r="AG484" s="11">
        <v>0</v>
      </c>
      <c r="AH484" s="10"/>
      <c r="AI484" s="10"/>
      <c r="AJ484" s="11">
        <v>0</v>
      </c>
      <c r="AK484" s="10"/>
      <c r="AL484" s="10"/>
      <c r="AM484" s="11">
        <v>0</v>
      </c>
      <c r="AN484" s="10"/>
      <c r="AO484" s="10"/>
      <c r="AP484" s="11">
        <v>0</v>
      </c>
      <c r="AQ484" s="10"/>
      <c r="AR484" s="10"/>
      <c r="AS484" s="11">
        <v>0</v>
      </c>
      <c r="AT484" s="10"/>
      <c r="AU484" s="10"/>
      <c r="AV484" s="11">
        <v>0</v>
      </c>
      <c r="AW484" s="10"/>
      <c r="AX484" s="10"/>
      <c r="AY484" s="11">
        <v>0</v>
      </c>
      <c r="AZ484" s="10"/>
      <c r="BA484" s="10"/>
      <c r="BB484" s="11">
        <v>0</v>
      </c>
      <c r="BC484" s="10"/>
      <c r="BD484" s="10"/>
      <c r="BE484" s="11">
        <v>0</v>
      </c>
      <c r="BF484" s="10"/>
      <c r="BG484" s="10"/>
      <c r="BH484" s="11">
        <v>0</v>
      </c>
      <c r="BI484" s="10"/>
      <c r="BJ484" s="10"/>
      <c r="BK484" s="11">
        <v>0</v>
      </c>
      <c r="BL484" s="10"/>
      <c r="BM484" s="10"/>
      <c r="BN484" s="11">
        <v>0</v>
      </c>
      <c r="BO484" s="10"/>
      <c r="BP484" s="10"/>
      <c r="BQ484" s="11">
        <v>0</v>
      </c>
      <c r="BR484" s="10"/>
      <c r="BS484" s="10"/>
      <c r="BT484" s="11">
        <v>0</v>
      </c>
      <c r="BU484" s="10"/>
      <c r="BV484" s="10"/>
      <c r="BW484" s="11">
        <v>0</v>
      </c>
      <c r="BX484" s="10"/>
      <c r="BY484" s="10"/>
      <c r="BZ484" s="11">
        <v>0</v>
      </c>
      <c r="CA484" s="10"/>
      <c r="CB484" s="10"/>
      <c r="CC484" s="11">
        <v>0</v>
      </c>
      <c r="CD484" s="10"/>
      <c r="CE484" s="10"/>
      <c r="CF484" s="11">
        <v>0</v>
      </c>
      <c r="CG484" s="10"/>
      <c r="CH484" s="10"/>
      <c r="CI484" s="11">
        <v>0</v>
      </c>
      <c r="CJ484" s="10"/>
      <c r="CK484" s="10"/>
      <c r="CL484" s="11">
        <v>0</v>
      </c>
      <c r="CM484" s="10"/>
      <c r="CN484" s="10"/>
      <c r="CO484" s="11">
        <v>0</v>
      </c>
      <c r="CP484" s="10"/>
      <c r="CQ484" s="10"/>
      <c r="CR484" s="11">
        <v>0</v>
      </c>
      <c r="CS484" s="10"/>
      <c r="CT484" s="10"/>
      <c r="CU484" s="11">
        <v>0</v>
      </c>
      <c r="CV484" s="10"/>
      <c r="CW484" s="10"/>
      <c r="CX484" s="11">
        <v>0</v>
      </c>
      <c r="CY484" s="10"/>
      <c r="CZ484" s="10"/>
      <c r="DA484" s="11">
        <v>0</v>
      </c>
      <c r="DB484" s="10">
        <v>500000</v>
      </c>
      <c r="DC484" s="10"/>
      <c r="DD484" s="15">
        <f t="shared" ref="DD484:DD485" si="580">DC484/DB484</f>
        <v>0</v>
      </c>
      <c r="DE484" s="16"/>
    </row>
    <row r="485" spans="1:109" x14ac:dyDescent="0.35">
      <c r="A485" s="8" t="s">
        <v>1033</v>
      </c>
      <c r="B485" s="9" t="s">
        <v>118</v>
      </c>
      <c r="C485" s="9" t="s">
        <v>43</v>
      </c>
      <c r="D485" s="9" t="s">
        <v>1034</v>
      </c>
      <c r="E485" s="9" t="s">
        <v>61</v>
      </c>
      <c r="F485" s="9" t="s">
        <v>62</v>
      </c>
      <c r="G485" s="10"/>
      <c r="H485" s="10"/>
      <c r="I485" s="11">
        <v>0</v>
      </c>
      <c r="J485" s="10"/>
      <c r="K485" s="10"/>
      <c r="L485" s="12">
        <v>0</v>
      </c>
      <c r="M485" s="10"/>
      <c r="N485" s="10"/>
      <c r="O485" s="11">
        <v>0</v>
      </c>
      <c r="P485" s="10"/>
      <c r="Q485" s="10"/>
      <c r="R485" s="11">
        <v>0</v>
      </c>
      <c r="S485" s="10"/>
      <c r="T485" s="10"/>
      <c r="U485" s="11">
        <v>0</v>
      </c>
      <c r="V485" s="10"/>
      <c r="W485" s="10"/>
      <c r="X485" s="11">
        <v>0</v>
      </c>
      <c r="Y485" s="10"/>
      <c r="Z485" s="10"/>
      <c r="AA485" s="11"/>
      <c r="AB485" s="10"/>
      <c r="AC485" s="10"/>
      <c r="AD485" s="11">
        <v>0</v>
      </c>
      <c r="AE485" s="10"/>
      <c r="AF485" s="10"/>
      <c r="AG485" s="11">
        <v>0</v>
      </c>
      <c r="AH485" s="10"/>
      <c r="AI485" s="10"/>
      <c r="AJ485" s="11">
        <v>0</v>
      </c>
      <c r="AK485" s="10"/>
      <c r="AL485" s="10"/>
      <c r="AM485" s="11">
        <v>0</v>
      </c>
      <c r="AN485" s="10"/>
      <c r="AO485" s="10"/>
      <c r="AP485" s="11">
        <v>0</v>
      </c>
      <c r="AQ485" s="10"/>
      <c r="AR485" s="10"/>
      <c r="AS485" s="11">
        <v>0</v>
      </c>
      <c r="AT485" s="10"/>
      <c r="AU485" s="10"/>
      <c r="AV485" s="11">
        <v>0</v>
      </c>
      <c r="AW485" s="10"/>
      <c r="AX485" s="10"/>
      <c r="AY485" s="11">
        <v>0</v>
      </c>
      <c r="AZ485" s="10"/>
      <c r="BA485" s="10"/>
      <c r="BB485" s="11">
        <v>0</v>
      </c>
      <c r="BC485" s="10"/>
      <c r="BD485" s="10"/>
      <c r="BE485" s="11">
        <v>0</v>
      </c>
      <c r="BF485" s="10"/>
      <c r="BG485" s="10"/>
      <c r="BH485" s="11">
        <v>0</v>
      </c>
      <c r="BI485" s="10"/>
      <c r="BJ485" s="10"/>
      <c r="BK485" s="11">
        <v>0</v>
      </c>
      <c r="BL485" s="10"/>
      <c r="BM485" s="10"/>
      <c r="BN485" s="11">
        <v>0</v>
      </c>
      <c r="BO485" s="10"/>
      <c r="BP485" s="10"/>
      <c r="BQ485" s="11">
        <v>0</v>
      </c>
      <c r="BR485" s="10"/>
      <c r="BS485" s="10"/>
      <c r="BT485" s="11">
        <v>0</v>
      </c>
      <c r="BU485" s="10"/>
      <c r="BV485" s="10"/>
      <c r="BW485" s="11">
        <v>0</v>
      </c>
      <c r="BX485" s="10"/>
      <c r="BY485" s="10"/>
      <c r="BZ485" s="11">
        <v>0</v>
      </c>
      <c r="CA485" s="10"/>
      <c r="CB485" s="10"/>
      <c r="CC485" s="11">
        <v>0</v>
      </c>
      <c r="CD485" s="10"/>
      <c r="CE485" s="10"/>
      <c r="CF485" s="11">
        <v>0</v>
      </c>
      <c r="CG485" s="10"/>
      <c r="CH485" s="10"/>
      <c r="CI485" s="11">
        <v>0</v>
      </c>
      <c r="CJ485" s="10"/>
      <c r="CK485" s="10"/>
      <c r="CL485" s="11">
        <v>0</v>
      </c>
      <c r="CM485" s="10"/>
      <c r="CN485" s="10"/>
      <c r="CO485" s="11">
        <v>0</v>
      </c>
      <c r="CP485" s="10">
        <v>100000</v>
      </c>
      <c r="CQ485" s="10"/>
      <c r="CR485" s="11">
        <f t="shared" ref="CR485" si="581">CQ485/CP485</f>
        <v>0</v>
      </c>
      <c r="CS485" s="10"/>
      <c r="CT485" s="10"/>
      <c r="CU485" s="11">
        <v>0</v>
      </c>
      <c r="CV485" s="10"/>
      <c r="CW485" s="10"/>
      <c r="CX485" s="11">
        <v>0</v>
      </c>
      <c r="CY485" s="10"/>
      <c r="CZ485" s="10"/>
      <c r="DA485" s="11">
        <v>0</v>
      </c>
      <c r="DB485" s="10">
        <v>100000</v>
      </c>
      <c r="DC485" s="10"/>
      <c r="DD485" s="15">
        <f t="shared" si="580"/>
        <v>0</v>
      </c>
      <c r="DE485" s="16"/>
    </row>
    <row r="486" spans="1:109" x14ac:dyDescent="0.35">
      <c r="A486" s="8" t="s">
        <v>1035</v>
      </c>
      <c r="B486" s="9" t="s">
        <v>118</v>
      </c>
      <c r="C486" s="9" t="s">
        <v>43</v>
      </c>
      <c r="D486" s="9" t="s">
        <v>1036</v>
      </c>
      <c r="E486" s="9" t="s">
        <v>61</v>
      </c>
      <c r="F486" s="9" t="s">
        <v>62</v>
      </c>
      <c r="G486" s="10"/>
      <c r="H486" s="10"/>
      <c r="I486" s="11">
        <v>0</v>
      </c>
      <c r="J486" s="10"/>
      <c r="K486" s="10"/>
      <c r="L486" s="12">
        <v>0</v>
      </c>
      <c r="M486" s="10"/>
      <c r="N486" s="10"/>
      <c r="O486" s="11">
        <v>0</v>
      </c>
      <c r="P486" s="10"/>
      <c r="Q486" s="10"/>
      <c r="R486" s="11">
        <v>0</v>
      </c>
      <c r="S486" s="10"/>
      <c r="T486" s="10"/>
      <c r="U486" s="11">
        <v>0</v>
      </c>
      <c r="V486" s="10"/>
      <c r="W486" s="10"/>
      <c r="X486" s="11">
        <v>0</v>
      </c>
      <c r="Y486" s="10"/>
      <c r="Z486" s="10"/>
      <c r="AA486" s="11"/>
      <c r="AB486" s="10"/>
      <c r="AC486" s="10"/>
      <c r="AD486" s="11">
        <v>0</v>
      </c>
      <c r="AE486" s="10"/>
      <c r="AF486" s="10"/>
      <c r="AG486" s="11">
        <v>0</v>
      </c>
      <c r="AH486" s="10"/>
      <c r="AI486" s="10"/>
      <c r="AJ486" s="11">
        <v>0</v>
      </c>
      <c r="AK486" s="10"/>
      <c r="AL486" s="10"/>
      <c r="AM486" s="11">
        <v>0</v>
      </c>
      <c r="AN486" s="10"/>
      <c r="AO486" s="10"/>
      <c r="AP486" s="11">
        <v>0</v>
      </c>
      <c r="AQ486" s="10"/>
      <c r="AR486" s="10"/>
      <c r="AS486" s="11">
        <v>0</v>
      </c>
      <c r="AT486" s="10"/>
      <c r="AU486" s="10"/>
      <c r="AV486" s="11">
        <v>0</v>
      </c>
      <c r="AW486" s="10"/>
      <c r="AX486" s="10"/>
      <c r="AY486" s="11">
        <v>0</v>
      </c>
      <c r="AZ486" s="10"/>
      <c r="BA486" s="10"/>
      <c r="BB486" s="11">
        <v>0</v>
      </c>
      <c r="BC486" s="10"/>
      <c r="BD486" s="10"/>
      <c r="BE486" s="11">
        <v>0</v>
      </c>
      <c r="BF486" s="10"/>
      <c r="BG486" s="10"/>
      <c r="BH486" s="11">
        <v>0</v>
      </c>
      <c r="BI486" s="10"/>
      <c r="BJ486" s="10"/>
      <c r="BK486" s="11">
        <v>0</v>
      </c>
      <c r="BL486" s="10"/>
      <c r="BM486" s="10"/>
      <c r="BN486" s="11">
        <v>0</v>
      </c>
      <c r="BO486" s="10"/>
      <c r="BP486" s="10"/>
      <c r="BQ486" s="11">
        <v>0</v>
      </c>
      <c r="BR486" s="10"/>
      <c r="BS486" s="10"/>
      <c r="BT486" s="11">
        <v>0</v>
      </c>
      <c r="BU486" s="10"/>
      <c r="BV486" s="10"/>
      <c r="BW486" s="11">
        <v>0</v>
      </c>
      <c r="BX486" s="10"/>
      <c r="BY486" s="10"/>
      <c r="BZ486" s="11">
        <v>0</v>
      </c>
      <c r="CA486" s="10"/>
      <c r="CB486" s="10"/>
      <c r="CC486" s="11">
        <v>0</v>
      </c>
      <c r="CD486" s="10"/>
      <c r="CE486" s="10"/>
      <c r="CF486" s="11">
        <v>0</v>
      </c>
      <c r="CG486" s="10"/>
      <c r="CH486" s="10"/>
      <c r="CI486" s="11">
        <v>0</v>
      </c>
      <c r="CJ486" s="10"/>
      <c r="CK486" s="10"/>
      <c r="CL486" s="11">
        <v>0</v>
      </c>
      <c r="CM486" s="10"/>
      <c r="CN486" s="10"/>
      <c r="CO486" s="11">
        <v>0</v>
      </c>
      <c r="CP486" s="10"/>
      <c r="CQ486" s="10"/>
      <c r="CR486" s="11">
        <v>0</v>
      </c>
      <c r="CS486" s="10"/>
      <c r="CT486" s="10"/>
      <c r="CU486" s="11">
        <v>0</v>
      </c>
      <c r="CV486" s="10"/>
      <c r="CW486" s="10"/>
      <c r="CX486" s="11">
        <v>0</v>
      </c>
      <c r="CY486" s="10"/>
      <c r="CZ486" s="10"/>
      <c r="DA486" s="11">
        <v>0</v>
      </c>
      <c r="DB486" s="10"/>
      <c r="DC486" s="10"/>
      <c r="DD486" s="13">
        <v>0</v>
      </c>
      <c r="DE486" s="14"/>
    </row>
    <row r="487" spans="1:109" x14ac:dyDescent="0.35">
      <c r="A487" s="8" t="s">
        <v>1037</v>
      </c>
      <c r="B487" s="9" t="s">
        <v>77</v>
      </c>
      <c r="C487" s="9" t="s">
        <v>43</v>
      </c>
      <c r="D487" s="9" t="s">
        <v>1038</v>
      </c>
      <c r="E487" s="9" t="s">
        <v>61</v>
      </c>
      <c r="F487" s="9" t="s">
        <v>62</v>
      </c>
      <c r="G487" s="10"/>
      <c r="H487" s="10"/>
      <c r="I487" s="11">
        <v>0</v>
      </c>
      <c r="J487" s="10"/>
      <c r="K487" s="10"/>
      <c r="L487" s="12">
        <v>0</v>
      </c>
      <c r="M487" s="10"/>
      <c r="N487" s="10"/>
      <c r="O487" s="11">
        <v>0</v>
      </c>
      <c r="P487" s="10"/>
      <c r="Q487" s="10"/>
      <c r="R487" s="11">
        <v>0</v>
      </c>
      <c r="S487" s="10"/>
      <c r="T487" s="10"/>
      <c r="U487" s="11">
        <v>0</v>
      </c>
      <c r="V487" s="10"/>
      <c r="W487" s="10"/>
      <c r="X487" s="11">
        <v>0</v>
      </c>
      <c r="Y487" s="10"/>
      <c r="Z487" s="10"/>
      <c r="AA487" s="11"/>
      <c r="AB487" s="10"/>
      <c r="AC487" s="10"/>
      <c r="AD487" s="11">
        <v>0</v>
      </c>
      <c r="AE487" s="10"/>
      <c r="AF487" s="10"/>
      <c r="AG487" s="11">
        <v>0</v>
      </c>
      <c r="AH487" s="10"/>
      <c r="AI487" s="10"/>
      <c r="AJ487" s="11">
        <v>0</v>
      </c>
      <c r="AK487" s="10"/>
      <c r="AL487" s="10"/>
      <c r="AM487" s="11">
        <v>0</v>
      </c>
      <c r="AN487" s="10"/>
      <c r="AO487" s="10"/>
      <c r="AP487" s="11">
        <v>0</v>
      </c>
      <c r="AQ487" s="10"/>
      <c r="AR487" s="10"/>
      <c r="AS487" s="11">
        <v>0</v>
      </c>
      <c r="AT487" s="10"/>
      <c r="AU487" s="10"/>
      <c r="AV487" s="11">
        <v>0</v>
      </c>
      <c r="AW487" s="10"/>
      <c r="AX487" s="10"/>
      <c r="AY487" s="11">
        <v>0</v>
      </c>
      <c r="AZ487" s="10"/>
      <c r="BA487" s="10"/>
      <c r="BB487" s="11">
        <v>0</v>
      </c>
      <c r="BC487" s="10"/>
      <c r="BD487" s="10"/>
      <c r="BE487" s="11">
        <v>0</v>
      </c>
      <c r="BF487" s="10"/>
      <c r="BG487" s="10"/>
      <c r="BH487" s="11">
        <v>0</v>
      </c>
      <c r="BI487" s="10"/>
      <c r="BJ487" s="10"/>
      <c r="BK487" s="11">
        <v>0</v>
      </c>
      <c r="BL487" s="10"/>
      <c r="BM487" s="10"/>
      <c r="BN487" s="11">
        <v>0</v>
      </c>
      <c r="BO487" s="10"/>
      <c r="BP487" s="10"/>
      <c r="BQ487" s="11">
        <v>0</v>
      </c>
      <c r="BR487" s="10"/>
      <c r="BS487" s="10"/>
      <c r="BT487" s="11">
        <v>0</v>
      </c>
      <c r="BU487" s="10"/>
      <c r="BV487" s="10"/>
      <c r="BW487" s="11">
        <v>0</v>
      </c>
      <c r="BX487" s="10"/>
      <c r="BY487" s="10"/>
      <c r="BZ487" s="11">
        <v>0</v>
      </c>
      <c r="CA487" s="10"/>
      <c r="CB487" s="10"/>
      <c r="CC487" s="11">
        <v>0</v>
      </c>
      <c r="CD487" s="10"/>
      <c r="CE487" s="10"/>
      <c r="CF487" s="11">
        <v>0</v>
      </c>
      <c r="CG487" s="10"/>
      <c r="CH487" s="10"/>
      <c r="CI487" s="11">
        <v>0</v>
      </c>
      <c r="CJ487" s="10"/>
      <c r="CK487" s="10"/>
      <c r="CL487" s="11">
        <v>0</v>
      </c>
      <c r="CM487" s="10"/>
      <c r="CN487" s="10"/>
      <c r="CO487" s="11">
        <v>0</v>
      </c>
      <c r="CP487" s="10"/>
      <c r="CQ487" s="10"/>
      <c r="CR487" s="11">
        <v>0</v>
      </c>
      <c r="CS487" s="10"/>
      <c r="CT487" s="10"/>
      <c r="CU487" s="11">
        <v>0</v>
      </c>
      <c r="CV487" s="10"/>
      <c r="CW487" s="10"/>
      <c r="CX487" s="11">
        <v>0</v>
      </c>
      <c r="CY487" s="10"/>
      <c r="CZ487" s="10"/>
      <c r="DA487" s="11">
        <v>0</v>
      </c>
      <c r="DB487" s="10"/>
      <c r="DC487" s="10"/>
      <c r="DD487" s="13">
        <v>0</v>
      </c>
      <c r="DE487" s="14"/>
    </row>
    <row r="488" spans="1:109" x14ac:dyDescent="0.35">
      <c r="A488" s="8" t="s">
        <v>1039</v>
      </c>
      <c r="B488" s="9" t="s">
        <v>77</v>
      </c>
      <c r="C488" s="9" t="s">
        <v>43</v>
      </c>
      <c r="D488" s="9" t="s">
        <v>1040</v>
      </c>
      <c r="E488" s="9" t="s">
        <v>61</v>
      </c>
      <c r="F488" s="9" t="s">
        <v>62</v>
      </c>
      <c r="G488" s="10"/>
      <c r="H488" s="10"/>
      <c r="I488" s="11">
        <v>0</v>
      </c>
      <c r="J488" s="10"/>
      <c r="K488" s="10"/>
      <c r="L488" s="12">
        <v>0</v>
      </c>
      <c r="M488" s="10"/>
      <c r="N488" s="10"/>
      <c r="O488" s="11">
        <v>0</v>
      </c>
      <c r="P488" s="10"/>
      <c r="Q488" s="10"/>
      <c r="R488" s="11">
        <v>0</v>
      </c>
      <c r="S488" s="10"/>
      <c r="T488" s="10"/>
      <c r="U488" s="11">
        <v>0</v>
      </c>
      <c r="V488" s="10"/>
      <c r="W488" s="10"/>
      <c r="X488" s="11">
        <v>0</v>
      </c>
      <c r="Y488" s="10"/>
      <c r="Z488" s="10"/>
      <c r="AA488" s="11"/>
      <c r="AB488" s="10"/>
      <c r="AC488" s="10"/>
      <c r="AD488" s="11">
        <v>0</v>
      </c>
      <c r="AE488" s="10"/>
      <c r="AF488" s="10"/>
      <c r="AG488" s="11">
        <v>0</v>
      </c>
      <c r="AH488" s="10"/>
      <c r="AI488" s="10"/>
      <c r="AJ488" s="11">
        <v>0</v>
      </c>
      <c r="AK488" s="10"/>
      <c r="AL488" s="10"/>
      <c r="AM488" s="11">
        <v>0</v>
      </c>
      <c r="AN488" s="10"/>
      <c r="AO488" s="10"/>
      <c r="AP488" s="11">
        <v>0</v>
      </c>
      <c r="AQ488" s="10"/>
      <c r="AR488" s="10"/>
      <c r="AS488" s="11">
        <v>0</v>
      </c>
      <c r="AT488" s="10"/>
      <c r="AU488" s="10"/>
      <c r="AV488" s="11">
        <v>0</v>
      </c>
      <c r="AW488" s="10"/>
      <c r="AX488" s="10"/>
      <c r="AY488" s="11">
        <v>0</v>
      </c>
      <c r="AZ488" s="10"/>
      <c r="BA488" s="10"/>
      <c r="BB488" s="11">
        <v>0</v>
      </c>
      <c r="BC488" s="10"/>
      <c r="BD488" s="10"/>
      <c r="BE488" s="11">
        <v>0</v>
      </c>
      <c r="BF488" s="10"/>
      <c r="BG488" s="10"/>
      <c r="BH488" s="11">
        <v>0</v>
      </c>
      <c r="BI488" s="10"/>
      <c r="BJ488" s="10"/>
      <c r="BK488" s="11">
        <v>0</v>
      </c>
      <c r="BL488" s="10"/>
      <c r="BM488" s="10"/>
      <c r="BN488" s="11">
        <v>0</v>
      </c>
      <c r="BO488" s="10"/>
      <c r="BP488" s="10"/>
      <c r="BQ488" s="11">
        <v>0</v>
      </c>
      <c r="BR488" s="10"/>
      <c r="BS488" s="10"/>
      <c r="BT488" s="11">
        <v>0</v>
      </c>
      <c r="BU488" s="10"/>
      <c r="BV488" s="10"/>
      <c r="BW488" s="11">
        <v>0</v>
      </c>
      <c r="BX488" s="10"/>
      <c r="BY488" s="10"/>
      <c r="BZ488" s="11">
        <v>0</v>
      </c>
      <c r="CA488" s="10"/>
      <c r="CB488" s="10"/>
      <c r="CC488" s="11">
        <v>0</v>
      </c>
      <c r="CD488" s="10"/>
      <c r="CE488" s="10"/>
      <c r="CF488" s="11">
        <v>0</v>
      </c>
      <c r="CG488" s="10"/>
      <c r="CH488" s="10"/>
      <c r="CI488" s="11">
        <v>0</v>
      </c>
      <c r="CJ488" s="10"/>
      <c r="CK488" s="10"/>
      <c r="CL488" s="11">
        <v>0</v>
      </c>
      <c r="CM488" s="10"/>
      <c r="CN488" s="10"/>
      <c r="CO488" s="11">
        <v>0</v>
      </c>
      <c r="CP488" s="10"/>
      <c r="CQ488" s="10"/>
      <c r="CR488" s="11">
        <v>0</v>
      </c>
      <c r="CS488" s="10"/>
      <c r="CT488" s="10"/>
      <c r="CU488" s="11">
        <v>0</v>
      </c>
      <c r="CV488" s="10"/>
      <c r="CW488" s="10"/>
      <c r="CX488" s="11">
        <v>0</v>
      </c>
      <c r="CY488" s="10"/>
      <c r="CZ488" s="10"/>
      <c r="DA488" s="11">
        <v>0</v>
      </c>
      <c r="DB488" s="10"/>
      <c r="DC488" s="10"/>
      <c r="DD488" s="13">
        <v>0</v>
      </c>
      <c r="DE488" s="14"/>
    </row>
    <row r="489" spans="1:109" x14ac:dyDescent="0.35">
      <c r="A489" s="8" t="s">
        <v>1041</v>
      </c>
      <c r="B489" s="9" t="s">
        <v>118</v>
      </c>
      <c r="C489" s="9" t="s">
        <v>43</v>
      </c>
      <c r="D489" s="9" t="s">
        <v>1042</v>
      </c>
      <c r="E489" s="9" t="s">
        <v>61</v>
      </c>
      <c r="F489" s="9" t="s">
        <v>62</v>
      </c>
      <c r="G489" s="10"/>
      <c r="H489" s="10"/>
      <c r="I489" s="11">
        <v>0</v>
      </c>
      <c r="J489" s="10"/>
      <c r="K489" s="10"/>
      <c r="L489" s="12">
        <v>0</v>
      </c>
      <c r="M489" s="10"/>
      <c r="N489" s="10"/>
      <c r="O489" s="11">
        <v>0</v>
      </c>
      <c r="P489" s="10"/>
      <c r="Q489" s="10"/>
      <c r="R489" s="11">
        <v>0</v>
      </c>
      <c r="S489" s="10"/>
      <c r="T489" s="10"/>
      <c r="U489" s="11">
        <v>0</v>
      </c>
      <c r="V489" s="10"/>
      <c r="W489" s="10"/>
      <c r="X489" s="11">
        <v>0</v>
      </c>
      <c r="Y489" s="10"/>
      <c r="Z489" s="10"/>
      <c r="AA489" s="11"/>
      <c r="AB489" s="10"/>
      <c r="AC489" s="10"/>
      <c r="AD489" s="11">
        <v>0</v>
      </c>
      <c r="AE489" s="10"/>
      <c r="AF489" s="10"/>
      <c r="AG489" s="11">
        <v>0</v>
      </c>
      <c r="AH489" s="10"/>
      <c r="AI489" s="10"/>
      <c r="AJ489" s="11">
        <v>0</v>
      </c>
      <c r="AK489" s="10"/>
      <c r="AL489" s="10"/>
      <c r="AM489" s="11">
        <v>0</v>
      </c>
      <c r="AN489" s="10"/>
      <c r="AO489" s="10"/>
      <c r="AP489" s="11">
        <v>0</v>
      </c>
      <c r="AQ489" s="10"/>
      <c r="AR489" s="10"/>
      <c r="AS489" s="11">
        <v>0</v>
      </c>
      <c r="AT489" s="10"/>
      <c r="AU489" s="10"/>
      <c r="AV489" s="11">
        <v>0</v>
      </c>
      <c r="AW489" s="10"/>
      <c r="AX489" s="10"/>
      <c r="AY489" s="11">
        <v>0</v>
      </c>
      <c r="AZ489" s="10"/>
      <c r="BA489" s="10"/>
      <c r="BB489" s="11">
        <v>0</v>
      </c>
      <c r="BC489" s="10"/>
      <c r="BD489" s="10"/>
      <c r="BE489" s="11">
        <v>0</v>
      </c>
      <c r="BF489" s="10"/>
      <c r="BG489" s="10"/>
      <c r="BH489" s="11">
        <v>0</v>
      </c>
      <c r="BI489" s="10"/>
      <c r="BJ489" s="10"/>
      <c r="BK489" s="11">
        <v>0</v>
      </c>
      <c r="BL489" s="10"/>
      <c r="BM489" s="10"/>
      <c r="BN489" s="11">
        <v>0</v>
      </c>
      <c r="BO489" s="10"/>
      <c r="BP489" s="10"/>
      <c r="BQ489" s="11">
        <v>0</v>
      </c>
      <c r="BR489" s="10"/>
      <c r="BS489" s="10"/>
      <c r="BT489" s="11">
        <v>0</v>
      </c>
      <c r="BU489" s="10"/>
      <c r="BV489" s="10"/>
      <c r="BW489" s="11">
        <v>0</v>
      </c>
      <c r="BX489" s="10"/>
      <c r="BY489" s="10"/>
      <c r="BZ489" s="11">
        <v>0</v>
      </c>
      <c r="CA489" s="10"/>
      <c r="CB489" s="10"/>
      <c r="CC489" s="11">
        <v>0</v>
      </c>
      <c r="CD489" s="10"/>
      <c r="CE489" s="10"/>
      <c r="CF489" s="11">
        <v>0</v>
      </c>
      <c r="CG489" s="10"/>
      <c r="CH489" s="10"/>
      <c r="CI489" s="11">
        <v>0</v>
      </c>
      <c r="CJ489" s="10"/>
      <c r="CK489" s="10"/>
      <c r="CL489" s="11">
        <v>0</v>
      </c>
      <c r="CM489" s="10"/>
      <c r="CN489" s="10"/>
      <c r="CO489" s="11">
        <v>0</v>
      </c>
      <c r="CP489" s="10"/>
      <c r="CQ489" s="10"/>
      <c r="CR489" s="11">
        <v>0</v>
      </c>
      <c r="CS489" s="10"/>
      <c r="CT489" s="10"/>
      <c r="CU489" s="11">
        <v>0</v>
      </c>
      <c r="CV489" s="10"/>
      <c r="CW489" s="10"/>
      <c r="CX489" s="11">
        <v>0</v>
      </c>
      <c r="CY489" s="10"/>
      <c r="CZ489" s="10"/>
      <c r="DA489" s="11">
        <v>0</v>
      </c>
      <c r="DB489" s="10"/>
      <c r="DC489" s="10"/>
      <c r="DD489" s="13">
        <v>0</v>
      </c>
      <c r="DE489" s="14"/>
    </row>
    <row r="490" spans="1:109" x14ac:dyDescent="0.35">
      <c r="A490" s="8" t="s">
        <v>1043</v>
      </c>
      <c r="B490" s="9" t="s">
        <v>118</v>
      </c>
      <c r="C490" s="9" t="s">
        <v>43</v>
      </c>
      <c r="D490" s="9" t="s">
        <v>1044</v>
      </c>
      <c r="E490" s="9" t="s">
        <v>61</v>
      </c>
      <c r="F490" s="9" t="s">
        <v>62</v>
      </c>
      <c r="G490" s="10"/>
      <c r="H490" s="10"/>
      <c r="I490" s="11">
        <v>0</v>
      </c>
      <c r="J490" s="10"/>
      <c r="K490" s="10"/>
      <c r="L490" s="12">
        <v>0</v>
      </c>
      <c r="M490" s="10"/>
      <c r="N490" s="10"/>
      <c r="O490" s="11">
        <v>0</v>
      </c>
      <c r="P490" s="10"/>
      <c r="Q490" s="10"/>
      <c r="R490" s="11">
        <v>0</v>
      </c>
      <c r="S490" s="10"/>
      <c r="T490" s="10"/>
      <c r="U490" s="11">
        <v>0</v>
      </c>
      <c r="V490" s="10"/>
      <c r="W490" s="10"/>
      <c r="X490" s="11">
        <v>0</v>
      </c>
      <c r="Y490" s="10"/>
      <c r="Z490" s="10"/>
      <c r="AA490" s="11"/>
      <c r="AB490" s="10"/>
      <c r="AC490" s="10"/>
      <c r="AD490" s="11">
        <v>0</v>
      </c>
      <c r="AE490" s="10"/>
      <c r="AF490" s="10"/>
      <c r="AG490" s="11">
        <v>0</v>
      </c>
      <c r="AH490" s="10"/>
      <c r="AI490" s="10"/>
      <c r="AJ490" s="11">
        <v>0</v>
      </c>
      <c r="AK490" s="10"/>
      <c r="AL490" s="10"/>
      <c r="AM490" s="11">
        <v>0</v>
      </c>
      <c r="AN490" s="10"/>
      <c r="AO490" s="10"/>
      <c r="AP490" s="11">
        <v>0</v>
      </c>
      <c r="AQ490" s="10"/>
      <c r="AR490" s="10"/>
      <c r="AS490" s="11">
        <v>0</v>
      </c>
      <c r="AT490" s="10"/>
      <c r="AU490" s="10"/>
      <c r="AV490" s="11">
        <v>0</v>
      </c>
      <c r="AW490" s="10"/>
      <c r="AX490" s="10"/>
      <c r="AY490" s="11">
        <v>0</v>
      </c>
      <c r="AZ490" s="10"/>
      <c r="BA490" s="10"/>
      <c r="BB490" s="11">
        <v>0</v>
      </c>
      <c r="BC490" s="10"/>
      <c r="BD490" s="10"/>
      <c r="BE490" s="11">
        <v>0</v>
      </c>
      <c r="BF490" s="10"/>
      <c r="BG490" s="10"/>
      <c r="BH490" s="11">
        <v>0</v>
      </c>
      <c r="BI490" s="10"/>
      <c r="BJ490" s="10"/>
      <c r="BK490" s="11">
        <v>0</v>
      </c>
      <c r="BL490" s="10"/>
      <c r="BM490" s="10"/>
      <c r="BN490" s="11">
        <v>0</v>
      </c>
      <c r="BO490" s="10"/>
      <c r="BP490" s="10"/>
      <c r="BQ490" s="11">
        <v>0</v>
      </c>
      <c r="BR490" s="10"/>
      <c r="BS490" s="10"/>
      <c r="BT490" s="11">
        <v>0</v>
      </c>
      <c r="BU490" s="10"/>
      <c r="BV490" s="10"/>
      <c r="BW490" s="11">
        <v>0</v>
      </c>
      <c r="BX490" s="10"/>
      <c r="BY490" s="10"/>
      <c r="BZ490" s="11">
        <v>0</v>
      </c>
      <c r="CA490" s="10"/>
      <c r="CB490" s="10"/>
      <c r="CC490" s="11">
        <v>0</v>
      </c>
      <c r="CD490" s="10"/>
      <c r="CE490" s="10"/>
      <c r="CF490" s="11">
        <v>0</v>
      </c>
      <c r="CG490" s="10"/>
      <c r="CH490" s="10"/>
      <c r="CI490" s="11">
        <v>0</v>
      </c>
      <c r="CJ490" s="10"/>
      <c r="CK490" s="10"/>
      <c r="CL490" s="11">
        <v>0</v>
      </c>
      <c r="CM490" s="10"/>
      <c r="CN490" s="10"/>
      <c r="CO490" s="11">
        <v>0</v>
      </c>
      <c r="CP490" s="10"/>
      <c r="CQ490" s="10"/>
      <c r="CR490" s="11">
        <v>0</v>
      </c>
      <c r="CS490" s="10"/>
      <c r="CT490" s="10"/>
      <c r="CU490" s="11">
        <v>0</v>
      </c>
      <c r="CV490" s="10"/>
      <c r="CW490" s="10"/>
      <c r="CX490" s="11">
        <v>0</v>
      </c>
      <c r="CY490" s="10"/>
      <c r="CZ490" s="10"/>
      <c r="DA490" s="11">
        <v>0</v>
      </c>
      <c r="DB490" s="10"/>
      <c r="DC490" s="10"/>
      <c r="DD490" s="13">
        <v>0</v>
      </c>
      <c r="DE490" s="14"/>
    </row>
    <row r="491" spans="1:109" x14ac:dyDescent="0.35">
      <c r="A491" s="8" t="s">
        <v>1045</v>
      </c>
      <c r="B491" s="9" t="s">
        <v>860</v>
      </c>
      <c r="C491" s="9" t="s">
        <v>43</v>
      </c>
      <c r="D491" s="9" t="s">
        <v>1046</v>
      </c>
      <c r="E491" s="9" t="s">
        <v>61</v>
      </c>
      <c r="F491" s="9" t="s">
        <v>62</v>
      </c>
      <c r="G491" s="10"/>
      <c r="H491" s="10"/>
      <c r="I491" s="11">
        <v>0</v>
      </c>
      <c r="J491" s="10"/>
      <c r="K491" s="10"/>
      <c r="L491" s="12">
        <v>0</v>
      </c>
      <c r="M491" s="10"/>
      <c r="N491" s="10"/>
      <c r="O491" s="11">
        <v>0</v>
      </c>
      <c r="P491" s="10"/>
      <c r="Q491" s="10"/>
      <c r="R491" s="11">
        <v>0</v>
      </c>
      <c r="S491" s="10"/>
      <c r="T491" s="10"/>
      <c r="U491" s="11">
        <v>0</v>
      </c>
      <c r="V491" s="10"/>
      <c r="W491" s="10"/>
      <c r="X491" s="11">
        <v>0</v>
      </c>
      <c r="Y491" s="10"/>
      <c r="Z491" s="10"/>
      <c r="AA491" s="11"/>
      <c r="AB491" s="10"/>
      <c r="AC491" s="10"/>
      <c r="AD491" s="11">
        <v>0</v>
      </c>
      <c r="AE491" s="10"/>
      <c r="AF491" s="10"/>
      <c r="AG491" s="11">
        <v>0</v>
      </c>
      <c r="AH491" s="10"/>
      <c r="AI491" s="10"/>
      <c r="AJ491" s="11">
        <v>0</v>
      </c>
      <c r="AK491" s="10"/>
      <c r="AL491" s="10"/>
      <c r="AM491" s="11">
        <v>0</v>
      </c>
      <c r="AN491" s="10"/>
      <c r="AO491" s="10"/>
      <c r="AP491" s="11">
        <v>0</v>
      </c>
      <c r="AQ491" s="10"/>
      <c r="AR491" s="10"/>
      <c r="AS491" s="11">
        <v>0</v>
      </c>
      <c r="AT491" s="10"/>
      <c r="AU491" s="10"/>
      <c r="AV491" s="11">
        <v>0</v>
      </c>
      <c r="AW491" s="10"/>
      <c r="AX491" s="10"/>
      <c r="AY491" s="11">
        <v>0</v>
      </c>
      <c r="AZ491" s="10"/>
      <c r="BA491" s="10"/>
      <c r="BB491" s="11">
        <v>0</v>
      </c>
      <c r="BC491" s="10"/>
      <c r="BD491" s="10"/>
      <c r="BE491" s="11">
        <v>0</v>
      </c>
      <c r="BF491" s="10"/>
      <c r="BG491" s="10"/>
      <c r="BH491" s="11">
        <v>0</v>
      </c>
      <c r="BI491" s="10"/>
      <c r="BJ491" s="10"/>
      <c r="BK491" s="11">
        <v>0</v>
      </c>
      <c r="BL491" s="10"/>
      <c r="BM491" s="10"/>
      <c r="BN491" s="11">
        <v>0</v>
      </c>
      <c r="BO491" s="10"/>
      <c r="BP491" s="10"/>
      <c r="BQ491" s="11">
        <v>0</v>
      </c>
      <c r="BR491" s="10"/>
      <c r="BS491" s="10"/>
      <c r="BT491" s="11">
        <v>0</v>
      </c>
      <c r="BU491" s="10"/>
      <c r="BV491" s="10"/>
      <c r="BW491" s="11">
        <v>0</v>
      </c>
      <c r="BX491" s="10"/>
      <c r="BY491" s="10"/>
      <c r="BZ491" s="11">
        <v>0</v>
      </c>
      <c r="CA491" s="10"/>
      <c r="CB491" s="10"/>
      <c r="CC491" s="11">
        <v>0</v>
      </c>
      <c r="CD491" s="10"/>
      <c r="CE491" s="10"/>
      <c r="CF491" s="11">
        <v>0</v>
      </c>
      <c r="CG491" s="10"/>
      <c r="CH491" s="10"/>
      <c r="CI491" s="11">
        <v>0</v>
      </c>
      <c r="CJ491" s="10"/>
      <c r="CK491" s="10"/>
      <c r="CL491" s="11">
        <v>0</v>
      </c>
      <c r="CM491" s="10"/>
      <c r="CN491" s="10"/>
      <c r="CO491" s="11">
        <v>0</v>
      </c>
      <c r="CP491" s="10"/>
      <c r="CQ491" s="10"/>
      <c r="CR491" s="11">
        <v>0</v>
      </c>
      <c r="CS491" s="10"/>
      <c r="CT491" s="10"/>
      <c r="CU491" s="11">
        <v>0</v>
      </c>
      <c r="CV491" s="10"/>
      <c r="CW491" s="10"/>
      <c r="CX491" s="11">
        <v>0</v>
      </c>
      <c r="CY491" s="10"/>
      <c r="CZ491" s="10"/>
      <c r="DA491" s="11">
        <v>0</v>
      </c>
      <c r="DB491" s="10"/>
      <c r="DC491" s="10"/>
      <c r="DD491" s="13">
        <v>0</v>
      </c>
      <c r="DE491" s="14"/>
    </row>
    <row r="492" spans="1:109" x14ac:dyDescent="0.35">
      <c r="A492" s="8" t="s">
        <v>1047</v>
      </c>
      <c r="B492" s="9" t="s">
        <v>118</v>
      </c>
      <c r="C492" s="9" t="s">
        <v>43</v>
      </c>
      <c r="D492" s="9" t="s">
        <v>1048</v>
      </c>
      <c r="E492" s="9" t="s">
        <v>61</v>
      </c>
      <c r="F492" s="9" t="s">
        <v>62</v>
      </c>
      <c r="G492" s="10"/>
      <c r="H492" s="10"/>
      <c r="I492" s="11">
        <v>0</v>
      </c>
      <c r="J492" s="10"/>
      <c r="K492" s="10"/>
      <c r="L492" s="12">
        <v>0</v>
      </c>
      <c r="M492" s="10"/>
      <c r="N492" s="10"/>
      <c r="O492" s="11">
        <v>0</v>
      </c>
      <c r="P492" s="10"/>
      <c r="Q492" s="10"/>
      <c r="R492" s="11">
        <v>0</v>
      </c>
      <c r="S492" s="10"/>
      <c r="T492" s="10"/>
      <c r="U492" s="11">
        <v>0</v>
      </c>
      <c r="V492" s="10"/>
      <c r="W492" s="10"/>
      <c r="X492" s="11">
        <v>0</v>
      </c>
      <c r="Y492" s="10"/>
      <c r="Z492" s="10"/>
      <c r="AA492" s="11"/>
      <c r="AB492" s="10"/>
      <c r="AC492" s="10"/>
      <c r="AD492" s="11">
        <v>0</v>
      </c>
      <c r="AE492" s="10"/>
      <c r="AF492" s="10"/>
      <c r="AG492" s="11">
        <v>0</v>
      </c>
      <c r="AH492" s="10"/>
      <c r="AI492" s="10"/>
      <c r="AJ492" s="11">
        <v>0</v>
      </c>
      <c r="AK492" s="10"/>
      <c r="AL492" s="10"/>
      <c r="AM492" s="11">
        <v>0</v>
      </c>
      <c r="AN492" s="10"/>
      <c r="AO492" s="10"/>
      <c r="AP492" s="11">
        <v>0</v>
      </c>
      <c r="AQ492" s="10"/>
      <c r="AR492" s="10"/>
      <c r="AS492" s="11">
        <v>0</v>
      </c>
      <c r="AT492" s="10"/>
      <c r="AU492" s="10"/>
      <c r="AV492" s="11">
        <v>0</v>
      </c>
      <c r="AW492" s="10"/>
      <c r="AX492" s="10"/>
      <c r="AY492" s="11">
        <v>0</v>
      </c>
      <c r="AZ492" s="10"/>
      <c r="BA492" s="10"/>
      <c r="BB492" s="11">
        <v>0</v>
      </c>
      <c r="BC492" s="10"/>
      <c r="BD492" s="10"/>
      <c r="BE492" s="11">
        <v>0</v>
      </c>
      <c r="BF492" s="10"/>
      <c r="BG492" s="10"/>
      <c r="BH492" s="11">
        <v>0</v>
      </c>
      <c r="BI492" s="10"/>
      <c r="BJ492" s="10"/>
      <c r="BK492" s="11">
        <v>0</v>
      </c>
      <c r="BL492" s="10"/>
      <c r="BM492" s="10"/>
      <c r="BN492" s="11">
        <v>0</v>
      </c>
      <c r="BO492" s="10"/>
      <c r="BP492" s="10"/>
      <c r="BQ492" s="11">
        <v>0</v>
      </c>
      <c r="BR492" s="10"/>
      <c r="BS492" s="10"/>
      <c r="BT492" s="11">
        <v>0</v>
      </c>
      <c r="BU492" s="10"/>
      <c r="BV492" s="10"/>
      <c r="BW492" s="11">
        <v>0</v>
      </c>
      <c r="BX492" s="10"/>
      <c r="BY492" s="10"/>
      <c r="BZ492" s="11">
        <v>0</v>
      </c>
      <c r="CA492" s="10"/>
      <c r="CB492" s="10"/>
      <c r="CC492" s="11">
        <v>0</v>
      </c>
      <c r="CD492" s="10"/>
      <c r="CE492" s="10"/>
      <c r="CF492" s="11">
        <v>0</v>
      </c>
      <c r="CG492" s="10"/>
      <c r="CH492" s="10"/>
      <c r="CI492" s="11">
        <v>0</v>
      </c>
      <c r="CJ492" s="10"/>
      <c r="CK492" s="10"/>
      <c r="CL492" s="11">
        <v>0</v>
      </c>
      <c r="CM492" s="10"/>
      <c r="CN492" s="10"/>
      <c r="CO492" s="11">
        <v>0</v>
      </c>
      <c r="CP492" s="10"/>
      <c r="CQ492" s="10"/>
      <c r="CR492" s="11">
        <v>0</v>
      </c>
      <c r="CS492" s="10"/>
      <c r="CT492" s="10"/>
      <c r="CU492" s="11">
        <v>0</v>
      </c>
      <c r="CV492" s="10"/>
      <c r="CW492" s="10"/>
      <c r="CX492" s="11">
        <v>0</v>
      </c>
      <c r="CY492" s="10"/>
      <c r="CZ492" s="10"/>
      <c r="DA492" s="11">
        <v>0</v>
      </c>
      <c r="DB492" s="10"/>
      <c r="DC492" s="10"/>
      <c r="DD492" s="13">
        <v>0</v>
      </c>
      <c r="DE492" s="14"/>
    </row>
    <row r="493" spans="1:109" x14ac:dyDescent="0.35">
      <c r="A493" s="8" t="s">
        <v>1049</v>
      </c>
      <c r="B493" s="9" t="s">
        <v>59</v>
      </c>
      <c r="C493" s="9" t="s">
        <v>43</v>
      </c>
      <c r="D493" s="9" t="s">
        <v>1050</v>
      </c>
      <c r="E493" s="9" t="s">
        <v>61</v>
      </c>
      <c r="F493" s="9" t="s">
        <v>62</v>
      </c>
      <c r="G493" s="10"/>
      <c r="H493" s="10"/>
      <c r="I493" s="11">
        <v>0</v>
      </c>
      <c r="J493" s="10"/>
      <c r="K493" s="10"/>
      <c r="L493" s="12">
        <v>0</v>
      </c>
      <c r="M493" s="10"/>
      <c r="N493" s="10"/>
      <c r="O493" s="11">
        <v>0</v>
      </c>
      <c r="P493" s="10"/>
      <c r="Q493" s="10"/>
      <c r="R493" s="11">
        <v>0</v>
      </c>
      <c r="S493" s="10"/>
      <c r="T493" s="10"/>
      <c r="U493" s="11">
        <v>0</v>
      </c>
      <c r="V493" s="10"/>
      <c r="W493" s="10"/>
      <c r="X493" s="11">
        <v>0</v>
      </c>
      <c r="Y493" s="10"/>
      <c r="Z493" s="10"/>
      <c r="AA493" s="11"/>
      <c r="AB493" s="10"/>
      <c r="AC493" s="10"/>
      <c r="AD493" s="11">
        <v>0</v>
      </c>
      <c r="AE493" s="10"/>
      <c r="AF493" s="10"/>
      <c r="AG493" s="11">
        <v>0</v>
      </c>
      <c r="AH493" s="10"/>
      <c r="AI493" s="10"/>
      <c r="AJ493" s="11">
        <v>0</v>
      </c>
      <c r="AK493" s="10"/>
      <c r="AL493" s="10"/>
      <c r="AM493" s="11">
        <v>0</v>
      </c>
      <c r="AN493" s="10"/>
      <c r="AO493" s="10"/>
      <c r="AP493" s="11">
        <v>0</v>
      </c>
      <c r="AQ493" s="10"/>
      <c r="AR493" s="10"/>
      <c r="AS493" s="11">
        <v>0</v>
      </c>
      <c r="AT493" s="10"/>
      <c r="AU493" s="10"/>
      <c r="AV493" s="11">
        <v>0</v>
      </c>
      <c r="AW493" s="10"/>
      <c r="AX493" s="10"/>
      <c r="AY493" s="11">
        <v>0</v>
      </c>
      <c r="AZ493" s="10"/>
      <c r="BA493" s="10"/>
      <c r="BB493" s="11">
        <v>0</v>
      </c>
      <c r="BC493" s="10"/>
      <c r="BD493" s="10"/>
      <c r="BE493" s="11">
        <v>0</v>
      </c>
      <c r="BF493" s="10"/>
      <c r="BG493" s="10"/>
      <c r="BH493" s="11">
        <v>0</v>
      </c>
      <c r="BI493" s="10"/>
      <c r="BJ493" s="10"/>
      <c r="BK493" s="11">
        <v>0</v>
      </c>
      <c r="BL493" s="10"/>
      <c r="BM493" s="10"/>
      <c r="BN493" s="11">
        <v>0</v>
      </c>
      <c r="BO493" s="10"/>
      <c r="BP493" s="10"/>
      <c r="BQ493" s="11">
        <v>0</v>
      </c>
      <c r="BR493" s="10"/>
      <c r="BS493" s="10"/>
      <c r="BT493" s="11">
        <v>0</v>
      </c>
      <c r="BU493" s="10"/>
      <c r="BV493" s="10"/>
      <c r="BW493" s="11">
        <v>0</v>
      </c>
      <c r="BX493" s="10"/>
      <c r="BY493" s="10"/>
      <c r="BZ493" s="11">
        <v>0</v>
      </c>
      <c r="CA493" s="10"/>
      <c r="CB493" s="10"/>
      <c r="CC493" s="11">
        <v>0</v>
      </c>
      <c r="CD493" s="10"/>
      <c r="CE493" s="10"/>
      <c r="CF493" s="11">
        <v>0</v>
      </c>
      <c r="CG493" s="10"/>
      <c r="CH493" s="10"/>
      <c r="CI493" s="11">
        <v>0</v>
      </c>
      <c r="CJ493" s="10"/>
      <c r="CK493" s="10"/>
      <c r="CL493" s="11">
        <v>0</v>
      </c>
      <c r="CM493" s="10"/>
      <c r="CN493" s="10"/>
      <c r="CO493" s="11">
        <v>0</v>
      </c>
      <c r="CP493" s="10"/>
      <c r="CQ493" s="10"/>
      <c r="CR493" s="11">
        <v>0</v>
      </c>
      <c r="CS493" s="10"/>
      <c r="CT493" s="10"/>
      <c r="CU493" s="11">
        <v>0</v>
      </c>
      <c r="CV493" s="10"/>
      <c r="CW493" s="10"/>
      <c r="CX493" s="11">
        <v>0</v>
      </c>
      <c r="CY493" s="10"/>
      <c r="CZ493" s="10"/>
      <c r="DA493" s="11">
        <v>0</v>
      </c>
      <c r="DB493" s="10"/>
      <c r="DC493" s="10"/>
      <c r="DD493" s="13">
        <v>0</v>
      </c>
      <c r="DE493" s="14"/>
    </row>
    <row r="494" spans="1:109" x14ac:dyDescent="0.35">
      <c r="A494" s="8" t="s">
        <v>1051</v>
      </c>
      <c r="B494" s="9" t="s">
        <v>48</v>
      </c>
      <c r="C494" s="9" t="s">
        <v>43</v>
      </c>
      <c r="D494" s="9" t="s">
        <v>1052</v>
      </c>
      <c r="E494" s="9" t="s">
        <v>45</v>
      </c>
      <c r="F494" s="9" t="s">
        <v>46</v>
      </c>
      <c r="G494" s="10"/>
      <c r="H494" s="10"/>
      <c r="I494" s="11">
        <v>0</v>
      </c>
      <c r="J494" s="10"/>
      <c r="K494" s="10"/>
      <c r="L494" s="12">
        <v>0</v>
      </c>
      <c r="M494" s="10"/>
      <c r="N494" s="10"/>
      <c r="O494" s="11">
        <v>0</v>
      </c>
      <c r="P494" s="10"/>
      <c r="Q494" s="10"/>
      <c r="R494" s="11">
        <v>0</v>
      </c>
      <c r="S494" s="10"/>
      <c r="T494" s="10"/>
      <c r="U494" s="11">
        <v>0</v>
      </c>
      <c r="V494" s="10"/>
      <c r="W494" s="10"/>
      <c r="X494" s="11">
        <v>0</v>
      </c>
      <c r="Y494" s="10"/>
      <c r="Z494" s="10"/>
      <c r="AA494" s="11"/>
      <c r="AB494" s="10"/>
      <c r="AC494" s="10"/>
      <c r="AD494" s="11">
        <v>0</v>
      </c>
      <c r="AE494" s="10"/>
      <c r="AF494" s="10"/>
      <c r="AG494" s="11">
        <v>0</v>
      </c>
      <c r="AH494" s="10"/>
      <c r="AI494" s="10"/>
      <c r="AJ494" s="11">
        <v>0</v>
      </c>
      <c r="AK494" s="10"/>
      <c r="AL494" s="10"/>
      <c r="AM494" s="11">
        <v>0</v>
      </c>
      <c r="AN494" s="10"/>
      <c r="AO494" s="10"/>
      <c r="AP494" s="11">
        <v>0</v>
      </c>
      <c r="AQ494" s="10"/>
      <c r="AR494" s="10"/>
      <c r="AS494" s="11">
        <v>0</v>
      </c>
      <c r="AT494" s="10"/>
      <c r="AU494" s="10"/>
      <c r="AV494" s="11">
        <v>0</v>
      </c>
      <c r="AW494" s="10"/>
      <c r="AX494" s="10"/>
      <c r="AY494" s="11">
        <v>0</v>
      </c>
      <c r="AZ494" s="10"/>
      <c r="BA494" s="10"/>
      <c r="BB494" s="11">
        <v>0</v>
      </c>
      <c r="BC494" s="10"/>
      <c r="BD494" s="10"/>
      <c r="BE494" s="11">
        <v>0</v>
      </c>
      <c r="BF494" s="10"/>
      <c r="BG494" s="10"/>
      <c r="BH494" s="11">
        <v>0</v>
      </c>
      <c r="BI494" s="10"/>
      <c r="BJ494" s="10"/>
      <c r="BK494" s="11">
        <v>0</v>
      </c>
      <c r="BL494" s="10"/>
      <c r="BM494" s="10"/>
      <c r="BN494" s="11">
        <v>0</v>
      </c>
      <c r="BO494" s="10"/>
      <c r="BP494" s="10"/>
      <c r="BQ494" s="11">
        <v>0</v>
      </c>
      <c r="BR494" s="10"/>
      <c r="BS494" s="10"/>
      <c r="BT494" s="11">
        <v>0</v>
      </c>
      <c r="BU494" s="10"/>
      <c r="BV494" s="10"/>
      <c r="BW494" s="11">
        <v>0</v>
      </c>
      <c r="BX494" s="10"/>
      <c r="BY494" s="10"/>
      <c r="BZ494" s="11">
        <v>0</v>
      </c>
      <c r="CA494" s="10"/>
      <c r="CB494" s="10"/>
      <c r="CC494" s="11">
        <v>0</v>
      </c>
      <c r="CD494" s="10"/>
      <c r="CE494" s="10"/>
      <c r="CF494" s="11">
        <v>0</v>
      </c>
      <c r="CG494" s="10"/>
      <c r="CH494" s="10"/>
      <c r="CI494" s="11">
        <v>0</v>
      </c>
      <c r="CJ494" s="10"/>
      <c r="CK494" s="10"/>
      <c r="CL494" s="11">
        <v>0</v>
      </c>
      <c r="CM494" s="10"/>
      <c r="CN494" s="10"/>
      <c r="CO494" s="11">
        <v>0</v>
      </c>
      <c r="CP494" s="10"/>
      <c r="CQ494" s="10"/>
      <c r="CR494" s="11">
        <v>0</v>
      </c>
      <c r="CS494" s="10"/>
      <c r="CT494" s="10"/>
      <c r="CU494" s="11">
        <v>0</v>
      </c>
      <c r="CV494" s="10"/>
      <c r="CW494" s="10"/>
      <c r="CX494" s="11">
        <v>0</v>
      </c>
      <c r="CY494" s="10"/>
      <c r="CZ494" s="10"/>
      <c r="DA494" s="11">
        <v>0</v>
      </c>
      <c r="DB494" s="10"/>
      <c r="DC494" s="10"/>
      <c r="DD494" s="13">
        <v>0</v>
      </c>
      <c r="DE494" s="14"/>
    </row>
    <row r="495" spans="1:109" x14ac:dyDescent="0.35">
      <c r="A495" s="8" t="s">
        <v>1053</v>
      </c>
      <c r="B495" s="9" t="s">
        <v>48</v>
      </c>
      <c r="C495" s="9" t="s">
        <v>43</v>
      </c>
      <c r="D495" s="9" t="s">
        <v>1054</v>
      </c>
      <c r="E495" s="9" t="s">
        <v>45</v>
      </c>
      <c r="F495" s="9" t="s">
        <v>46</v>
      </c>
      <c r="G495" s="10"/>
      <c r="H495" s="10"/>
      <c r="I495" s="11">
        <v>0</v>
      </c>
      <c r="J495" s="10"/>
      <c r="K495" s="10"/>
      <c r="L495" s="12">
        <v>0</v>
      </c>
      <c r="M495" s="10"/>
      <c r="N495" s="10"/>
      <c r="O495" s="11">
        <v>0</v>
      </c>
      <c r="P495" s="10"/>
      <c r="Q495" s="10"/>
      <c r="R495" s="11">
        <v>0</v>
      </c>
      <c r="S495" s="10"/>
      <c r="T495" s="10"/>
      <c r="U495" s="11">
        <v>0</v>
      </c>
      <c r="V495" s="10"/>
      <c r="W495" s="10"/>
      <c r="X495" s="11">
        <v>0</v>
      </c>
      <c r="Y495" s="10"/>
      <c r="Z495" s="10"/>
      <c r="AA495" s="11"/>
      <c r="AB495" s="10"/>
      <c r="AC495" s="10"/>
      <c r="AD495" s="11">
        <v>0</v>
      </c>
      <c r="AE495" s="10"/>
      <c r="AF495" s="10"/>
      <c r="AG495" s="11">
        <v>0</v>
      </c>
      <c r="AH495" s="10"/>
      <c r="AI495" s="10"/>
      <c r="AJ495" s="11">
        <v>0</v>
      </c>
      <c r="AK495" s="10"/>
      <c r="AL495" s="10"/>
      <c r="AM495" s="11">
        <v>0</v>
      </c>
      <c r="AN495" s="10"/>
      <c r="AO495" s="10"/>
      <c r="AP495" s="11">
        <v>0</v>
      </c>
      <c r="AQ495" s="10"/>
      <c r="AR495" s="10"/>
      <c r="AS495" s="11">
        <v>0</v>
      </c>
      <c r="AT495" s="10"/>
      <c r="AU495" s="10"/>
      <c r="AV495" s="11">
        <v>0</v>
      </c>
      <c r="AW495" s="10"/>
      <c r="AX495" s="10"/>
      <c r="AY495" s="11">
        <v>0</v>
      </c>
      <c r="AZ495" s="10"/>
      <c r="BA495" s="10"/>
      <c r="BB495" s="11">
        <v>0</v>
      </c>
      <c r="BC495" s="10"/>
      <c r="BD495" s="10"/>
      <c r="BE495" s="11">
        <v>0</v>
      </c>
      <c r="BF495" s="10"/>
      <c r="BG495" s="10"/>
      <c r="BH495" s="11">
        <v>0</v>
      </c>
      <c r="BI495" s="10"/>
      <c r="BJ495" s="10"/>
      <c r="BK495" s="11">
        <v>0</v>
      </c>
      <c r="BL495" s="10"/>
      <c r="BM495" s="10"/>
      <c r="BN495" s="11">
        <v>0</v>
      </c>
      <c r="BO495" s="10"/>
      <c r="BP495" s="10"/>
      <c r="BQ495" s="11">
        <v>0</v>
      </c>
      <c r="BR495" s="10"/>
      <c r="BS495" s="10"/>
      <c r="BT495" s="11">
        <v>0</v>
      </c>
      <c r="BU495" s="10"/>
      <c r="BV495" s="10"/>
      <c r="BW495" s="11">
        <v>0</v>
      </c>
      <c r="BX495" s="10"/>
      <c r="BY495" s="10"/>
      <c r="BZ495" s="11">
        <v>0</v>
      </c>
      <c r="CA495" s="10"/>
      <c r="CB495" s="10"/>
      <c r="CC495" s="11">
        <v>0</v>
      </c>
      <c r="CD495" s="10"/>
      <c r="CE495" s="10"/>
      <c r="CF495" s="11">
        <v>0</v>
      </c>
      <c r="CG495" s="10"/>
      <c r="CH495" s="10"/>
      <c r="CI495" s="11">
        <v>0</v>
      </c>
      <c r="CJ495" s="10"/>
      <c r="CK495" s="10"/>
      <c r="CL495" s="11">
        <v>0</v>
      </c>
      <c r="CM495" s="10"/>
      <c r="CN495" s="10"/>
      <c r="CO495" s="11">
        <v>0</v>
      </c>
      <c r="CP495" s="10"/>
      <c r="CQ495" s="10"/>
      <c r="CR495" s="11">
        <v>0</v>
      </c>
      <c r="CS495" s="10"/>
      <c r="CT495" s="10"/>
      <c r="CU495" s="11">
        <v>0</v>
      </c>
      <c r="CV495" s="10"/>
      <c r="CW495" s="10"/>
      <c r="CX495" s="11">
        <v>0</v>
      </c>
      <c r="CY495" s="10"/>
      <c r="CZ495" s="10"/>
      <c r="DA495" s="11">
        <v>0</v>
      </c>
      <c r="DB495" s="10"/>
      <c r="DC495" s="10"/>
      <c r="DD495" s="13">
        <v>0</v>
      </c>
      <c r="DE495" s="14"/>
    </row>
    <row r="496" spans="1:109" x14ac:dyDescent="0.35">
      <c r="A496" s="8" t="s">
        <v>1055</v>
      </c>
      <c r="B496" s="9" t="s">
        <v>59</v>
      </c>
      <c r="C496" s="9" t="s">
        <v>43</v>
      </c>
      <c r="D496" s="9" t="s">
        <v>1056</v>
      </c>
      <c r="E496" s="9" t="s">
        <v>61</v>
      </c>
      <c r="F496" s="9" t="s">
        <v>62</v>
      </c>
      <c r="G496" s="10"/>
      <c r="H496" s="10"/>
      <c r="I496" s="11">
        <v>0</v>
      </c>
      <c r="J496" s="10"/>
      <c r="K496" s="10"/>
      <c r="L496" s="12">
        <v>0</v>
      </c>
      <c r="M496" s="10"/>
      <c r="N496" s="10"/>
      <c r="O496" s="11">
        <v>0</v>
      </c>
      <c r="P496" s="10"/>
      <c r="Q496" s="10"/>
      <c r="R496" s="11">
        <v>0</v>
      </c>
      <c r="S496" s="10"/>
      <c r="T496" s="10"/>
      <c r="U496" s="11">
        <v>0</v>
      </c>
      <c r="V496" s="10"/>
      <c r="W496" s="10"/>
      <c r="X496" s="11">
        <v>0</v>
      </c>
      <c r="Y496" s="10"/>
      <c r="Z496" s="10"/>
      <c r="AA496" s="11"/>
      <c r="AB496" s="10"/>
      <c r="AC496" s="10"/>
      <c r="AD496" s="11">
        <v>0</v>
      </c>
      <c r="AE496" s="10"/>
      <c r="AF496" s="10"/>
      <c r="AG496" s="11">
        <v>0</v>
      </c>
      <c r="AH496" s="10"/>
      <c r="AI496" s="10"/>
      <c r="AJ496" s="11">
        <v>0</v>
      </c>
      <c r="AK496" s="10"/>
      <c r="AL496" s="10"/>
      <c r="AM496" s="11">
        <v>0</v>
      </c>
      <c r="AN496" s="10"/>
      <c r="AO496" s="10"/>
      <c r="AP496" s="11">
        <v>0</v>
      </c>
      <c r="AQ496" s="10"/>
      <c r="AR496" s="10"/>
      <c r="AS496" s="11">
        <v>0</v>
      </c>
      <c r="AT496" s="10"/>
      <c r="AU496" s="10"/>
      <c r="AV496" s="11">
        <v>0</v>
      </c>
      <c r="AW496" s="10"/>
      <c r="AX496" s="10"/>
      <c r="AY496" s="11">
        <v>0</v>
      </c>
      <c r="AZ496" s="10"/>
      <c r="BA496" s="10"/>
      <c r="BB496" s="11">
        <v>0</v>
      </c>
      <c r="BC496" s="10"/>
      <c r="BD496" s="10"/>
      <c r="BE496" s="11">
        <v>0</v>
      </c>
      <c r="BF496" s="10"/>
      <c r="BG496" s="10"/>
      <c r="BH496" s="11">
        <v>0</v>
      </c>
      <c r="BI496" s="10"/>
      <c r="BJ496" s="10"/>
      <c r="BK496" s="11">
        <v>0</v>
      </c>
      <c r="BL496" s="10"/>
      <c r="BM496" s="10"/>
      <c r="BN496" s="11">
        <v>0</v>
      </c>
      <c r="BO496" s="10"/>
      <c r="BP496" s="10"/>
      <c r="BQ496" s="11">
        <v>0</v>
      </c>
      <c r="BR496" s="10"/>
      <c r="BS496" s="10"/>
      <c r="BT496" s="11">
        <v>0</v>
      </c>
      <c r="BU496" s="10"/>
      <c r="BV496" s="10"/>
      <c r="BW496" s="11">
        <v>0</v>
      </c>
      <c r="BX496" s="10"/>
      <c r="BY496" s="10"/>
      <c r="BZ496" s="11">
        <v>0</v>
      </c>
      <c r="CA496" s="10"/>
      <c r="CB496" s="10"/>
      <c r="CC496" s="11">
        <v>0</v>
      </c>
      <c r="CD496" s="10"/>
      <c r="CE496" s="10"/>
      <c r="CF496" s="11">
        <v>0</v>
      </c>
      <c r="CG496" s="10"/>
      <c r="CH496" s="10"/>
      <c r="CI496" s="11">
        <v>0</v>
      </c>
      <c r="CJ496" s="10"/>
      <c r="CK496" s="10"/>
      <c r="CL496" s="11">
        <v>0</v>
      </c>
      <c r="CM496" s="10"/>
      <c r="CN496" s="10"/>
      <c r="CO496" s="11">
        <v>0</v>
      </c>
      <c r="CP496" s="10"/>
      <c r="CQ496" s="10"/>
      <c r="CR496" s="11">
        <v>0</v>
      </c>
      <c r="CS496" s="10"/>
      <c r="CT496" s="10"/>
      <c r="CU496" s="11">
        <v>0</v>
      </c>
      <c r="CV496" s="10"/>
      <c r="CW496" s="10"/>
      <c r="CX496" s="11">
        <v>0</v>
      </c>
      <c r="CY496" s="10"/>
      <c r="CZ496" s="10"/>
      <c r="DA496" s="11">
        <v>0</v>
      </c>
      <c r="DB496" s="10"/>
      <c r="DC496" s="10"/>
      <c r="DD496" s="13">
        <v>0</v>
      </c>
      <c r="DE496" s="14"/>
    </row>
    <row r="497" spans="1:109" x14ac:dyDescent="0.35">
      <c r="A497" s="8" t="s">
        <v>1057</v>
      </c>
      <c r="B497" s="9" t="s">
        <v>59</v>
      </c>
      <c r="C497" s="9" t="s">
        <v>43</v>
      </c>
      <c r="D497" s="9" t="s">
        <v>1058</v>
      </c>
      <c r="E497" s="9" t="s">
        <v>61</v>
      </c>
      <c r="F497" s="9" t="s">
        <v>62</v>
      </c>
      <c r="G497" s="10"/>
      <c r="H497" s="10"/>
      <c r="I497" s="11">
        <v>0</v>
      </c>
      <c r="J497" s="10"/>
      <c r="K497" s="10"/>
      <c r="L497" s="12">
        <v>0</v>
      </c>
      <c r="M497" s="10"/>
      <c r="N497" s="10"/>
      <c r="O497" s="11">
        <v>0</v>
      </c>
      <c r="P497" s="10"/>
      <c r="Q497" s="10"/>
      <c r="R497" s="11">
        <v>0</v>
      </c>
      <c r="S497" s="10"/>
      <c r="T497" s="10"/>
      <c r="U497" s="11">
        <v>0</v>
      </c>
      <c r="V497" s="10"/>
      <c r="W497" s="10"/>
      <c r="X497" s="11">
        <v>0</v>
      </c>
      <c r="Y497" s="10"/>
      <c r="Z497" s="10"/>
      <c r="AA497" s="11"/>
      <c r="AB497" s="10"/>
      <c r="AC497" s="10"/>
      <c r="AD497" s="11">
        <v>0</v>
      </c>
      <c r="AE497" s="10">
        <v>150000</v>
      </c>
      <c r="AF497" s="10"/>
      <c r="AG497" s="11">
        <f t="shared" ref="AG497" si="582">AF497/AE497</f>
        <v>0</v>
      </c>
      <c r="AH497" s="10"/>
      <c r="AI497" s="10"/>
      <c r="AJ497" s="11">
        <v>0</v>
      </c>
      <c r="AK497" s="10"/>
      <c r="AL497" s="10"/>
      <c r="AM497" s="11">
        <v>0</v>
      </c>
      <c r="AN497" s="10"/>
      <c r="AO497" s="10"/>
      <c r="AP497" s="11">
        <v>0</v>
      </c>
      <c r="AQ497" s="10"/>
      <c r="AR497" s="10"/>
      <c r="AS497" s="11">
        <v>0</v>
      </c>
      <c r="AT497" s="10"/>
      <c r="AU497" s="10"/>
      <c r="AV497" s="11">
        <v>0</v>
      </c>
      <c r="AW497" s="10"/>
      <c r="AX497" s="10"/>
      <c r="AY497" s="11">
        <v>0</v>
      </c>
      <c r="AZ497" s="10"/>
      <c r="BA497" s="10"/>
      <c r="BB497" s="11">
        <v>0</v>
      </c>
      <c r="BC497" s="10"/>
      <c r="BD497" s="10"/>
      <c r="BE497" s="11">
        <v>0</v>
      </c>
      <c r="BF497" s="10"/>
      <c r="BG497" s="10"/>
      <c r="BH497" s="11">
        <v>0</v>
      </c>
      <c r="BI497" s="10"/>
      <c r="BJ497" s="10"/>
      <c r="BK497" s="11">
        <v>0</v>
      </c>
      <c r="BL497" s="10"/>
      <c r="BM497" s="10"/>
      <c r="BN497" s="11">
        <v>0</v>
      </c>
      <c r="BO497" s="10"/>
      <c r="BP497" s="10"/>
      <c r="BQ497" s="11">
        <v>0</v>
      </c>
      <c r="BR497" s="10"/>
      <c r="BS497" s="10"/>
      <c r="BT497" s="11">
        <v>0</v>
      </c>
      <c r="BU497" s="10"/>
      <c r="BV497" s="10"/>
      <c r="BW497" s="11">
        <v>0</v>
      </c>
      <c r="BX497" s="10"/>
      <c r="BY497" s="10"/>
      <c r="BZ497" s="11">
        <v>0</v>
      </c>
      <c r="CA497" s="10"/>
      <c r="CB497" s="10"/>
      <c r="CC497" s="11">
        <v>0</v>
      </c>
      <c r="CD497" s="10"/>
      <c r="CE497" s="10"/>
      <c r="CF497" s="11">
        <v>0</v>
      </c>
      <c r="CG497" s="10"/>
      <c r="CH497" s="10"/>
      <c r="CI497" s="11">
        <v>0</v>
      </c>
      <c r="CJ497" s="10"/>
      <c r="CK497" s="10"/>
      <c r="CL497" s="11">
        <v>0</v>
      </c>
      <c r="CM497" s="10"/>
      <c r="CN497" s="10"/>
      <c r="CO497" s="11">
        <v>0</v>
      </c>
      <c r="CP497" s="10"/>
      <c r="CQ497" s="10"/>
      <c r="CR497" s="11">
        <v>0</v>
      </c>
      <c r="CS497" s="10"/>
      <c r="CT497" s="10"/>
      <c r="CU497" s="11">
        <v>0</v>
      </c>
      <c r="CV497" s="10"/>
      <c r="CW497" s="10"/>
      <c r="CX497" s="11">
        <v>0</v>
      </c>
      <c r="CY497" s="10"/>
      <c r="CZ497" s="10"/>
      <c r="DA497" s="11">
        <v>0</v>
      </c>
      <c r="DB497" s="10">
        <v>150000</v>
      </c>
      <c r="DC497" s="10"/>
      <c r="DD497" s="15">
        <f t="shared" ref="DD497" si="583">DC497/DB497</f>
        <v>0</v>
      </c>
      <c r="DE497" s="16"/>
    </row>
    <row r="498" spans="1:109" x14ac:dyDescent="0.35">
      <c r="A498" s="8" t="s">
        <v>1059</v>
      </c>
      <c r="B498" s="9" t="s">
        <v>77</v>
      </c>
      <c r="C498" s="9" t="s">
        <v>43</v>
      </c>
      <c r="D498" s="9" t="s">
        <v>1060</v>
      </c>
      <c r="E498" s="9" t="s">
        <v>61</v>
      </c>
      <c r="F498" s="9" t="s">
        <v>62</v>
      </c>
      <c r="G498" s="10"/>
      <c r="H498" s="10"/>
      <c r="I498" s="11">
        <v>0</v>
      </c>
      <c r="J498" s="10"/>
      <c r="K498" s="10"/>
      <c r="L498" s="12">
        <v>0</v>
      </c>
      <c r="M498" s="10"/>
      <c r="N498" s="10"/>
      <c r="O498" s="11">
        <v>0</v>
      </c>
      <c r="P498" s="10"/>
      <c r="Q498" s="10"/>
      <c r="R498" s="11">
        <v>0</v>
      </c>
      <c r="S498" s="10"/>
      <c r="T498" s="10"/>
      <c r="U498" s="11">
        <v>0</v>
      </c>
      <c r="V498" s="10"/>
      <c r="W498" s="10"/>
      <c r="X498" s="11">
        <v>0</v>
      </c>
      <c r="Y498" s="10"/>
      <c r="Z498" s="10"/>
      <c r="AA498" s="11"/>
      <c r="AB498" s="10"/>
      <c r="AC498" s="10"/>
      <c r="AD498" s="11">
        <v>0</v>
      </c>
      <c r="AE498" s="10"/>
      <c r="AF498" s="10"/>
      <c r="AG498" s="11">
        <v>0</v>
      </c>
      <c r="AH498" s="10"/>
      <c r="AI498" s="10"/>
      <c r="AJ498" s="11">
        <v>0</v>
      </c>
      <c r="AK498" s="10"/>
      <c r="AL498" s="10"/>
      <c r="AM498" s="11">
        <v>0</v>
      </c>
      <c r="AN498" s="10"/>
      <c r="AO498" s="10"/>
      <c r="AP498" s="11">
        <v>0</v>
      </c>
      <c r="AQ498" s="10"/>
      <c r="AR498" s="10"/>
      <c r="AS498" s="11">
        <v>0</v>
      </c>
      <c r="AT498" s="10"/>
      <c r="AU498" s="10"/>
      <c r="AV498" s="11">
        <v>0</v>
      </c>
      <c r="AW498" s="10"/>
      <c r="AX498" s="10"/>
      <c r="AY498" s="11">
        <v>0</v>
      </c>
      <c r="AZ498" s="10"/>
      <c r="BA498" s="10"/>
      <c r="BB498" s="11">
        <v>0</v>
      </c>
      <c r="BC498" s="10"/>
      <c r="BD498" s="10"/>
      <c r="BE498" s="11">
        <v>0</v>
      </c>
      <c r="BF498" s="10"/>
      <c r="BG498" s="10"/>
      <c r="BH498" s="11">
        <v>0</v>
      </c>
      <c r="BI498" s="10"/>
      <c r="BJ498" s="10"/>
      <c r="BK498" s="11">
        <v>0</v>
      </c>
      <c r="BL498" s="10"/>
      <c r="BM498" s="10"/>
      <c r="BN498" s="11">
        <v>0</v>
      </c>
      <c r="BO498" s="10"/>
      <c r="BP498" s="10"/>
      <c r="BQ498" s="11">
        <v>0</v>
      </c>
      <c r="BR498" s="10"/>
      <c r="BS498" s="10"/>
      <c r="BT498" s="11">
        <v>0</v>
      </c>
      <c r="BU498" s="10"/>
      <c r="BV498" s="10"/>
      <c r="BW498" s="11">
        <v>0</v>
      </c>
      <c r="BX498" s="10"/>
      <c r="BY498" s="10"/>
      <c r="BZ498" s="11">
        <v>0</v>
      </c>
      <c r="CA498" s="10"/>
      <c r="CB498" s="10"/>
      <c r="CC498" s="11">
        <v>0</v>
      </c>
      <c r="CD498" s="10"/>
      <c r="CE498" s="10"/>
      <c r="CF498" s="11">
        <v>0</v>
      </c>
      <c r="CG498" s="10"/>
      <c r="CH498" s="10"/>
      <c r="CI498" s="11">
        <v>0</v>
      </c>
      <c r="CJ498" s="10"/>
      <c r="CK498" s="10"/>
      <c r="CL498" s="11">
        <v>0</v>
      </c>
      <c r="CM498" s="10"/>
      <c r="CN498" s="10"/>
      <c r="CO498" s="11">
        <v>0</v>
      </c>
      <c r="CP498" s="10"/>
      <c r="CQ498" s="10"/>
      <c r="CR498" s="11">
        <v>0</v>
      </c>
      <c r="CS498" s="10"/>
      <c r="CT498" s="10"/>
      <c r="CU498" s="11">
        <v>0</v>
      </c>
      <c r="CV498" s="10"/>
      <c r="CW498" s="10"/>
      <c r="CX498" s="11">
        <v>0</v>
      </c>
      <c r="CY498" s="10"/>
      <c r="CZ498" s="10"/>
      <c r="DA498" s="11">
        <v>0</v>
      </c>
      <c r="DB498" s="10"/>
      <c r="DC498" s="10"/>
      <c r="DD498" s="13">
        <v>0</v>
      </c>
      <c r="DE498" s="14"/>
    </row>
    <row r="499" spans="1:109" x14ac:dyDescent="0.35">
      <c r="A499" s="8" t="s">
        <v>1061</v>
      </c>
      <c r="B499" s="9" t="s">
        <v>48</v>
      </c>
      <c r="C499" s="9" t="s">
        <v>43</v>
      </c>
      <c r="D499" s="9" t="s">
        <v>1062</v>
      </c>
      <c r="E499" s="9" t="s">
        <v>45</v>
      </c>
      <c r="F499" s="9" t="s">
        <v>46</v>
      </c>
      <c r="G499" s="10"/>
      <c r="H499" s="10"/>
      <c r="I499" s="11">
        <v>0</v>
      </c>
      <c r="J499" s="10"/>
      <c r="K499" s="10"/>
      <c r="L499" s="12">
        <v>0</v>
      </c>
      <c r="M499" s="10"/>
      <c r="N499" s="10"/>
      <c r="O499" s="11">
        <v>0</v>
      </c>
      <c r="P499" s="10"/>
      <c r="Q499" s="10"/>
      <c r="R499" s="11">
        <v>0</v>
      </c>
      <c r="S499" s="10"/>
      <c r="T499" s="10"/>
      <c r="U499" s="11">
        <v>0</v>
      </c>
      <c r="V499" s="10"/>
      <c r="W499" s="10"/>
      <c r="X499" s="11">
        <v>0</v>
      </c>
      <c r="Y499" s="10"/>
      <c r="Z499" s="10"/>
      <c r="AA499" s="11"/>
      <c r="AB499" s="10"/>
      <c r="AC499" s="10"/>
      <c r="AD499" s="11">
        <v>0</v>
      </c>
      <c r="AE499" s="10"/>
      <c r="AF499" s="10"/>
      <c r="AG499" s="11">
        <v>0</v>
      </c>
      <c r="AH499" s="10"/>
      <c r="AI499" s="10"/>
      <c r="AJ499" s="11">
        <v>0</v>
      </c>
      <c r="AK499" s="10"/>
      <c r="AL499" s="10"/>
      <c r="AM499" s="11">
        <v>0</v>
      </c>
      <c r="AN499" s="10"/>
      <c r="AO499" s="10"/>
      <c r="AP499" s="11">
        <v>0</v>
      </c>
      <c r="AQ499" s="10"/>
      <c r="AR499" s="10"/>
      <c r="AS499" s="11">
        <v>0</v>
      </c>
      <c r="AT499" s="10"/>
      <c r="AU499" s="10"/>
      <c r="AV499" s="11">
        <v>0</v>
      </c>
      <c r="AW499" s="10"/>
      <c r="AX499" s="10"/>
      <c r="AY499" s="11">
        <v>0</v>
      </c>
      <c r="AZ499" s="10"/>
      <c r="BA499" s="10"/>
      <c r="BB499" s="11">
        <v>0</v>
      </c>
      <c r="BC499" s="10"/>
      <c r="BD499" s="10"/>
      <c r="BE499" s="11">
        <v>0</v>
      </c>
      <c r="BF499" s="10"/>
      <c r="BG499" s="10"/>
      <c r="BH499" s="11">
        <v>0</v>
      </c>
      <c r="BI499" s="10"/>
      <c r="BJ499" s="10"/>
      <c r="BK499" s="11">
        <v>0</v>
      </c>
      <c r="BL499" s="10"/>
      <c r="BM499" s="10"/>
      <c r="BN499" s="11">
        <v>0</v>
      </c>
      <c r="BO499" s="10"/>
      <c r="BP499" s="10"/>
      <c r="BQ499" s="11">
        <v>0</v>
      </c>
      <c r="BR499" s="10"/>
      <c r="BS499" s="10"/>
      <c r="BT499" s="11">
        <v>0</v>
      </c>
      <c r="BU499" s="10"/>
      <c r="BV499" s="10"/>
      <c r="BW499" s="11">
        <v>0</v>
      </c>
      <c r="BX499" s="10"/>
      <c r="BY499" s="10"/>
      <c r="BZ499" s="11">
        <v>0</v>
      </c>
      <c r="CA499" s="10"/>
      <c r="CB499" s="10"/>
      <c r="CC499" s="11">
        <v>0</v>
      </c>
      <c r="CD499" s="10"/>
      <c r="CE499" s="10"/>
      <c r="CF499" s="11">
        <v>0</v>
      </c>
      <c r="CG499" s="10"/>
      <c r="CH499" s="10"/>
      <c r="CI499" s="11">
        <v>0</v>
      </c>
      <c r="CJ499" s="10"/>
      <c r="CK499" s="10"/>
      <c r="CL499" s="11">
        <v>0</v>
      </c>
      <c r="CM499" s="10"/>
      <c r="CN499" s="10"/>
      <c r="CO499" s="11">
        <v>0</v>
      </c>
      <c r="CP499" s="10"/>
      <c r="CQ499" s="10"/>
      <c r="CR499" s="11">
        <v>0</v>
      </c>
      <c r="CS499" s="10"/>
      <c r="CT499" s="10"/>
      <c r="CU499" s="11">
        <v>0</v>
      </c>
      <c r="CV499" s="10"/>
      <c r="CW499" s="10"/>
      <c r="CX499" s="11">
        <v>0</v>
      </c>
      <c r="CY499" s="10"/>
      <c r="CZ499" s="10"/>
      <c r="DA499" s="11">
        <v>0</v>
      </c>
      <c r="DB499" s="10"/>
      <c r="DC499" s="10"/>
      <c r="DD499" s="13">
        <v>0</v>
      </c>
      <c r="DE499" s="14"/>
    </row>
    <row r="500" spans="1:109" x14ac:dyDescent="0.35">
      <c r="A500" s="8" t="s">
        <v>1063</v>
      </c>
      <c r="B500" s="9" t="s">
        <v>77</v>
      </c>
      <c r="C500" s="9" t="s">
        <v>43</v>
      </c>
      <c r="D500" s="9" t="s">
        <v>1064</v>
      </c>
      <c r="E500" s="9" t="s">
        <v>61</v>
      </c>
      <c r="F500" s="9" t="s">
        <v>62</v>
      </c>
      <c r="G500" s="10"/>
      <c r="H500" s="10"/>
      <c r="I500" s="11">
        <v>0</v>
      </c>
      <c r="J500" s="10"/>
      <c r="K500" s="10"/>
      <c r="L500" s="12">
        <v>0</v>
      </c>
      <c r="M500" s="10"/>
      <c r="N500" s="10"/>
      <c r="O500" s="11">
        <v>0</v>
      </c>
      <c r="P500" s="10"/>
      <c r="Q500" s="10"/>
      <c r="R500" s="11">
        <v>0</v>
      </c>
      <c r="S500" s="10"/>
      <c r="T500" s="10"/>
      <c r="U500" s="11">
        <v>0</v>
      </c>
      <c r="V500" s="10"/>
      <c r="W500" s="10"/>
      <c r="X500" s="11">
        <v>0</v>
      </c>
      <c r="Y500" s="10"/>
      <c r="Z500" s="10"/>
      <c r="AA500" s="11"/>
      <c r="AB500" s="10"/>
      <c r="AC500" s="10"/>
      <c r="AD500" s="11">
        <v>0</v>
      </c>
      <c r="AE500" s="10"/>
      <c r="AF500" s="10"/>
      <c r="AG500" s="11">
        <v>0</v>
      </c>
      <c r="AH500" s="10"/>
      <c r="AI500" s="10"/>
      <c r="AJ500" s="11">
        <v>0</v>
      </c>
      <c r="AK500" s="10"/>
      <c r="AL500" s="10"/>
      <c r="AM500" s="11">
        <v>0</v>
      </c>
      <c r="AN500" s="10"/>
      <c r="AO500" s="10"/>
      <c r="AP500" s="11">
        <v>0</v>
      </c>
      <c r="AQ500" s="10"/>
      <c r="AR500" s="10"/>
      <c r="AS500" s="11">
        <v>0</v>
      </c>
      <c r="AT500" s="10"/>
      <c r="AU500" s="10"/>
      <c r="AV500" s="11">
        <v>0</v>
      </c>
      <c r="AW500" s="10"/>
      <c r="AX500" s="10"/>
      <c r="AY500" s="11">
        <v>0</v>
      </c>
      <c r="AZ500" s="10"/>
      <c r="BA500" s="10"/>
      <c r="BB500" s="11">
        <v>0</v>
      </c>
      <c r="BC500" s="10"/>
      <c r="BD500" s="10"/>
      <c r="BE500" s="11">
        <v>0</v>
      </c>
      <c r="BF500" s="10"/>
      <c r="BG500" s="10"/>
      <c r="BH500" s="11">
        <v>0</v>
      </c>
      <c r="BI500" s="10"/>
      <c r="BJ500" s="10"/>
      <c r="BK500" s="11">
        <v>0</v>
      </c>
      <c r="BL500" s="10"/>
      <c r="BM500" s="10"/>
      <c r="BN500" s="11">
        <v>0</v>
      </c>
      <c r="BO500" s="10"/>
      <c r="BP500" s="10"/>
      <c r="BQ500" s="11">
        <v>0</v>
      </c>
      <c r="BR500" s="10"/>
      <c r="BS500" s="10"/>
      <c r="BT500" s="11">
        <v>0</v>
      </c>
      <c r="BU500" s="10"/>
      <c r="BV500" s="10"/>
      <c r="BW500" s="11">
        <v>0</v>
      </c>
      <c r="BX500" s="10"/>
      <c r="BY500" s="10"/>
      <c r="BZ500" s="11">
        <v>0</v>
      </c>
      <c r="CA500" s="10"/>
      <c r="CB500" s="10"/>
      <c r="CC500" s="11">
        <v>0</v>
      </c>
      <c r="CD500" s="10"/>
      <c r="CE500" s="10"/>
      <c r="CF500" s="11">
        <v>0</v>
      </c>
      <c r="CG500" s="10"/>
      <c r="CH500" s="10"/>
      <c r="CI500" s="11">
        <v>0</v>
      </c>
      <c r="CJ500" s="10"/>
      <c r="CK500" s="10"/>
      <c r="CL500" s="11">
        <v>0</v>
      </c>
      <c r="CM500" s="10"/>
      <c r="CN500" s="10"/>
      <c r="CO500" s="11">
        <v>0</v>
      </c>
      <c r="CP500" s="10"/>
      <c r="CQ500" s="10"/>
      <c r="CR500" s="11">
        <v>0</v>
      </c>
      <c r="CS500" s="10"/>
      <c r="CT500" s="10"/>
      <c r="CU500" s="11">
        <v>0</v>
      </c>
      <c r="CV500" s="10"/>
      <c r="CW500" s="10"/>
      <c r="CX500" s="11">
        <v>0</v>
      </c>
      <c r="CY500" s="10"/>
      <c r="CZ500" s="10"/>
      <c r="DA500" s="11">
        <v>0</v>
      </c>
      <c r="DB500" s="10"/>
      <c r="DC500" s="10"/>
      <c r="DD500" s="13">
        <v>0</v>
      </c>
      <c r="DE500" s="14"/>
    </row>
    <row r="501" spans="1:109" x14ac:dyDescent="0.35">
      <c r="A501" s="8" t="s">
        <v>1065</v>
      </c>
      <c r="B501" s="9" t="s">
        <v>118</v>
      </c>
      <c r="C501" s="9" t="s">
        <v>43</v>
      </c>
      <c r="D501" s="9" t="s">
        <v>1066</v>
      </c>
      <c r="E501" s="9" t="s">
        <v>61</v>
      </c>
      <c r="F501" s="9" t="s">
        <v>62</v>
      </c>
      <c r="G501" s="10"/>
      <c r="H501" s="10"/>
      <c r="I501" s="11">
        <v>0</v>
      </c>
      <c r="J501" s="10"/>
      <c r="K501" s="10"/>
      <c r="L501" s="12">
        <v>0</v>
      </c>
      <c r="M501" s="10"/>
      <c r="N501" s="10"/>
      <c r="O501" s="11">
        <v>0</v>
      </c>
      <c r="P501" s="10"/>
      <c r="Q501" s="10"/>
      <c r="R501" s="11">
        <v>0</v>
      </c>
      <c r="S501" s="10"/>
      <c r="T501" s="10"/>
      <c r="U501" s="11">
        <v>0</v>
      </c>
      <c r="V501" s="10"/>
      <c r="W501" s="10"/>
      <c r="X501" s="11">
        <v>0</v>
      </c>
      <c r="Y501" s="10"/>
      <c r="Z501" s="10"/>
      <c r="AA501" s="11"/>
      <c r="AB501" s="10"/>
      <c r="AC501" s="10"/>
      <c r="AD501" s="11">
        <v>0</v>
      </c>
      <c r="AE501" s="10"/>
      <c r="AF501" s="10"/>
      <c r="AG501" s="11">
        <v>0</v>
      </c>
      <c r="AH501" s="10"/>
      <c r="AI501" s="10"/>
      <c r="AJ501" s="11">
        <v>0</v>
      </c>
      <c r="AK501" s="10"/>
      <c r="AL501" s="10"/>
      <c r="AM501" s="11">
        <v>0</v>
      </c>
      <c r="AN501" s="10"/>
      <c r="AO501" s="10"/>
      <c r="AP501" s="11">
        <v>0</v>
      </c>
      <c r="AQ501" s="10"/>
      <c r="AR501" s="10"/>
      <c r="AS501" s="11">
        <v>0</v>
      </c>
      <c r="AT501" s="10"/>
      <c r="AU501" s="10"/>
      <c r="AV501" s="11">
        <v>0</v>
      </c>
      <c r="AW501" s="10"/>
      <c r="AX501" s="10"/>
      <c r="AY501" s="11">
        <v>0</v>
      </c>
      <c r="AZ501" s="10"/>
      <c r="BA501" s="10"/>
      <c r="BB501" s="11">
        <v>0</v>
      </c>
      <c r="BC501" s="10"/>
      <c r="BD501" s="10"/>
      <c r="BE501" s="11">
        <v>0</v>
      </c>
      <c r="BF501" s="10"/>
      <c r="BG501" s="10"/>
      <c r="BH501" s="11">
        <v>0</v>
      </c>
      <c r="BI501" s="10"/>
      <c r="BJ501" s="10"/>
      <c r="BK501" s="11">
        <v>0</v>
      </c>
      <c r="BL501" s="10"/>
      <c r="BM501" s="10"/>
      <c r="BN501" s="11">
        <v>0</v>
      </c>
      <c r="BO501" s="10"/>
      <c r="BP501" s="10"/>
      <c r="BQ501" s="11">
        <v>0</v>
      </c>
      <c r="BR501" s="10"/>
      <c r="BS501" s="10"/>
      <c r="BT501" s="11">
        <v>0</v>
      </c>
      <c r="BU501" s="10"/>
      <c r="BV501" s="10"/>
      <c r="BW501" s="11">
        <v>0</v>
      </c>
      <c r="BX501" s="10"/>
      <c r="BY501" s="10"/>
      <c r="BZ501" s="11">
        <v>0</v>
      </c>
      <c r="CA501" s="10"/>
      <c r="CB501" s="10"/>
      <c r="CC501" s="11">
        <v>0</v>
      </c>
      <c r="CD501" s="10"/>
      <c r="CE501" s="10"/>
      <c r="CF501" s="11">
        <v>0</v>
      </c>
      <c r="CG501" s="10"/>
      <c r="CH501" s="10"/>
      <c r="CI501" s="11">
        <v>0</v>
      </c>
      <c r="CJ501" s="10"/>
      <c r="CK501" s="10"/>
      <c r="CL501" s="11">
        <v>0</v>
      </c>
      <c r="CM501" s="10"/>
      <c r="CN501" s="10"/>
      <c r="CO501" s="11">
        <v>0</v>
      </c>
      <c r="CP501" s="10"/>
      <c r="CQ501" s="10"/>
      <c r="CR501" s="11">
        <v>0</v>
      </c>
      <c r="CS501" s="10"/>
      <c r="CT501" s="10"/>
      <c r="CU501" s="11">
        <v>0</v>
      </c>
      <c r="CV501" s="10"/>
      <c r="CW501" s="10"/>
      <c r="CX501" s="11">
        <v>0</v>
      </c>
      <c r="CY501" s="10"/>
      <c r="CZ501" s="10"/>
      <c r="DA501" s="11">
        <v>0</v>
      </c>
      <c r="DB501" s="10"/>
      <c r="DC501" s="10"/>
      <c r="DD501" s="13">
        <v>0</v>
      </c>
      <c r="DE501" s="14"/>
    </row>
    <row r="502" spans="1:109" x14ac:dyDescent="0.35">
      <c r="A502" s="8" t="s">
        <v>1067</v>
      </c>
      <c r="B502" s="9" t="s">
        <v>59</v>
      </c>
      <c r="C502" s="9" t="s">
        <v>43</v>
      </c>
      <c r="D502" s="9" t="s">
        <v>1068</v>
      </c>
      <c r="E502" s="9" t="s">
        <v>61</v>
      </c>
      <c r="F502" s="9" t="s">
        <v>62</v>
      </c>
      <c r="G502" s="10"/>
      <c r="H502" s="10"/>
      <c r="I502" s="11">
        <v>0</v>
      </c>
      <c r="J502" s="10"/>
      <c r="K502" s="10"/>
      <c r="L502" s="12">
        <v>0</v>
      </c>
      <c r="M502" s="10"/>
      <c r="N502" s="10"/>
      <c r="O502" s="11">
        <v>0</v>
      </c>
      <c r="P502" s="10"/>
      <c r="Q502" s="10"/>
      <c r="R502" s="11">
        <v>0</v>
      </c>
      <c r="S502" s="10"/>
      <c r="T502" s="10"/>
      <c r="U502" s="11">
        <v>0</v>
      </c>
      <c r="V502" s="10"/>
      <c r="W502" s="10"/>
      <c r="X502" s="11">
        <v>0</v>
      </c>
      <c r="Y502" s="10"/>
      <c r="Z502" s="10"/>
      <c r="AA502" s="11"/>
      <c r="AB502" s="10"/>
      <c r="AC502" s="10"/>
      <c r="AD502" s="11">
        <v>0</v>
      </c>
      <c r="AE502" s="10"/>
      <c r="AF502" s="10"/>
      <c r="AG502" s="11">
        <v>0</v>
      </c>
      <c r="AH502" s="10"/>
      <c r="AI502" s="10"/>
      <c r="AJ502" s="11">
        <v>0</v>
      </c>
      <c r="AK502" s="10"/>
      <c r="AL502" s="10"/>
      <c r="AM502" s="11">
        <v>0</v>
      </c>
      <c r="AN502" s="10"/>
      <c r="AO502" s="10"/>
      <c r="AP502" s="11">
        <v>0</v>
      </c>
      <c r="AQ502" s="10"/>
      <c r="AR502" s="10"/>
      <c r="AS502" s="11">
        <v>0</v>
      </c>
      <c r="AT502" s="10"/>
      <c r="AU502" s="10"/>
      <c r="AV502" s="11">
        <v>0</v>
      </c>
      <c r="AW502" s="10"/>
      <c r="AX502" s="10"/>
      <c r="AY502" s="11">
        <v>0</v>
      </c>
      <c r="AZ502" s="10"/>
      <c r="BA502" s="10"/>
      <c r="BB502" s="11">
        <v>0</v>
      </c>
      <c r="BC502" s="10"/>
      <c r="BD502" s="10"/>
      <c r="BE502" s="11">
        <v>0</v>
      </c>
      <c r="BF502" s="10"/>
      <c r="BG502" s="10"/>
      <c r="BH502" s="11">
        <v>0</v>
      </c>
      <c r="BI502" s="10"/>
      <c r="BJ502" s="10"/>
      <c r="BK502" s="11">
        <v>0</v>
      </c>
      <c r="BL502" s="10"/>
      <c r="BM502" s="10"/>
      <c r="BN502" s="11">
        <v>0</v>
      </c>
      <c r="BO502" s="10"/>
      <c r="BP502" s="10"/>
      <c r="BQ502" s="11">
        <v>0</v>
      </c>
      <c r="BR502" s="10"/>
      <c r="BS502" s="10"/>
      <c r="BT502" s="11">
        <v>0</v>
      </c>
      <c r="BU502" s="10"/>
      <c r="BV502" s="10"/>
      <c r="BW502" s="11">
        <v>0</v>
      </c>
      <c r="BX502" s="10"/>
      <c r="BY502" s="10"/>
      <c r="BZ502" s="11">
        <v>0</v>
      </c>
      <c r="CA502" s="10"/>
      <c r="CB502" s="10"/>
      <c r="CC502" s="11">
        <v>0</v>
      </c>
      <c r="CD502" s="10"/>
      <c r="CE502" s="10"/>
      <c r="CF502" s="11">
        <v>0</v>
      </c>
      <c r="CG502" s="10"/>
      <c r="CH502" s="10"/>
      <c r="CI502" s="11">
        <v>0</v>
      </c>
      <c r="CJ502" s="10"/>
      <c r="CK502" s="10"/>
      <c r="CL502" s="11">
        <v>0</v>
      </c>
      <c r="CM502" s="10"/>
      <c r="CN502" s="10"/>
      <c r="CO502" s="11">
        <v>0</v>
      </c>
      <c r="CP502" s="10"/>
      <c r="CQ502" s="10"/>
      <c r="CR502" s="11">
        <v>0</v>
      </c>
      <c r="CS502" s="10"/>
      <c r="CT502" s="10"/>
      <c r="CU502" s="11">
        <v>0</v>
      </c>
      <c r="CV502" s="10"/>
      <c r="CW502" s="10"/>
      <c r="CX502" s="11">
        <v>0</v>
      </c>
      <c r="CY502" s="10"/>
      <c r="CZ502" s="10"/>
      <c r="DA502" s="11">
        <v>0</v>
      </c>
      <c r="DB502" s="10"/>
      <c r="DC502" s="10"/>
      <c r="DD502" s="13">
        <v>0</v>
      </c>
      <c r="DE502" s="14"/>
    </row>
    <row r="503" spans="1:109" x14ac:dyDescent="0.35">
      <c r="A503" s="8" t="s">
        <v>1069</v>
      </c>
      <c r="B503" s="9" t="s">
        <v>59</v>
      </c>
      <c r="C503" s="9" t="s">
        <v>43</v>
      </c>
      <c r="D503" s="9" t="s">
        <v>1070</v>
      </c>
      <c r="E503" s="9" t="s">
        <v>61</v>
      </c>
      <c r="F503" s="9" t="s">
        <v>62</v>
      </c>
      <c r="G503" s="10"/>
      <c r="H503" s="10"/>
      <c r="I503" s="11">
        <v>0</v>
      </c>
      <c r="J503" s="10"/>
      <c r="K503" s="10"/>
      <c r="L503" s="12">
        <v>0</v>
      </c>
      <c r="M503" s="10"/>
      <c r="N503" s="10"/>
      <c r="O503" s="11">
        <v>0</v>
      </c>
      <c r="P503" s="10"/>
      <c r="Q503" s="10"/>
      <c r="R503" s="11">
        <v>0</v>
      </c>
      <c r="S503" s="10"/>
      <c r="T503" s="10"/>
      <c r="U503" s="11">
        <v>0</v>
      </c>
      <c r="V503" s="10"/>
      <c r="W503" s="10"/>
      <c r="X503" s="11">
        <v>0</v>
      </c>
      <c r="Y503" s="10"/>
      <c r="Z503" s="10"/>
      <c r="AA503" s="11"/>
      <c r="AB503" s="10"/>
      <c r="AC503" s="10"/>
      <c r="AD503" s="11">
        <v>0</v>
      </c>
      <c r="AE503" s="10"/>
      <c r="AF503" s="10"/>
      <c r="AG503" s="11">
        <v>0</v>
      </c>
      <c r="AH503" s="10"/>
      <c r="AI503" s="10"/>
      <c r="AJ503" s="11">
        <v>0</v>
      </c>
      <c r="AK503" s="10"/>
      <c r="AL503" s="10"/>
      <c r="AM503" s="11">
        <v>0</v>
      </c>
      <c r="AN503" s="10"/>
      <c r="AO503" s="10"/>
      <c r="AP503" s="11">
        <v>0</v>
      </c>
      <c r="AQ503" s="10"/>
      <c r="AR503" s="10"/>
      <c r="AS503" s="11">
        <v>0</v>
      </c>
      <c r="AT503" s="10"/>
      <c r="AU503" s="10"/>
      <c r="AV503" s="11">
        <v>0</v>
      </c>
      <c r="AW503" s="10"/>
      <c r="AX503" s="10"/>
      <c r="AY503" s="11">
        <v>0</v>
      </c>
      <c r="AZ503" s="10"/>
      <c r="BA503" s="10"/>
      <c r="BB503" s="11">
        <v>0</v>
      </c>
      <c r="BC503" s="10"/>
      <c r="BD503" s="10"/>
      <c r="BE503" s="11">
        <v>0</v>
      </c>
      <c r="BF503" s="10"/>
      <c r="BG503" s="10"/>
      <c r="BH503" s="11">
        <v>0</v>
      </c>
      <c r="BI503" s="10"/>
      <c r="BJ503" s="10"/>
      <c r="BK503" s="11">
        <v>0</v>
      </c>
      <c r="BL503" s="10"/>
      <c r="BM503" s="10"/>
      <c r="BN503" s="11">
        <v>0</v>
      </c>
      <c r="BO503" s="10"/>
      <c r="BP503" s="10"/>
      <c r="BQ503" s="11">
        <v>0</v>
      </c>
      <c r="BR503" s="10"/>
      <c r="BS503" s="10"/>
      <c r="BT503" s="11">
        <v>0</v>
      </c>
      <c r="BU503" s="10"/>
      <c r="BV503" s="10"/>
      <c r="BW503" s="11">
        <v>0</v>
      </c>
      <c r="BX503" s="10"/>
      <c r="BY503" s="10"/>
      <c r="BZ503" s="11">
        <v>0</v>
      </c>
      <c r="CA503" s="10"/>
      <c r="CB503" s="10"/>
      <c r="CC503" s="11">
        <v>0</v>
      </c>
      <c r="CD503" s="10"/>
      <c r="CE503" s="10"/>
      <c r="CF503" s="11">
        <v>0</v>
      </c>
      <c r="CG503" s="10"/>
      <c r="CH503" s="10"/>
      <c r="CI503" s="11">
        <v>0</v>
      </c>
      <c r="CJ503" s="10"/>
      <c r="CK503" s="10"/>
      <c r="CL503" s="11">
        <v>0</v>
      </c>
      <c r="CM503" s="10"/>
      <c r="CN503" s="10"/>
      <c r="CO503" s="11">
        <v>0</v>
      </c>
      <c r="CP503" s="10"/>
      <c r="CQ503" s="10"/>
      <c r="CR503" s="11">
        <v>0</v>
      </c>
      <c r="CS503" s="10"/>
      <c r="CT503" s="10"/>
      <c r="CU503" s="11">
        <v>0</v>
      </c>
      <c r="CV503" s="10"/>
      <c r="CW503" s="10"/>
      <c r="CX503" s="11">
        <v>0</v>
      </c>
      <c r="CY503" s="10"/>
      <c r="CZ503" s="10"/>
      <c r="DA503" s="11">
        <v>0</v>
      </c>
      <c r="DB503" s="10"/>
      <c r="DC503" s="10"/>
      <c r="DD503" s="13">
        <v>0</v>
      </c>
      <c r="DE503" s="14"/>
    </row>
    <row r="504" spans="1:109" x14ac:dyDescent="0.35">
      <c r="A504" s="8" t="s">
        <v>1071</v>
      </c>
      <c r="B504" s="9" t="s">
        <v>858</v>
      </c>
      <c r="C504" s="9" t="s">
        <v>43</v>
      </c>
      <c r="D504" s="9" t="s">
        <v>1072</v>
      </c>
      <c r="E504" s="9" t="s">
        <v>61</v>
      </c>
      <c r="F504" s="9" t="s">
        <v>62</v>
      </c>
      <c r="G504" s="10"/>
      <c r="H504" s="10"/>
      <c r="I504" s="11">
        <v>0</v>
      </c>
      <c r="J504" s="10"/>
      <c r="K504" s="10"/>
      <c r="L504" s="12">
        <v>0</v>
      </c>
      <c r="M504" s="10"/>
      <c r="N504" s="10"/>
      <c r="O504" s="11">
        <v>0</v>
      </c>
      <c r="P504" s="10"/>
      <c r="Q504" s="10"/>
      <c r="R504" s="11">
        <v>0</v>
      </c>
      <c r="S504" s="10"/>
      <c r="T504" s="10"/>
      <c r="U504" s="11">
        <v>0</v>
      </c>
      <c r="V504" s="10"/>
      <c r="W504" s="10"/>
      <c r="X504" s="11">
        <v>0</v>
      </c>
      <c r="Y504" s="10"/>
      <c r="Z504" s="10"/>
      <c r="AA504" s="11"/>
      <c r="AB504" s="10"/>
      <c r="AC504" s="10"/>
      <c r="AD504" s="11">
        <v>0</v>
      </c>
      <c r="AE504" s="10"/>
      <c r="AF504" s="10"/>
      <c r="AG504" s="11">
        <v>0</v>
      </c>
      <c r="AH504" s="10"/>
      <c r="AI504" s="10"/>
      <c r="AJ504" s="11">
        <v>0</v>
      </c>
      <c r="AK504" s="10"/>
      <c r="AL504" s="10"/>
      <c r="AM504" s="11">
        <v>0</v>
      </c>
      <c r="AN504" s="10"/>
      <c r="AO504" s="10"/>
      <c r="AP504" s="11">
        <v>0</v>
      </c>
      <c r="AQ504" s="10"/>
      <c r="AR504" s="10"/>
      <c r="AS504" s="11">
        <v>0</v>
      </c>
      <c r="AT504" s="10"/>
      <c r="AU504" s="10"/>
      <c r="AV504" s="11">
        <v>0</v>
      </c>
      <c r="AW504" s="10"/>
      <c r="AX504" s="10"/>
      <c r="AY504" s="11">
        <v>0</v>
      </c>
      <c r="AZ504" s="10"/>
      <c r="BA504" s="10"/>
      <c r="BB504" s="11">
        <v>0</v>
      </c>
      <c r="BC504" s="10"/>
      <c r="BD504" s="10"/>
      <c r="BE504" s="11">
        <v>0</v>
      </c>
      <c r="BF504" s="10"/>
      <c r="BG504" s="10"/>
      <c r="BH504" s="11">
        <v>0</v>
      </c>
      <c r="BI504" s="10"/>
      <c r="BJ504" s="10"/>
      <c r="BK504" s="11">
        <v>0</v>
      </c>
      <c r="BL504" s="10"/>
      <c r="BM504" s="10"/>
      <c r="BN504" s="11">
        <v>0</v>
      </c>
      <c r="BO504" s="10"/>
      <c r="BP504" s="10"/>
      <c r="BQ504" s="11">
        <v>0</v>
      </c>
      <c r="BR504" s="10"/>
      <c r="BS504" s="10"/>
      <c r="BT504" s="11">
        <v>0</v>
      </c>
      <c r="BU504" s="10"/>
      <c r="BV504" s="10"/>
      <c r="BW504" s="11">
        <v>0</v>
      </c>
      <c r="BX504" s="10"/>
      <c r="BY504" s="10"/>
      <c r="BZ504" s="11">
        <v>0</v>
      </c>
      <c r="CA504" s="10"/>
      <c r="CB504" s="10"/>
      <c r="CC504" s="11">
        <v>0</v>
      </c>
      <c r="CD504" s="10"/>
      <c r="CE504" s="10"/>
      <c r="CF504" s="11">
        <v>0</v>
      </c>
      <c r="CG504" s="10"/>
      <c r="CH504" s="10"/>
      <c r="CI504" s="11">
        <v>0</v>
      </c>
      <c r="CJ504" s="10"/>
      <c r="CK504" s="10"/>
      <c r="CL504" s="11">
        <v>0</v>
      </c>
      <c r="CM504" s="10"/>
      <c r="CN504" s="10"/>
      <c r="CO504" s="11">
        <v>0</v>
      </c>
      <c r="CP504" s="10"/>
      <c r="CQ504" s="10"/>
      <c r="CR504" s="11">
        <v>0</v>
      </c>
      <c r="CS504" s="10"/>
      <c r="CT504" s="10"/>
      <c r="CU504" s="11">
        <v>0</v>
      </c>
      <c r="CV504" s="10"/>
      <c r="CW504" s="10"/>
      <c r="CX504" s="11">
        <v>0</v>
      </c>
      <c r="CY504" s="10"/>
      <c r="CZ504" s="10"/>
      <c r="DA504" s="11">
        <v>0</v>
      </c>
      <c r="DB504" s="10"/>
      <c r="DC504" s="10"/>
      <c r="DD504" s="13">
        <v>0</v>
      </c>
      <c r="DE504" s="14"/>
    </row>
    <row r="505" spans="1:109" x14ac:dyDescent="0.35">
      <c r="A505" s="8" t="s">
        <v>1073</v>
      </c>
      <c r="B505" s="9" t="s">
        <v>42</v>
      </c>
      <c r="C505" s="9" t="s">
        <v>43</v>
      </c>
      <c r="D505" s="9" t="s">
        <v>1074</v>
      </c>
      <c r="E505" s="9" t="s">
        <v>45</v>
      </c>
      <c r="F505" s="9" t="s">
        <v>46</v>
      </c>
      <c r="G505" s="10"/>
      <c r="H505" s="10"/>
      <c r="I505" s="11">
        <v>0</v>
      </c>
      <c r="J505" s="10"/>
      <c r="K505" s="10"/>
      <c r="L505" s="12">
        <v>0</v>
      </c>
      <c r="M505" s="10"/>
      <c r="N505" s="10"/>
      <c r="O505" s="11">
        <v>0</v>
      </c>
      <c r="P505" s="10"/>
      <c r="Q505" s="10"/>
      <c r="R505" s="11">
        <v>0</v>
      </c>
      <c r="S505" s="10"/>
      <c r="T505" s="10"/>
      <c r="U505" s="11">
        <v>0</v>
      </c>
      <c r="V505" s="10"/>
      <c r="W505" s="10"/>
      <c r="X505" s="11">
        <v>0</v>
      </c>
      <c r="Y505" s="10"/>
      <c r="Z505" s="10"/>
      <c r="AA505" s="11"/>
      <c r="AB505" s="10"/>
      <c r="AC505" s="10"/>
      <c r="AD505" s="11">
        <v>0</v>
      </c>
      <c r="AE505" s="10"/>
      <c r="AF505" s="10"/>
      <c r="AG505" s="11">
        <v>0</v>
      </c>
      <c r="AH505" s="10"/>
      <c r="AI505" s="10"/>
      <c r="AJ505" s="11">
        <v>0</v>
      </c>
      <c r="AK505" s="10"/>
      <c r="AL505" s="10"/>
      <c r="AM505" s="11">
        <v>0</v>
      </c>
      <c r="AN505" s="10"/>
      <c r="AO505" s="10"/>
      <c r="AP505" s="11">
        <v>0</v>
      </c>
      <c r="AQ505" s="10"/>
      <c r="AR505" s="10"/>
      <c r="AS505" s="11">
        <v>0</v>
      </c>
      <c r="AT505" s="10"/>
      <c r="AU505" s="10"/>
      <c r="AV505" s="11">
        <v>0</v>
      </c>
      <c r="AW505" s="10"/>
      <c r="AX505" s="10"/>
      <c r="AY505" s="11">
        <v>0</v>
      </c>
      <c r="AZ505" s="10"/>
      <c r="BA505" s="10"/>
      <c r="BB505" s="11">
        <v>0</v>
      </c>
      <c r="BC505" s="10"/>
      <c r="BD505" s="10"/>
      <c r="BE505" s="11">
        <v>0</v>
      </c>
      <c r="BF505" s="10"/>
      <c r="BG505" s="10"/>
      <c r="BH505" s="11">
        <v>0</v>
      </c>
      <c r="BI505" s="10"/>
      <c r="BJ505" s="10"/>
      <c r="BK505" s="11">
        <v>0</v>
      </c>
      <c r="BL505" s="10"/>
      <c r="BM505" s="10"/>
      <c r="BN505" s="11">
        <v>0</v>
      </c>
      <c r="BO505" s="10"/>
      <c r="BP505" s="10"/>
      <c r="BQ505" s="11">
        <v>0</v>
      </c>
      <c r="BR505" s="10">
        <v>800000</v>
      </c>
      <c r="BS505" s="10"/>
      <c r="BT505" s="11">
        <f t="shared" ref="BT505" si="584">BS505/BR505</f>
        <v>0</v>
      </c>
      <c r="BU505" s="10">
        <v>200000</v>
      </c>
      <c r="BV505" s="10"/>
      <c r="BW505" s="11">
        <f t="shared" ref="BW505" si="585">BV505/BU505</f>
        <v>0</v>
      </c>
      <c r="BX505" s="10"/>
      <c r="BY505" s="10"/>
      <c r="BZ505" s="11">
        <v>0</v>
      </c>
      <c r="CA505" s="10"/>
      <c r="CB505" s="10"/>
      <c r="CC505" s="11">
        <v>0</v>
      </c>
      <c r="CD505" s="10"/>
      <c r="CE505" s="10"/>
      <c r="CF505" s="11">
        <v>0</v>
      </c>
      <c r="CG505" s="10"/>
      <c r="CH505" s="10"/>
      <c r="CI505" s="11">
        <v>0</v>
      </c>
      <c r="CJ505" s="10"/>
      <c r="CK505" s="10"/>
      <c r="CL505" s="11">
        <v>0</v>
      </c>
      <c r="CM505" s="10"/>
      <c r="CN505" s="10"/>
      <c r="CO505" s="11">
        <v>0</v>
      </c>
      <c r="CP505" s="10"/>
      <c r="CQ505" s="10"/>
      <c r="CR505" s="11">
        <v>0</v>
      </c>
      <c r="CS505" s="10"/>
      <c r="CT505" s="10"/>
      <c r="CU505" s="11">
        <v>0</v>
      </c>
      <c r="CV505" s="10"/>
      <c r="CW505" s="10"/>
      <c r="CX505" s="11">
        <v>0</v>
      </c>
      <c r="CY505" s="10"/>
      <c r="CZ505" s="10"/>
      <c r="DA505" s="11">
        <v>0</v>
      </c>
      <c r="DB505" s="10">
        <v>1000000</v>
      </c>
      <c r="DC505" s="10"/>
      <c r="DD505" s="15">
        <f t="shared" ref="DD505:DD506" si="586">DC505/DB505</f>
        <v>0</v>
      </c>
      <c r="DE505" s="16"/>
    </row>
    <row r="506" spans="1:109" x14ac:dyDescent="0.35">
      <c r="A506" s="8" t="s">
        <v>1075</v>
      </c>
      <c r="B506" s="9" t="s">
        <v>48</v>
      </c>
      <c r="C506" s="9" t="s">
        <v>43</v>
      </c>
      <c r="D506" s="9" t="s">
        <v>1076</v>
      </c>
      <c r="E506" s="9" t="s">
        <v>45</v>
      </c>
      <c r="F506" s="9" t="s">
        <v>46</v>
      </c>
      <c r="G506" s="10"/>
      <c r="H506" s="10"/>
      <c r="I506" s="11">
        <v>0</v>
      </c>
      <c r="J506" s="10"/>
      <c r="K506" s="10"/>
      <c r="L506" s="12">
        <v>0</v>
      </c>
      <c r="M506" s="10"/>
      <c r="N506" s="10"/>
      <c r="O506" s="11">
        <v>0</v>
      </c>
      <c r="P506" s="10"/>
      <c r="Q506" s="10"/>
      <c r="R506" s="11">
        <v>0</v>
      </c>
      <c r="S506" s="10"/>
      <c r="T506" s="10"/>
      <c r="U506" s="11">
        <v>0</v>
      </c>
      <c r="V506" s="10"/>
      <c r="W506" s="10"/>
      <c r="X506" s="11">
        <v>0</v>
      </c>
      <c r="Y506" s="10"/>
      <c r="Z506" s="10"/>
      <c r="AA506" s="11"/>
      <c r="AB506" s="10"/>
      <c r="AC506" s="10"/>
      <c r="AD506" s="11">
        <v>0</v>
      </c>
      <c r="AE506" s="10"/>
      <c r="AF506" s="10"/>
      <c r="AG506" s="11">
        <v>0</v>
      </c>
      <c r="AH506" s="10"/>
      <c r="AI506" s="10"/>
      <c r="AJ506" s="11">
        <v>0</v>
      </c>
      <c r="AK506" s="10"/>
      <c r="AL506" s="10"/>
      <c r="AM506" s="11">
        <v>0</v>
      </c>
      <c r="AN506" s="10"/>
      <c r="AO506" s="10"/>
      <c r="AP506" s="11">
        <v>0</v>
      </c>
      <c r="AQ506" s="10"/>
      <c r="AR506" s="10"/>
      <c r="AS506" s="11">
        <v>0</v>
      </c>
      <c r="AT506" s="10"/>
      <c r="AU506" s="10"/>
      <c r="AV506" s="11">
        <v>0</v>
      </c>
      <c r="AW506" s="10"/>
      <c r="AX506" s="10"/>
      <c r="AY506" s="11">
        <v>0</v>
      </c>
      <c r="AZ506" s="10"/>
      <c r="BA506" s="10"/>
      <c r="BB506" s="11">
        <v>0</v>
      </c>
      <c r="BC506" s="10"/>
      <c r="BD506" s="10"/>
      <c r="BE506" s="11">
        <v>0</v>
      </c>
      <c r="BF506" s="10"/>
      <c r="BG506" s="10"/>
      <c r="BH506" s="11">
        <v>0</v>
      </c>
      <c r="BI506" s="10"/>
      <c r="BJ506" s="10"/>
      <c r="BK506" s="11">
        <v>0</v>
      </c>
      <c r="BL506" s="10"/>
      <c r="BM506" s="10"/>
      <c r="BN506" s="11">
        <v>0</v>
      </c>
      <c r="BO506" s="10"/>
      <c r="BP506" s="10"/>
      <c r="BQ506" s="11">
        <v>0</v>
      </c>
      <c r="BR506" s="10"/>
      <c r="BS506" s="10"/>
      <c r="BT506" s="11">
        <v>0</v>
      </c>
      <c r="BU506" s="10"/>
      <c r="BV506" s="10"/>
      <c r="BW506" s="11">
        <v>0</v>
      </c>
      <c r="BX506" s="10"/>
      <c r="BY506" s="10"/>
      <c r="BZ506" s="11">
        <v>0</v>
      </c>
      <c r="CA506" s="10"/>
      <c r="CB506" s="10"/>
      <c r="CC506" s="11">
        <v>0</v>
      </c>
      <c r="CD506" s="10"/>
      <c r="CE506" s="10"/>
      <c r="CF506" s="11">
        <v>0</v>
      </c>
      <c r="CG506" s="10">
        <v>10000</v>
      </c>
      <c r="CH506" s="10"/>
      <c r="CI506" s="11">
        <f t="shared" ref="CI506" si="587">CH506/CG506</f>
        <v>0</v>
      </c>
      <c r="CJ506" s="10"/>
      <c r="CK506" s="10"/>
      <c r="CL506" s="11">
        <v>0</v>
      </c>
      <c r="CM506" s="10"/>
      <c r="CN506" s="10"/>
      <c r="CO506" s="11">
        <v>0</v>
      </c>
      <c r="CP506" s="10"/>
      <c r="CQ506" s="10"/>
      <c r="CR506" s="11">
        <v>0</v>
      </c>
      <c r="CS506" s="10"/>
      <c r="CT506" s="10"/>
      <c r="CU506" s="11">
        <v>0</v>
      </c>
      <c r="CV506" s="10"/>
      <c r="CW506" s="10"/>
      <c r="CX506" s="11">
        <v>0</v>
      </c>
      <c r="CY506" s="10"/>
      <c r="CZ506" s="10"/>
      <c r="DA506" s="11">
        <v>0</v>
      </c>
      <c r="DB506" s="10">
        <v>10000</v>
      </c>
      <c r="DC506" s="10"/>
      <c r="DD506" s="15">
        <f t="shared" si="586"/>
        <v>0</v>
      </c>
      <c r="DE506" s="16"/>
    </row>
    <row r="507" spans="1:109" x14ac:dyDescent="0.35">
      <c r="A507" s="8" t="s">
        <v>1077</v>
      </c>
      <c r="B507" s="9" t="s">
        <v>140</v>
      </c>
      <c r="C507" s="9" t="s">
        <v>43</v>
      </c>
      <c r="D507" s="9" t="s">
        <v>1078</v>
      </c>
      <c r="E507" s="9" t="s">
        <v>45</v>
      </c>
      <c r="F507" s="9" t="s">
        <v>46</v>
      </c>
      <c r="G507" s="10"/>
      <c r="H507" s="10"/>
      <c r="I507" s="11">
        <v>0</v>
      </c>
      <c r="J507" s="10"/>
      <c r="K507" s="10"/>
      <c r="L507" s="12">
        <v>0</v>
      </c>
      <c r="M507" s="10"/>
      <c r="N507" s="10"/>
      <c r="O507" s="11">
        <v>0</v>
      </c>
      <c r="P507" s="10"/>
      <c r="Q507" s="10"/>
      <c r="R507" s="11">
        <v>0</v>
      </c>
      <c r="S507" s="10"/>
      <c r="T507" s="10"/>
      <c r="U507" s="11">
        <v>0</v>
      </c>
      <c r="V507" s="10"/>
      <c r="W507" s="10"/>
      <c r="X507" s="11">
        <v>0</v>
      </c>
      <c r="Y507" s="10"/>
      <c r="Z507" s="10"/>
      <c r="AA507" s="11"/>
      <c r="AB507" s="10"/>
      <c r="AC507" s="10"/>
      <c r="AD507" s="11">
        <v>0</v>
      </c>
      <c r="AE507" s="10"/>
      <c r="AF507" s="10"/>
      <c r="AG507" s="11">
        <v>0</v>
      </c>
      <c r="AH507" s="10"/>
      <c r="AI507" s="10"/>
      <c r="AJ507" s="11">
        <v>0</v>
      </c>
      <c r="AK507" s="10"/>
      <c r="AL507" s="10"/>
      <c r="AM507" s="11">
        <v>0</v>
      </c>
      <c r="AN507" s="10"/>
      <c r="AO507" s="10"/>
      <c r="AP507" s="11">
        <v>0</v>
      </c>
      <c r="AQ507" s="10"/>
      <c r="AR507" s="10"/>
      <c r="AS507" s="11">
        <v>0</v>
      </c>
      <c r="AT507" s="10"/>
      <c r="AU507" s="10"/>
      <c r="AV507" s="11">
        <v>0</v>
      </c>
      <c r="AW507" s="10"/>
      <c r="AX507" s="10"/>
      <c r="AY507" s="11">
        <v>0</v>
      </c>
      <c r="AZ507" s="10"/>
      <c r="BA507" s="10"/>
      <c r="BB507" s="11">
        <v>0</v>
      </c>
      <c r="BC507" s="10"/>
      <c r="BD507" s="10"/>
      <c r="BE507" s="11">
        <v>0</v>
      </c>
      <c r="BF507" s="10"/>
      <c r="BG507" s="10"/>
      <c r="BH507" s="11">
        <v>0</v>
      </c>
      <c r="BI507" s="10"/>
      <c r="BJ507" s="10"/>
      <c r="BK507" s="11">
        <v>0</v>
      </c>
      <c r="BL507" s="10"/>
      <c r="BM507" s="10"/>
      <c r="BN507" s="11">
        <v>0</v>
      </c>
      <c r="BO507" s="10"/>
      <c r="BP507" s="10"/>
      <c r="BQ507" s="11">
        <v>0</v>
      </c>
      <c r="BR507" s="10"/>
      <c r="BS507" s="10"/>
      <c r="BT507" s="11">
        <v>0</v>
      </c>
      <c r="BU507" s="10"/>
      <c r="BV507" s="10"/>
      <c r="BW507" s="11">
        <v>0</v>
      </c>
      <c r="BX507" s="10"/>
      <c r="BY507" s="10"/>
      <c r="BZ507" s="11">
        <v>0</v>
      </c>
      <c r="CA507" s="10"/>
      <c r="CB507" s="10"/>
      <c r="CC507" s="11">
        <v>0</v>
      </c>
      <c r="CD507" s="10"/>
      <c r="CE507" s="10"/>
      <c r="CF507" s="11">
        <v>0</v>
      </c>
      <c r="CG507" s="10"/>
      <c r="CH507" s="10"/>
      <c r="CI507" s="11">
        <v>0</v>
      </c>
      <c r="CJ507" s="10"/>
      <c r="CK507" s="10"/>
      <c r="CL507" s="11">
        <v>0</v>
      </c>
      <c r="CM507" s="10"/>
      <c r="CN507" s="10"/>
      <c r="CO507" s="11">
        <v>0</v>
      </c>
      <c r="CP507" s="10"/>
      <c r="CQ507" s="10"/>
      <c r="CR507" s="11">
        <v>0</v>
      </c>
      <c r="CS507" s="10"/>
      <c r="CT507" s="10"/>
      <c r="CU507" s="11">
        <v>0</v>
      </c>
      <c r="CV507" s="10"/>
      <c r="CW507" s="10"/>
      <c r="CX507" s="11">
        <v>0</v>
      </c>
      <c r="CY507" s="10"/>
      <c r="CZ507" s="10"/>
      <c r="DA507" s="11">
        <v>0</v>
      </c>
      <c r="DB507" s="10"/>
      <c r="DC507" s="10"/>
      <c r="DD507" s="13">
        <v>0</v>
      </c>
      <c r="DE507" s="14"/>
    </row>
    <row r="508" spans="1:109" x14ac:dyDescent="0.35">
      <c r="A508" s="8" t="s">
        <v>1079</v>
      </c>
      <c r="B508" s="9" t="s">
        <v>77</v>
      </c>
      <c r="C508" s="9" t="s">
        <v>43</v>
      </c>
      <c r="D508" s="9" t="s">
        <v>1080</v>
      </c>
      <c r="E508" s="9" t="s">
        <v>61</v>
      </c>
      <c r="F508" s="9" t="s">
        <v>62</v>
      </c>
      <c r="G508" s="10"/>
      <c r="H508" s="10"/>
      <c r="I508" s="11">
        <v>0</v>
      </c>
      <c r="J508" s="10"/>
      <c r="K508" s="10"/>
      <c r="L508" s="12">
        <v>0</v>
      </c>
      <c r="M508" s="10"/>
      <c r="N508" s="10"/>
      <c r="O508" s="11">
        <v>0</v>
      </c>
      <c r="P508" s="10"/>
      <c r="Q508" s="10"/>
      <c r="R508" s="11">
        <v>0</v>
      </c>
      <c r="S508" s="10"/>
      <c r="T508" s="10"/>
      <c r="U508" s="11">
        <v>0</v>
      </c>
      <c r="V508" s="10"/>
      <c r="W508" s="10"/>
      <c r="X508" s="11">
        <v>0</v>
      </c>
      <c r="Y508" s="10"/>
      <c r="Z508" s="10"/>
      <c r="AA508" s="11"/>
      <c r="AB508" s="10"/>
      <c r="AC508" s="10"/>
      <c r="AD508" s="11">
        <v>0</v>
      </c>
      <c r="AE508" s="10"/>
      <c r="AF508" s="10"/>
      <c r="AG508" s="11">
        <v>0</v>
      </c>
      <c r="AH508" s="10"/>
      <c r="AI508" s="10"/>
      <c r="AJ508" s="11">
        <v>0</v>
      </c>
      <c r="AK508" s="10"/>
      <c r="AL508" s="10"/>
      <c r="AM508" s="11">
        <v>0</v>
      </c>
      <c r="AN508" s="10"/>
      <c r="AO508" s="10"/>
      <c r="AP508" s="11">
        <v>0</v>
      </c>
      <c r="AQ508" s="10"/>
      <c r="AR508" s="10"/>
      <c r="AS508" s="11">
        <v>0</v>
      </c>
      <c r="AT508" s="10"/>
      <c r="AU508" s="10"/>
      <c r="AV508" s="11">
        <v>0</v>
      </c>
      <c r="AW508" s="10"/>
      <c r="AX508" s="10"/>
      <c r="AY508" s="11">
        <v>0</v>
      </c>
      <c r="AZ508" s="10"/>
      <c r="BA508" s="10"/>
      <c r="BB508" s="11">
        <v>0</v>
      </c>
      <c r="BC508" s="10"/>
      <c r="BD508" s="10"/>
      <c r="BE508" s="11">
        <v>0</v>
      </c>
      <c r="BF508" s="10"/>
      <c r="BG508" s="10"/>
      <c r="BH508" s="11">
        <v>0</v>
      </c>
      <c r="BI508" s="10"/>
      <c r="BJ508" s="10"/>
      <c r="BK508" s="11">
        <v>0</v>
      </c>
      <c r="BL508" s="10"/>
      <c r="BM508" s="10"/>
      <c r="BN508" s="11">
        <v>0</v>
      </c>
      <c r="BO508" s="10"/>
      <c r="BP508" s="10"/>
      <c r="BQ508" s="11">
        <v>0</v>
      </c>
      <c r="BR508" s="10"/>
      <c r="BS508" s="10"/>
      <c r="BT508" s="11">
        <v>0</v>
      </c>
      <c r="BU508" s="10"/>
      <c r="BV508" s="10"/>
      <c r="BW508" s="11">
        <v>0</v>
      </c>
      <c r="BX508" s="10"/>
      <c r="BY508" s="10"/>
      <c r="BZ508" s="11">
        <v>0</v>
      </c>
      <c r="CA508" s="10"/>
      <c r="CB508" s="10"/>
      <c r="CC508" s="11">
        <v>0</v>
      </c>
      <c r="CD508" s="10"/>
      <c r="CE508" s="10"/>
      <c r="CF508" s="11">
        <v>0</v>
      </c>
      <c r="CG508" s="10"/>
      <c r="CH508" s="10"/>
      <c r="CI508" s="11">
        <v>0</v>
      </c>
      <c r="CJ508" s="10"/>
      <c r="CK508" s="10"/>
      <c r="CL508" s="11">
        <v>0</v>
      </c>
      <c r="CM508" s="10"/>
      <c r="CN508" s="10"/>
      <c r="CO508" s="11">
        <v>0</v>
      </c>
      <c r="CP508" s="10"/>
      <c r="CQ508" s="10"/>
      <c r="CR508" s="11">
        <v>0</v>
      </c>
      <c r="CS508" s="10"/>
      <c r="CT508" s="10"/>
      <c r="CU508" s="11">
        <v>0</v>
      </c>
      <c r="CV508" s="10"/>
      <c r="CW508" s="10"/>
      <c r="CX508" s="11">
        <v>0</v>
      </c>
      <c r="CY508" s="10"/>
      <c r="CZ508" s="10"/>
      <c r="DA508" s="11">
        <v>0</v>
      </c>
      <c r="DB508" s="10"/>
      <c r="DC508" s="10"/>
      <c r="DD508" s="13">
        <v>0</v>
      </c>
      <c r="DE508" s="14"/>
    </row>
    <row r="509" spans="1:109" x14ac:dyDescent="0.35">
      <c r="A509" s="8" t="s">
        <v>1081</v>
      </c>
      <c r="B509" s="9" t="s">
        <v>77</v>
      </c>
      <c r="C509" s="9" t="s">
        <v>43</v>
      </c>
      <c r="D509" s="9" t="s">
        <v>1082</v>
      </c>
      <c r="E509" s="9" t="s">
        <v>61</v>
      </c>
      <c r="F509" s="9" t="s">
        <v>62</v>
      </c>
      <c r="G509" s="10"/>
      <c r="H509" s="10"/>
      <c r="I509" s="11">
        <v>0</v>
      </c>
      <c r="J509" s="10"/>
      <c r="K509" s="10"/>
      <c r="L509" s="12">
        <v>0</v>
      </c>
      <c r="M509" s="10"/>
      <c r="N509" s="10"/>
      <c r="O509" s="11">
        <v>0</v>
      </c>
      <c r="P509" s="10"/>
      <c r="Q509" s="10"/>
      <c r="R509" s="11">
        <v>0</v>
      </c>
      <c r="S509" s="10"/>
      <c r="T509" s="10"/>
      <c r="U509" s="11">
        <v>0</v>
      </c>
      <c r="V509" s="10"/>
      <c r="W509" s="10"/>
      <c r="X509" s="11">
        <v>0</v>
      </c>
      <c r="Y509" s="10"/>
      <c r="Z509" s="10"/>
      <c r="AA509" s="11"/>
      <c r="AB509" s="10"/>
      <c r="AC509" s="10"/>
      <c r="AD509" s="11">
        <v>0</v>
      </c>
      <c r="AE509" s="10"/>
      <c r="AF509" s="10"/>
      <c r="AG509" s="11">
        <v>0</v>
      </c>
      <c r="AH509" s="10"/>
      <c r="AI509" s="10"/>
      <c r="AJ509" s="11">
        <v>0</v>
      </c>
      <c r="AK509" s="10"/>
      <c r="AL509" s="10"/>
      <c r="AM509" s="11">
        <v>0</v>
      </c>
      <c r="AN509" s="10"/>
      <c r="AO509" s="10"/>
      <c r="AP509" s="11">
        <v>0</v>
      </c>
      <c r="AQ509" s="10"/>
      <c r="AR509" s="10"/>
      <c r="AS509" s="11">
        <v>0</v>
      </c>
      <c r="AT509" s="10"/>
      <c r="AU509" s="10"/>
      <c r="AV509" s="11">
        <v>0</v>
      </c>
      <c r="AW509" s="10"/>
      <c r="AX509" s="10"/>
      <c r="AY509" s="11">
        <v>0</v>
      </c>
      <c r="AZ509" s="10"/>
      <c r="BA509" s="10"/>
      <c r="BB509" s="11">
        <v>0</v>
      </c>
      <c r="BC509" s="10"/>
      <c r="BD509" s="10"/>
      <c r="BE509" s="11">
        <v>0</v>
      </c>
      <c r="BF509" s="10"/>
      <c r="BG509" s="10"/>
      <c r="BH509" s="11">
        <v>0</v>
      </c>
      <c r="BI509" s="10"/>
      <c r="BJ509" s="10"/>
      <c r="BK509" s="11">
        <v>0</v>
      </c>
      <c r="BL509" s="10"/>
      <c r="BM509" s="10"/>
      <c r="BN509" s="11">
        <v>0</v>
      </c>
      <c r="BO509" s="10"/>
      <c r="BP509" s="10"/>
      <c r="BQ509" s="11">
        <v>0</v>
      </c>
      <c r="BR509" s="10"/>
      <c r="BS509" s="10"/>
      <c r="BT509" s="11">
        <v>0</v>
      </c>
      <c r="BU509" s="10"/>
      <c r="BV509" s="10"/>
      <c r="BW509" s="11">
        <v>0</v>
      </c>
      <c r="BX509" s="10"/>
      <c r="BY509" s="10"/>
      <c r="BZ509" s="11">
        <v>0</v>
      </c>
      <c r="CA509" s="10"/>
      <c r="CB509" s="10"/>
      <c r="CC509" s="11">
        <v>0</v>
      </c>
      <c r="CD509" s="10"/>
      <c r="CE509" s="10"/>
      <c r="CF509" s="11">
        <v>0</v>
      </c>
      <c r="CG509" s="10"/>
      <c r="CH509" s="10"/>
      <c r="CI509" s="11">
        <v>0</v>
      </c>
      <c r="CJ509" s="10"/>
      <c r="CK509" s="10"/>
      <c r="CL509" s="11">
        <v>0</v>
      </c>
      <c r="CM509" s="10"/>
      <c r="CN509" s="10"/>
      <c r="CO509" s="11">
        <v>0</v>
      </c>
      <c r="CP509" s="10"/>
      <c r="CQ509" s="10"/>
      <c r="CR509" s="11">
        <v>0</v>
      </c>
      <c r="CS509" s="10"/>
      <c r="CT509" s="10"/>
      <c r="CU509" s="11">
        <v>0</v>
      </c>
      <c r="CV509" s="10"/>
      <c r="CW509" s="10"/>
      <c r="CX509" s="11">
        <v>0</v>
      </c>
      <c r="CY509" s="10"/>
      <c r="CZ509" s="10"/>
      <c r="DA509" s="11">
        <v>0</v>
      </c>
      <c r="DB509" s="10"/>
      <c r="DC509" s="10"/>
      <c r="DD509" s="13">
        <v>0</v>
      </c>
      <c r="DE509" s="14"/>
    </row>
    <row r="510" spans="1:109" x14ac:dyDescent="0.35">
      <c r="A510" s="8" t="s">
        <v>1083</v>
      </c>
      <c r="B510" s="9" t="s">
        <v>48</v>
      </c>
      <c r="C510" s="9" t="s">
        <v>43</v>
      </c>
      <c r="D510" s="9" t="s">
        <v>1084</v>
      </c>
      <c r="E510" s="9" t="s">
        <v>45</v>
      </c>
      <c r="F510" s="9" t="s">
        <v>46</v>
      </c>
      <c r="G510" s="10"/>
      <c r="H510" s="10"/>
      <c r="I510" s="11">
        <v>0</v>
      </c>
      <c r="J510" s="10"/>
      <c r="K510" s="10"/>
      <c r="L510" s="12">
        <v>0</v>
      </c>
      <c r="M510" s="10"/>
      <c r="N510" s="10"/>
      <c r="O510" s="11">
        <v>0</v>
      </c>
      <c r="P510" s="10"/>
      <c r="Q510" s="10"/>
      <c r="R510" s="11">
        <v>0</v>
      </c>
      <c r="S510" s="10"/>
      <c r="T510" s="10"/>
      <c r="U510" s="11">
        <v>0</v>
      </c>
      <c r="V510" s="10"/>
      <c r="W510" s="10"/>
      <c r="X510" s="11">
        <v>0</v>
      </c>
      <c r="Y510" s="10"/>
      <c r="Z510" s="10"/>
      <c r="AA510" s="11"/>
      <c r="AB510" s="10"/>
      <c r="AC510" s="10"/>
      <c r="AD510" s="11">
        <v>0</v>
      </c>
      <c r="AE510" s="10"/>
      <c r="AF510" s="10"/>
      <c r="AG510" s="11">
        <v>0</v>
      </c>
      <c r="AH510" s="10"/>
      <c r="AI510" s="10"/>
      <c r="AJ510" s="11">
        <v>0</v>
      </c>
      <c r="AK510" s="10"/>
      <c r="AL510" s="10"/>
      <c r="AM510" s="11">
        <v>0</v>
      </c>
      <c r="AN510" s="10"/>
      <c r="AO510" s="10"/>
      <c r="AP510" s="11">
        <v>0</v>
      </c>
      <c r="AQ510" s="10"/>
      <c r="AR510" s="10"/>
      <c r="AS510" s="11">
        <v>0</v>
      </c>
      <c r="AT510" s="10"/>
      <c r="AU510" s="10"/>
      <c r="AV510" s="11">
        <v>0</v>
      </c>
      <c r="AW510" s="10"/>
      <c r="AX510" s="10"/>
      <c r="AY510" s="11">
        <v>0</v>
      </c>
      <c r="AZ510" s="10"/>
      <c r="BA510" s="10"/>
      <c r="BB510" s="11">
        <v>0</v>
      </c>
      <c r="BC510" s="10"/>
      <c r="BD510" s="10"/>
      <c r="BE510" s="11">
        <v>0</v>
      </c>
      <c r="BF510" s="10"/>
      <c r="BG510" s="10"/>
      <c r="BH510" s="11">
        <v>0</v>
      </c>
      <c r="BI510" s="10"/>
      <c r="BJ510" s="10"/>
      <c r="BK510" s="11">
        <v>0</v>
      </c>
      <c r="BL510" s="10"/>
      <c r="BM510" s="10"/>
      <c r="BN510" s="11">
        <v>0</v>
      </c>
      <c r="BO510" s="10"/>
      <c r="BP510" s="10"/>
      <c r="BQ510" s="11">
        <v>0</v>
      </c>
      <c r="BR510" s="10"/>
      <c r="BS510" s="10"/>
      <c r="BT510" s="11">
        <v>0</v>
      </c>
      <c r="BU510" s="10"/>
      <c r="BV510" s="10"/>
      <c r="BW510" s="11">
        <v>0</v>
      </c>
      <c r="BX510" s="10"/>
      <c r="BY510" s="10"/>
      <c r="BZ510" s="11">
        <v>0</v>
      </c>
      <c r="CA510" s="10"/>
      <c r="CB510" s="10"/>
      <c r="CC510" s="11">
        <v>0</v>
      </c>
      <c r="CD510" s="10"/>
      <c r="CE510" s="10"/>
      <c r="CF510" s="11">
        <v>0</v>
      </c>
      <c r="CG510" s="10"/>
      <c r="CH510" s="10"/>
      <c r="CI510" s="11">
        <v>0</v>
      </c>
      <c r="CJ510" s="10"/>
      <c r="CK510" s="10"/>
      <c r="CL510" s="11">
        <v>0</v>
      </c>
      <c r="CM510" s="10"/>
      <c r="CN510" s="10"/>
      <c r="CO510" s="11">
        <v>0</v>
      </c>
      <c r="CP510" s="10"/>
      <c r="CQ510" s="10"/>
      <c r="CR510" s="11">
        <v>0</v>
      </c>
      <c r="CS510" s="10"/>
      <c r="CT510" s="10"/>
      <c r="CU510" s="11">
        <v>0</v>
      </c>
      <c r="CV510" s="10"/>
      <c r="CW510" s="10"/>
      <c r="CX510" s="11">
        <v>0</v>
      </c>
      <c r="CY510" s="10"/>
      <c r="CZ510" s="10"/>
      <c r="DA510" s="11">
        <v>0</v>
      </c>
      <c r="DB510" s="10"/>
      <c r="DC510" s="10"/>
      <c r="DD510" s="13">
        <v>0</v>
      </c>
      <c r="DE510" s="14"/>
    </row>
    <row r="511" spans="1:109" x14ac:dyDescent="0.35">
      <c r="A511" s="8" t="s">
        <v>1085</v>
      </c>
      <c r="B511" s="9" t="s">
        <v>118</v>
      </c>
      <c r="C511" s="9" t="s">
        <v>43</v>
      </c>
      <c r="D511" s="9" t="s">
        <v>1086</v>
      </c>
      <c r="E511" s="9" t="s">
        <v>61</v>
      </c>
      <c r="F511" s="9" t="s">
        <v>62</v>
      </c>
      <c r="G511" s="10"/>
      <c r="H511" s="10"/>
      <c r="I511" s="11">
        <v>0</v>
      </c>
      <c r="J511" s="10"/>
      <c r="K511" s="10"/>
      <c r="L511" s="12">
        <v>0</v>
      </c>
      <c r="M511" s="10"/>
      <c r="N511" s="10"/>
      <c r="O511" s="11">
        <v>0</v>
      </c>
      <c r="P511" s="10"/>
      <c r="Q511" s="10"/>
      <c r="R511" s="11">
        <v>0</v>
      </c>
      <c r="S511" s="10"/>
      <c r="T511" s="10"/>
      <c r="U511" s="11">
        <v>0</v>
      </c>
      <c r="V511" s="10"/>
      <c r="W511" s="10"/>
      <c r="X511" s="11">
        <v>0</v>
      </c>
      <c r="Y511" s="10"/>
      <c r="Z511" s="10"/>
      <c r="AA511" s="11"/>
      <c r="AB511" s="10"/>
      <c r="AC511" s="10"/>
      <c r="AD511" s="11">
        <v>0</v>
      </c>
      <c r="AE511" s="10"/>
      <c r="AF511" s="10"/>
      <c r="AG511" s="11">
        <v>0</v>
      </c>
      <c r="AH511" s="10"/>
      <c r="AI511" s="10"/>
      <c r="AJ511" s="11">
        <v>0</v>
      </c>
      <c r="AK511" s="10"/>
      <c r="AL511" s="10"/>
      <c r="AM511" s="11">
        <v>0</v>
      </c>
      <c r="AN511" s="10"/>
      <c r="AO511" s="10"/>
      <c r="AP511" s="11">
        <v>0</v>
      </c>
      <c r="AQ511" s="10"/>
      <c r="AR511" s="10"/>
      <c r="AS511" s="11">
        <v>0</v>
      </c>
      <c r="AT511" s="10"/>
      <c r="AU511" s="10"/>
      <c r="AV511" s="11">
        <v>0</v>
      </c>
      <c r="AW511" s="10"/>
      <c r="AX511" s="10"/>
      <c r="AY511" s="11">
        <v>0</v>
      </c>
      <c r="AZ511" s="10"/>
      <c r="BA511" s="10"/>
      <c r="BB511" s="11">
        <v>0</v>
      </c>
      <c r="BC511" s="10"/>
      <c r="BD511" s="10"/>
      <c r="BE511" s="11">
        <v>0</v>
      </c>
      <c r="BF511" s="10"/>
      <c r="BG511" s="10"/>
      <c r="BH511" s="11">
        <v>0</v>
      </c>
      <c r="BI511" s="10"/>
      <c r="BJ511" s="10"/>
      <c r="BK511" s="11">
        <v>0</v>
      </c>
      <c r="BL511" s="10"/>
      <c r="BM511" s="10"/>
      <c r="BN511" s="11">
        <v>0</v>
      </c>
      <c r="BO511" s="10"/>
      <c r="BP511" s="10"/>
      <c r="BQ511" s="11">
        <v>0</v>
      </c>
      <c r="BR511" s="10"/>
      <c r="BS511" s="10"/>
      <c r="BT511" s="11">
        <v>0</v>
      </c>
      <c r="BU511" s="10"/>
      <c r="BV511" s="10"/>
      <c r="BW511" s="11">
        <v>0</v>
      </c>
      <c r="BX511" s="10"/>
      <c r="BY511" s="10"/>
      <c r="BZ511" s="11">
        <v>0</v>
      </c>
      <c r="CA511" s="10"/>
      <c r="CB511" s="10"/>
      <c r="CC511" s="11">
        <v>0</v>
      </c>
      <c r="CD511" s="10"/>
      <c r="CE511" s="10"/>
      <c r="CF511" s="11">
        <v>0</v>
      </c>
      <c r="CG511" s="10"/>
      <c r="CH511" s="10"/>
      <c r="CI511" s="11">
        <v>0</v>
      </c>
      <c r="CJ511" s="10"/>
      <c r="CK511" s="10"/>
      <c r="CL511" s="11">
        <v>0</v>
      </c>
      <c r="CM511" s="10"/>
      <c r="CN511" s="10"/>
      <c r="CO511" s="11">
        <v>0</v>
      </c>
      <c r="CP511" s="10"/>
      <c r="CQ511" s="10"/>
      <c r="CR511" s="11">
        <v>0</v>
      </c>
      <c r="CS511" s="10"/>
      <c r="CT511" s="10"/>
      <c r="CU511" s="11">
        <v>0</v>
      </c>
      <c r="CV511" s="10"/>
      <c r="CW511" s="10"/>
      <c r="CX511" s="11">
        <v>0</v>
      </c>
      <c r="CY511" s="10"/>
      <c r="CZ511" s="10"/>
      <c r="DA511" s="11">
        <v>0</v>
      </c>
      <c r="DB511" s="10"/>
      <c r="DC511" s="10"/>
      <c r="DD511" s="13">
        <v>0</v>
      </c>
      <c r="DE511" s="14"/>
    </row>
    <row r="512" spans="1:109" x14ac:dyDescent="0.35">
      <c r="A512" s="8" t="s">
        <v>1087</v>
      </c>
      <c r="B512" s="9" t="s">
        <v>74</v>
      </c>
      <c r="C512" s="9" t="s">
        <v>52</v>
      </c>
      <c r="D512" s="9" t="s">
        <v>1088</v>
      </c>
      <c r="E512" s="9" t="s">
        <v>54</v>
      </c>
      <c r="F512" s="9" t="s">
        <v>55</v>
      </c>
      <c r="G512" s="10"/>
      <c r="H512" s="10"/>
      <c r="I512" s="11">
        <v>0</v>
      </c>
      <c r="J512" s="10"/>
      <c r="K512" s="10"/>
      <c r="L512" s="12">
        <v>0</v>
      </c>
      <c r="M512" s="10"/>
      <c r="N512" s="10"/>
      <c r="O512" s="11">
        <v>0</v>
      </c>
      <c r="P512" s="10"/>
      <c r="Q512" s="10"/>
      <c r="R512" s="11">
        <v>0</v>
      </c>
      <c r="S512" s="10"/>
      <c r="T512" s="10"/>
      <c r="U512" s="11">
        <v>0</v>
      </c>
      <c r="V512" s="10"/>
      <c r="W512" s="10"/>
      <c r="X512" s="11">
        <v>0</v>
      </c>
      <c r="Y512" s="10"/>
      <c r="Z512" s="10"/>
      <c r="AA512" s="11"/>
      <c r="AB512" s="10"/>
      <c r="AC512" s="10"/>
      <c r="AD512" s="11">
        <v>0</v>
      </c>
      <c r="AE512" s="10"/>
      <c r="AF512" s="10"/>
      <c r="AG512" s="11">
        <v>0</v>
      </c>
      <c r="AH512" s="10"/>
      <c r="AI512" s="10"/>
      <c r="AJ512" s="11">
        <v>0</v>
      </c>
      <c r="AK512" s="10"/>
      <c r="AL512" s="10"/>
      <c r="AM512" s="11">
        <v>0</v>
      </c>
      <c r="AN512" s="10"/>
      <c r="AO512" s="10"/>
      <c r="AP512" s="11">
        <v>0</v>
      </c>
      <c r="AQ512" s="10"/>
      <c r="AR512" s="10"/>
      <c r="AS512" s="11">
        <v>0</v>
      </c>
      <c r="AT512" s="10"/>
      <c r="AU512" s="10"/>
      <c r="AV512" s="11">
        <v>0</v>
      </c>
      <c r="AW512" s="10"/>
      <c r="AX512" s="10"/>
      <c r="AY512" s="11">
        <v>0</v>
      </c>
      <c r="AZ512" s="10"/>
      <c r="BA512" s="10"/>
      <c r="BB512" s="11">
        <v>0</v>
      </c>
      <c r="BC512" s="10"/>
      <c r="BD512" s="10"/>
      <c r="BE512" s="11">
        <v>0</v>
      </c>
      <c r="BF512" s="10"/>
      <c r="BG512" s="10"/>
      <c r="BH512" s="11">
        <v>0</v>
      </c>
      <c r="BI512" s="10"/>
      <c r="BJ512" s="10"/>
      <c r="BK512" s="11">
        <v>0</v>
      </c>
      <c r="BL512" s="10"/>
      <c r="BM512" s="10"/>
      <c r="BN512" s="11">
        <v>0</v>
      </c>
      <c r="BO512" s="10"/>
      <c r="BP512" s="10"/>
      <c r="BQ512" s="11">
        <v>0</v>
      </c>
      <c r="BR512" s="10"/>
      <c r="BS512" s="10"/>
      <c r="BT512" s="11">
        <v>0</v>
      </c>
      <c r="BU512" s="10"/>
      <c r="BV512" s="10"/>
      <c r="BW512" s="11">
        <v>0</v>
      </c>
      <c r="BX512" s="10"/>
      <c r="BY512" s="10"/>
      <c r="BZ512" s="11">
        <v>0</v>
      </c>
      <c r="CA512" s="10"/>
      <c r="CB512" s="10"/>
      <c r="CC512" s="11">
        <v>0</v>
      </c>
      <c r="CD512" s="10"/>
      <c r="CE512" s="10"/>
      <c r="CF512" s="11">
        <v>0</v>
      </c>
      <c r="CG512" s="10"/>
      <c r="CH512" s="10"/>
      <c r="CI512" s="11">
        <v>0</v>
      </c>
      <c r="CJ512" s="10"/>
      <c r="CK512" s="10"/>
      <c r="CL512" s="11">
        <v>0</v>
      </c>
      <c r="CM512" s="10"/>
      <c r="CN512" s="10"/>
      <c r="CO512" s="11">
        <v>0</v>
      </c>
      <c r="CP512" s="10"/>
      <c r="CQ512" s="10"/>
      <c r="CR512" s="11">
        <v>0</v>
      </c>
      <c r="CS512" s="10"/>
      <c r="CT512" s="10"/>
      <c r="CU512" s="11">
        <v>0</v>
      </c>
      <c r="CV512" s="10"/>
      <c r="CW512" s="10"/>
      <c r="CX512" s="11">
        <v>0</v>
      </c>
      <c r="CY512" s="10"/>
      <c r="CZ512" s="10"/>
      <c r="DA512" s="11">
        <v>0</v>
      </c>
      <c r="DB512" s="10"/>
      <c r="DC512" s="10"/>
      <c r="DD512" s="13">
        <v>0</v>
      </c>
      <c r="DE512" s="14"/>
    </row>
    <row r="513" spans="1:109" x14ac:dyDescent="0.35">
      <c r="A513" s="8" t="s">
        <v>1089</v>
      </c>
      <c r="B513" s="9" t="s">
        <v>51</v>
      </c>
      <c r="C513" s="9" t="s">
        <v>52</v>
      </c>
      <c r="D513" s="9" t="s">
        <v>1090</v>
      </c>
      <c r="E513" s="9" t="s">
        <v>54</v>
      </c>
      <c r="F513" s="9" t="s">
        <v>55</v>
      </c>
      <c r="G513" s="10"/>
      <c r="H513" s="10"/>
      <c r="I513" s="11">
        <v>0</v>
      </c>
      <c r="J513" s="10"/>
      <c r="K513" s="10"/>
      <c r="L513" s="12">
        <v>0</v>
      </c>
      <c r="M513" s="10"/>
      <c r="N513" s="10"/>
      <c r="O513" s="11">
        <v>0</v>
      </c>
      <c r="P513" s="10"/>
      <c r="Q513" s="10"/>
      <c r="R513" s="11">
        <v>0</v>
      </c>
      <c r="S513" s="10"/>
      <c r="T513" s="10"/>
      <c r="U513" s="11">
        <v>0</v>
      </c>
      <c r="V513" s="10"/>
      <c r="W513" s="10"/>
      <c r="X513" s="11">
        <v>0</v>
      </c>
      <c r="Y513" s="10"/>
      <c r="Z513" s="10"/>
      <c r="AA513" s="11"/>
      <c r="AB513" s="10"/>
      <c r="AC513" s="10"/>
      <c r="AD513" s="11">
        <v>0</v>
      </c>
      <c r="AE513" s="10"/>
      <c r="AF513" s="10"/>
      <c r="AG513" s="11">
        <v>0</v>
      </c>
      <c r="AH513" s="10"/>
      <c r="AI513" s="10"/>
      <c r="AJ513" s="11">
        <v>0</v>
      </c>
      <c r="AK513" s="10"/>
      <c r="AL513" s="10"/>
      <c r="AM513" s="11">
        <v>0</v>
      </c>
      <c r="AN513" s="10"/>
      <c r="AO513" s="10"/>
      <c r="AP513" s="11">
        <v>0</v>
      </c>
      <c r="AQ513" s="10"/>
      <c r="AR513" s="10"/>
      <c r="AS513" s="11">
        <v>0</v>
      </c>
      <c r="AT513" s="10"/>
      <c r="AU513" s="10"/>
      <c r="AV513" s="11">
        <v>0</v>
      </c>
      <c r="AW513" s="10"/>
      <c r="AX513" s="10"/>
      <c r="AY513" s="11">
        <v>0</v>
      </c>
      <c r="AZ513" s="10"/>
      <c r="BA513" s="10"/>
      <c r="BB513" s="11">
        <v>0</v>
      </c>
      <c r="BC513" s="10"/>
      <c r="BD513" s="10"/>
      <c r="BE513" s="11">
        <v>0</v>
      </c>
      <c r="BF513" s="10"/>
      <c r="BG513" s="10"/>
      <c r="BH513" s="11">
        <v>0</v>
      </c>
      <c r="BI513" s="10"/>
      <c r="BJ513" s="10"/>
      <c r="BK513" s="11">
        <v>0</v>
      </c>
      <c r="BL513" s="10"/>
      <c r="BM513" s="10"/>
      <c r="BN513" s="11">
        <v>0</v>
      </c>
      <c r="BO513" s="10"/>
      <c r="BP513" s="10"/>
      <c r="BQ513" s="11">
        <v>0</v>
      </c>
      <c r="BR513" s="10"/>
      <c r="BS513" s="10"/>
      <c r="BT513" s="11">
        <v>0</v>
      </c>
      <c r="BU513" s="10"/>
      <c r="BV513" s="10"/>
      <c r="BW513" s="11">
        <v>0</v>
      </c>
      <c r="BX513" s="10"/>
      <c r="BY513" s="10"/>
      <c r="BZ513" s="11">
        <v>0</v>
      </c>
      <c r="CA513" s="10"/>
      <c r="CB513" s="10"/>
      <c r="CC513" s="11">
        <v>0</v>
      </c>
      <c r="CD513" s="10"/>
      <c r="CE513" s="10"/>
      <c r="CF513" s="11">
        <v>0</v>
      </c>
      <c r="CG513" s="10"/>
      <c r="CH513" s="10"/>
      <c r="CI513" s="11">
        <v>0</v>
      </c>
      <c r="CJ513" s="10"/>
      <c r="CK513" s="10"/>
      <c r="CL513" s="11">
        <v>0</v>
      </c>
      <c r="CM513" s="10"/>
      <c r="CN513" s="10"/>
      <c r="CO513" s="11">
        <v>0</v>
      </c>
      <c r="CP513" s="10"/>
      <c r="CQ513" s="10"/>
      <c r="CR513" s="11">
        <v>0</v>
      </c>
      <c r="CS513" s="10"/>
      <c r="CT513" s="10"/>
      <c r="CU513" s="11">
        <v>0</v>
      </c>
      <c r="CV513" s="10"/>
      <c r="CW513" s="10"/>
      <c r="CX513" s="11">
        <v>0</v>
      </c>
      <c r="CY513" s="10"/>
      <c r="CZ513" s="10"/>
      <c r="DA513" s="11">
        <v>0</v>
      </c>
      <c r="DB513" s="10"/>
      <c r="DC513" s="10"/>
      <c r="DD513" s="13">
        <v>0</v>
      </c>
      <c r="DE513" s="14"/>
    </row>
    <row r="514" spans="1:109" x14ac:dyDescent="0.35">
      <c r="A514" s="8" t="s">
        <v>1091</v>
      </c>
      <c r="B514" s="9" t="s">
        <v>51</v>
      </c>
      <c r="C514" s="9" t="s">
        <v>52</v>
      </c>
      <c r="D514" s="9" t="s">
        <v>1092</v>
      </c>
      <c r="E514" s="9" t="s">
        <v>54</v>
      </c>
      <c r="F514" s="9" t="s">
        <v>55</v>
      </c>
      <c r="G514" s="10"/>
      <c r="H514" s="10"/>
      <c r="I514" s="11">
        <v>0</v>
      </c>
      <c r="J514" s="10"/>
      <c r="K514" s="10"/>
      <c r="L514" s="12">
        <v>0</v>
      </c>
      <c r="M514" s="10"/>
      <c r="N514" s="10"/>
      <c r="O514" s="11">
        <v>0</v>
      </c>
      <c r="P514" s="10"/>
      <c r="Q514" s="10"/>
      <c r="R514" s="11">
        <v>0</v>
      </c>
      <c r="S514" s="10"/>
      <c r="T514" s="10"/>
      <c r="U514" s="11">
        <v>0</v>
      </c>
      <c r="V514" s="10"/>
      <c r="W514" s="10"/>
      <c r="X514" s="11">
        <v>0</v>
      </c>
      <c r="Y514" s="10"/>
      <c r="Z514" s="10"/>
      <c r="AA514" s="11"/>
      <c r="AB514" s="10"/>
      <c r="AC514" s="10"/>
      <c r="AD514" s="11">
        <v>0</v>
      </c>
      <c r="AE514" s="10"/>
      <c r="AF514" s="10"/>
      <c r="AG514" s="11">
        <v>0</v>
      </c>
      <c r="AH514" s="10"/>
      <c r="AI514" s="10"/>
      <c r="AJ514" s="11">
        <v>0</v>
      </c>
      <c r="AK514" s="10"/>
      <c r="AL514" s="10"/>
      <c r="AM514" s="11">
        <v>0</v>
      </c>
      <c r="AN514" s="10"/>
      <c r="AO514" s="10"/>
      <c r="AP514" s="11">
        <v>0</v>
      </c>
      <c r="AQ514" s="10"/>
      <c r="AR514" s="10"/>
      <c r="AS514" s="11">
        <v>0</v>
      </c>
      <c r="AT514" s="10"/>
      <c r="AU514" s="10"/>
      <c r="AV514" s="11">
        <v>0</v>
      </c>
      <c r="AW514" s="10"/>
      <c r="AX514" s="10"/>
      <c r="AY514" s="11">
        <v>0</v>
      </c>
      <c r="AZ514" s="10"/>
      <c r="BA514" s="10"/>
      <c r="BB514" s="11">
        <v>0</v>
      </c>
      <c r="BC514" s="10"/>
      <c r="BD514" s="10"/>
      <c r="BE514" s="11">
        <v>0</v>
      </c>
      <c r="BF514" s="10"/>
      <c r="BG514" s="10"/>
      <c r="BH514" s="11">
        <v>0</v>
      </c>
      <c r="BI514" s="10"/>
      <c r="BJ514" s="10"/>
      <c r="BK514" s="11">
        <v>0</v>
      </c>
      <c r="BL514" s="10"/>
      <c r="BM514" s="10"/>
      <c r="BN514" s="11">
        <v>0</v>
      </c>
      <c r="BO514" s="10"/>
      <c r="BP514" s="10"/>
      <c r="BQ514" s="11">
        <v>0</v>
      </c>
      <c r="BR514" s="10"/>
      <c r="BS514" s="10"/>
      <c r="BT514" s="11">
        <v>0</v>
      </c>
      <c r="BU514" s="10"/>
      <c r="BV514" s="10"/>
      <c r="BW514" s="11">
        <v>0</v>
      </c>
      <c r="BX514" s="10"/>
      <c r="BY514" s="10"/>
      <c r="BZ514" s="11">
        <v>0</v>
      </c>
      <c r="CA514" s="10"/>
      <c r="CB514" s="10"/>
      <c r="CC514" s="11">
        <v>0</v>
      </c>
      <c r="CD514" s="10"/>
      <c r="CE514" s="10"/>
      <c r="CF514" s="11">
        <v>0</v>
      </c>
      <c r="CG514" s="10"/>
      <c r="CH514" s="10"/>
      <c r="CI514" s="11">
        <v>0</v>
      </c>
      <c r="CJ514" s="10"/>
      <c r="CK514" s="10"/>
      <c r="CL514" s="11">
        <v>0</v>
      </c>
      <c r="CM514" s="10"/>
      <c r="CN514" s="10"/>
      <c r="CO514" s="11">
        <v>0</v>
      </c>
      <c r="CP514" s="10"/>
      <c r="CQ514" s="10"/>
      <c r="CR514" s="11">
        <v>0</v>
      </c>
      <c r="CS514" s="10"/>
      <c r="CT514" s="10"/>
      <c r="CU514" s="11">
        <v>0</v>
      </c>
      <c r="CV514" s="10"/>
      <c r="CW514" s="10"/>
      <c r="CX514" s="11">
        <v>0</v>
      </c>
      <c r="CY514" s="10"/>
      <c r="CZ514" s="10"/>
      <c r="DA514" s="11">
        <v>0</v>
      </c>
      <c r="DB514" s="10"/>
      <c r="DC514" s="10"/>
      <c r="DD514" s="13">
        <v>0</v>
      </c>
      <c r="DE514" s="14"/>
    </row>
    <row r="515" spans="1:109" x14ac:dyDescent="0.35">
      <c r="A515" s="8" t="s">
        <v>1093</v>
      </c>
      <c r="B515" s="9" t="s">
        <v>51</v>
      </c>
      <c r="C515" s="9" t="s">
        <v>52</v>
      </c>
      <c r="D515" s="9" t="s">
        <v>1094</v>
      </c>
      <c r="E515" s="9" t="s">
        <v>54</v>
      </c>
      <c r="F515" s="9" t="s">
        <v>55</v>
      </c>
      <c r="G515" s="10"/>
      <c r="H515" s="10"/>
      <c r="I515" s="11">
        <v>0</v>
      </c>
      <c r="J515" s="10"/>
      <c r="K515" s="10"/>
      <c r="L515" s="12">
        <v>0</v>
      </c>
      <c r="M515" s="10"/>
      <c r="N515" s="10"/>
      <c r="O515" s="11">
        <v>0</v>
      </c>
      <c r="P515" s="10"/>
      <c r="Q515" s="10"/>
      <c r="R515" s="11">
        <v>0</v>
      </c>
      <c r="S515" s="10"/>
      <c r="T515" s="10"/>
      <c r="U515" s="11">
        <v>0</v>
      </c>
      <c r="V515" s="10"/>
      <c r="W515" s="10"/>
      <c r="X515" s="11">
        <v>0</v>
      </c>
      <c r="Y515" s="10"/>
      <c r="Z515" s="10"/>
      <c r="AA515" s="11"/>
      <c r="AB515" s="10"/>
      <c r="AC515" s="10"/>
      <c r="AD515" s="11">
        <v>0</v>
      </c>
      <c r="AE515" s="10"/>
      <c r="AF515" s="10"/>
      <c r="AG515" s="11">
        <v>0</v>
      </c>
      <c r="AH515" s="10"/>
      <c r="AI515" s="10"/>
      <c r="AJ515" s="11">
        <v>0</v>
      </c>
      <c r="AK515" s="10"/>
      <c r="AL515" s="10"/>
      <c r="AM515" s="11">
        <v>0</v>
      </c>
      <c r="AN515" s="10"/>
      <c r="AO515" s="10"/>
      <c r="AP515" s="11">
        <v>0</v>
      </c>
      <c r="AQ515" s="10"/>
      <c r="AR515" s="10"/>
      <c r="AS515" s="11">
        <v>0</v>
      </c>
      <c r="AT515" s="10"/>
      <c r="AU515" s="10"/>
      <c r="AV515" s="11">
        <v>0</v>
      </c>
      <c r="AW515" s="10"/>
      <c r="AX515" s="10"/>
      <c r="AY515" s="11">
        <v>0</v>
      </c>
      <c r="AZ515" s="10"/>
      <c r="BA515" s="10"/>
      <c r="BB515" s="11">
        <v>0</v>
      </c>
      <c r="BC515" s="10"/>
      <c r="BD515" s="10"/>
      <c r="BE515" s="11">
        <v>0</v>
      </c>
      <c r="BF515" s="10"/>
      <c r="BG515" s="10"/>
      <c r="BH515" s="11">
        <v>0</v>
      </c>
      <c r="BI515" s="10"/>
      <c r="BJ515" s="10"/>
      <c r="BK515" s="11">
        <v>0</v>
      </c>
      <c r="BL515" s="10"/>
      <c r="BM515" s="10"/>
      <c r="BN515" s="11">
        <v>0</v>
      </c>
      <c r="BO515" s="10"/>
      <c r="BP515" s="10"/>
      <c r="BQ515" s="11">
        <v>0</v>
      </c>
      <c r="BR515" s="10"/>
      <c r="BS515" s="10"/>
      <c r="BT515" s="11">
        <v>0</v>
      </c>
      <c r="BU515" s="10"/>
      <c r="BV515" s="10"/>
      <c r="BW515" s="11">
        <v>0</v>
      </c>
      <c r="BX515" s="10"/>
      <c r="BY515" s="10"/>
      <c r="BZ515" s="11">
        <v>0</v>
      </c>
      <c r="CA515" s="10"/>
      <c r="CB515" s="10"/>
      <c r="CC515" s="11">
        <v>0</v>
      </c>
      <c r="CD515" s="10"/>
      <c r="CE515" s="10"/>
      <c r="CF515" s="11">
        <v>0</v>
      </c>
      <c r="CG515" s="10"/>
      <c r="CH515" s="10"/>
      <c r="CI515" s="11">
        <v>0</v>
      </c>
      <c r="CJ515" s="10"/>
      <c r="CK515" s="10"/>
      <c r="CL515" s="11">
        <v>0</v>
      </c>
      <c r="CM515" s="10"/>
      <c r="CN515" s="10"/>
      <c r="CO515" s="11">
        <v>0</v>
      </c>
      <c r="CP515" s="10"/>
      <c r="CQ515" s="10"/>
      <c r="CR515" s="11">
        <v>0</v>
      </c>
      <c r="CS515" s="10"/>
      <c r="CT515" s="10"/>
      <c r="CU515" s="11">
        <v>0</v>
      </c>
      <c r="CV515" s="10"/>
      <c r="CW515" s="10"/>
      <c r="CX515" s="11">
        <v>0</v>
      </c>
      <c r="CY515" s="10"/>
      <c r="CZ515" s="10"/>
      <c r="DA515" s="11">
        <v>0</v>
      </c>
      <c r="DB515" s="10"/>
      <c r="DC515" s="10"/>
      <c r="DD515" s="13">
        <v>0</v>
      </c>
      <c r="DE515" s="14"/>
    </row>
    <row r="516" spans="1:109" x14ac:dyDescent="0.35">
      <c r="A516" s="8" t="s">
        <v>1095</v>
      </c>
      <c r="B516" s="9" t="s">
        <v>51</v>
      </c>
      <c r="C516" s="9" t="s">
        <v>52</v>
      </c>
      <c r="D516" s="9" t="s">
        <v>1096</v>
      </c>
      <c r="E516" s="9" t="s">
        <v>54</v>
      </c>
      <c r="F516" s="9" t="s">
        <v>55</v>
      </c>
      <c r="G516" s="10"/>
      <c r="H516" s="10"/>
      <c r="I516" s="11">
        <v>0</v>
      </c>
      <c r="J516" s="10"/>
      <c r="K516" s="10"/>
      <c r="L516" s="12">
        <v>0</v>
      </c>
      <c r="M516" s="10"/>
      <c r="N516" s="10"/>
      <c r="O516" s="11">
        <v>0</v>
      </c>
      <c r="P516" s="10"/>
      <c r="Q516" s="10"/>
      <c r="R516" s="11">
        <v>0</v>
      </c>
      <c r="S516" s="10"/>
      <c r="T516" s="10"/>
      <c r="U516" s="11">
        <v>0</v>
      </c>
      <c r="V516" s="10"/>
      <c r="W516" s="10"/>
      <c r="X516" s="11">
        <v>0</v>
      </c>
      <c r="Y516" s="10"/>
      <c r="Z516" s="10"/>
      <c r="AA516" s="11"/>
      <c r="AB516" s="10"/>
      <c r="AC516" s="10"/>
      <c r="AD516" s="11">
        <v>0</v>
      </c>
      <c r="AE516" s="10"/>
      <c r="AF516" s="10"/>
      <c r="AG516" s="11">
        <v>0</v>
      </c>
      <c r="AH516" s="10"/>
      <c r="AI516" s="10"/>
      <c r="AJ516" s="11">
        <v>0</v>
      </c>
      <c r="AK516" s="10"/>
      <c r="AL516" s="10"/>
      <c r="AM516" s="11">
        <v>0</v>
      </c>
      <c r="AN516" s="10"/>
      <c r="AO516" s="10"/>
      <c r="AP516" s="11">
        <v>0</v>
      </c>
      <c r="AQ516" s="10"/>
      <c r="AR516" s="10"/>
      <c r="AS516" s="11">
        <v>0</v>
      </c>
      <c r="AT516" s="10"/>
      <c r="AU516" s="10"/>
      <c r="AV516" s="11">
        <v>0</v>
      </c>
      <c r="AW516" s="10"/>
      <c r="AX516" s="10"/>
      <c r="AY516" s="11">
        <v>0</v>
      </c>
      <c r="AZ516" s="10"/>
      <c r="BA516" s="10"/>
      <c r="BB516" s="11">
        <v>0</v>
      </c>
      <c r="BC516" s="10"/>
      <c r="BD516" s="10"/>
      <c r="BE516" s="11">
        <v>0</v>
      </c>
      <c r="BF516" s="10"/>
      <c r="BG516" s="10"/>
      <c r="BH516" s="11">
        <v>0</v>
      </c>
      <c r="BI516" s="10"/>
      <c r="BJ516" s="10"/>
      <c r="BK516" s="11">
        <v>0</v>
      </c>
      <c r="BL516" s="10"/>
      <c r="BM516" s="10"/>
      <c r="BN516" s="11">
        <v>0</v>
      </c>
      <c r="BO516" s="10"/>
      <c r="BP516" s="10"/>
      <c r="BQ516" s="11">
        <v>0</v>
      </c>
      <c r="BR516" s="10"/>
      <c r="BS516" s="10"/>
      <c r="BT516" s="11">
        <v>0</v>
      </c>
      <c r="BU516" s="10"/>
      <c r="BV516" s="10"/>
      <c r="BW516" s="11">
        <v>0</v>
      </c>
      <c r="BX516" s="10"/>
      <c r="BY516" s="10"/>
      <c r="BZ516" s="11">
        <v>0</v>
      </c>
      <c r="CA516" s="10"/>
      <c r="CB516" s="10"/>
      <c r="CC516" s="11">
        <v>0</v>
      </c>
      <c r="CD516" s="10"/>
      <c r="CE516" s="10"/>
      <c r="CF516" s="11">
        <v>0</v>
      </c>
      <c r="CG516" s="10"/>
      <c r="CH516" s="10"/>
      <c r="CI516" s="11">
        <v>0</v>
      </c>
      <c r="CJ516" s="10"/>
      <c r="CK516" s="10"/>
      <c r="CL516" s="11">
        <v>0</v>
      </c>
      <c r="CM516" s="10"/>
      <c r="CN516" s="10"/>
      <c r="CO516" s="11">
        <v>0</v>
      </c>
      <c r="CP516" s="10"/>
      <c r="CQ516" s="10"/>
      <c r="CR516" s="11">
        <v>0</v>
      </c>
      <c r="CS516" s="10"/>
      <c r="CT516" s="10"/>
      <c r="CU516" s="11">
        <v>0</v>
      </c>
      <c r="CV516" s="10"/>
      <c r="CW516" s="10"/>
      <c r="CX516" s="11">
        <v>0</v>
      </c>
      <c r="CY516" s="10"/>
      <c r="CZ516" s="10"/>
      <c r="DA516" s="11">
        <v>0</v>
      </c>
      <c r="DB516" s="10"/>
      <c r="DC516" s="10"/>
      <c r="DD516" s="13">
        <v>0</v>
      </c>
      <c r="DE516" s="14"/>
    </row>
    <row r="517" spans="1:109" x14ac:dyDescent="0.35">
      <c r="A517" s="8" t="s">
        <v>1097</v>
      </c>
      <c r="B517" s="9" t="s">
        <v>51</v>
      </c>
      <c r="C517" s="9" t="s">
        <v>52</v>
      </c>
      <c r="D517" s="9" t="s">
        <v>1098</v>
      </c>
      <c r="E517" s="9" t="s">
        <v>54</v>
      </c>
      <c r="F517" s="9" t="s">
        <v>55</v>
      </c>
      <c r="G517" s="10"/>
      <c r="H517" s="10"/>
      <c r="I517" s="11">
        <v>0</v>
      </c>
      <c r="J517" s="10"/>
      <c r="K517" s="10"/>
      <c r="L517" s="12">
        <v>0</v>
      </c>
      <c r="M517" s="10"/>
      <c r="N517" s="10"/>
      <c r="O517" s="11">
        <v>0</v>
      </c>
      <c r="P517" s="10"/>
      <c r="Q517" s="10"/>
      <c r="R517" s="11">
        <v>0</v>
      </c>
      <c r="S517" s="10"/>
      <c r="T517" s="10"/>
      <c r="U517" s="11">
        <v>0</v>
      </c>
      <c r="V517" s="10"/>
      <c r="W517" s="10"/>
      <c r="X517" s="11">
        <v>0</v>
      </c>
      <c r="Y517" s="10"/>
      <c r="Z517" s="10"/>
      <c r="AA517" s="11"/>
      <c r="AB517" s="10"/>
      <c r="AC517" s="10"/>
      <c r="AD517" s="11">
        <v>0</v>
      </c>
      <c r="AE517" s="10"/>
      <c r="AF517" s="10"/>
      <c r="AG517" s="11">
        <v>0</v>
      </c>
      <c r="AH517" s="10"/>
      <c r="AI517" s="10"/>
      <c r="AJ517" s="11">
        <v>0</v>
      </c>
      <c r="AK517" s="10"/>
      <c r="AL517" s="10"/>
      <c r="AM517" s="11">
        <v>0</v>
      </c>
      <c r="AN517" s="10"/>
      <c r="AO517" s="10"/>
      <c r="AP517" s="11">
        <v>0</v>
      </c>
      <c r="AQ517" s="10"/>
      <c r="AR517" s="10"/>
      <c r="AS517" s="11">
        <v>0</v>
      </c>
      <c r="AT517" s="10"/>
      <c r="AU517" s="10"/>
      <c r="AV517" s="11">
        <v>0</v>
      </c>
      <c r="AW517" s="10"/>
      <c r="AX517" s="10"/>
      <c r="AY517" s="11">
        <v>0</v>
      </c>
      <c r="AZ517" s="10"/>
      <c r="BA517" s="10"/>
      <c r="BB517" s="11">
        <v>0</v>
      </c>
      <c r="BC517" s="10"/>
      <c r="BD517" s="10"/>
      <c r="BE517" s="11">
        <v>0</v>
      </c>
      <c r="BF517" s="10"/>
      <c r="BG517" s="10"/>
      <c r="BH517" s="11">
        <v>0</v>
      </c>
      <c r="BI517" s="10"/>
      <c r="BJ517" s="10"/>
      <c r="BK517" s="11">
        <v>0</v>
      </c>
      <c r="BL517" s="10"/>
      <c r="BM517" s="10"/>
      <c r="BN517" s="11">
        <v>0</v>
      </c>
      <c r="BO517" s="10"/>
      <c r="BP517" s="10"/>
      <c r="BQ517" s="11">
        <v>0</v>
      </c>
      <c r="BR517" s="10"/>
      <c r="BS517" s="10"/>
      <c r="BT517" s="11">
        <v>0</v>
      </c>
      <c r="BU517" s="10"/>
      <c r="BV517" s="10"/>
      <c r="BW517" s="11">
        <v>0</v>
      </c>
      <c r="BX517" s="10"/>
      <c r="BY517" s="10"/>
      <c r="BZ517" s="11">
        <v>0</v>
      </c>
      <c r="CA517" s="10"/>
      <c r="CB517" s="10"/>
      <c r="CC517" s="11">
        <v>0</v>
      </c>
      <c r="CD517" s="10"/>
      <c r="CE517" s="10"/>
      <c r="CF517" s="11">
        <v>0</v>
      </c>
      <c r="CG517" s="10"/>
      <c r="CH517" s="10"/>
      <c r="CI517" s="11">
        <v>0</v>
      </c>
      <c r="CJ517" s="10"/>
      <c r="CK517" s="10"/>
      <c r="CL517" s="11">
        <v>0</v>
      </c>
      <c r="CM517" s="10"/>
      <c r="CN517" s="10"/>
      <c r="CO517" s="11">
        <v>0</v>
      </c>
      <c r="CP517" s="10"/>
      <c r="CQ517" s="10"/>
      <c r="CR517" s="11">
        <v>0</v>
      </c>
      <c r="CS517" s="10"/>
      <c r="CT517" s="10"/>
      <c r="CU517" s="11">
        <v>0</v>
      </c>
      <c r="CV517" s="10"/>
      <c r="CW517" s="10"/>
      <c r="CX517" s="11">
        <v>0</v>
      </c>
      <c r="CY517" s="10"/>
      <c r="CZ517" s="10"/>
      <c r="DA517" s="11">
        <v>0</v>
      </c>
      <c r="DB517" s="10"/>
      <c r="DC517" s="10"/>
      <c r="DD517" s="13">
        <v>0</v>
      </c>
      <c r="DE517" s="14"/>
    </row>
    <row r="518" spans="1:109" x14ac:dyDescent="0.35">
      <c r="A518" s="8" t="s">
        <v>1099</v>
      </c>
      <c r="B518" s="9" t="s">
        <v>51</v>
      </c>
      <c r="C518" s="9" t="s">
        <v>52</v>
      </c>
      <c r="D518" s="9" t="s">
        <v>1100</v>
      </c>
      <c r="E518" s="9" t="s">
        <v>54</v>
      </c>
      <c r="F518" s="9" t="s">
        <v>55</v>
      </c>
      <c r="G518" s="10"/>
      <c r="H518" s="10"/>
      <c r="I518" s="11">
        <v>0</v>
      </c>
      <c r="J518" s="10"/>
      <c r="K518" s="10"/>
      <c r="L518" s="12">
        <v>0</v>
      </c>
      <c r="M518" s="10"/>
      <c r="N518" s="10"/>
      <c r="O518" s="11">
        <v>0</v>
      </c>
      <c r="P518" s="10"/>
      <c r="Q518" s="10"/>
      <c r="R518" s="11">
        <v>0</v>
      </c>
      <c r="S518" s="10"/>
      <c r="T518" s="10"/>
      <c r="U518" s="11">
        <v>0</v>
      </c>
      <c r="V518" s="10"/>
      <c r="W518" s="10"/>
      <c r="X518" s="11">
        <v>0</v>
      </c>
      <c r="Y518" s="10"/>
      <c r="Z518" s="10"/>
      <c r="AA518" s="11"/>
      <c r="AB518" s="10"/>
      <c r="AC518" s="10"/>
      <c r="AD518" s="11">
        <v>0</v>
      </c>
      <c r="AE518" s="10"/>
      <c r="AF518" s="10"/>
      <c r="AG518" s="11">
        <v>0</v>
      </c>
      <c r="AH518" s="10"/>
      <c r="AI518" s="10"/>
      <c r="AJ518" s="11">
        <v>0</v>
      </c>
      <c r="AK518" s="10"/>
      <c r="AL518" s="10"/>
      <c r="AM518" s="11">
        <v>0</v>
      </c>
      <c r="AN518" s="10"/>
      <c r="AO518" s="10"/>
      <c r="AP518" s="11">
        <v>0</v>
      </c>
      <c r="AQ518" s="10"/>
      <c r="AR518" s="10"/>
      <c r="AS518" s="11">
        <v>0</v>
      </c>
      <c r="AT518" s="10"/>
      <c r="AU518" s="10"/>
      <c r="AV518" s="11">
        <v>0</v>
      </c>
      <c r="AW518" s="10"/>
      <c r="AX518" s="10"/>
      <c r="AY518" s="11">
        <v>0</v>
      </c>
      <c r="AZ518" s="10"/>
      <c r="BA518" s="10"/>
      <c r="BB518" s="11">
        <v>0</v>
      </c>
      <c r="BC518" s="10"/>
      <c r="BD518" s="10"/>
      <c r="BE518" s="11">
        <v>0</v>
      </c>
      <c r="BF518" s="10"/>
      <c r="BG518" s="10"/>
      <c r="BH518" s="11">
        <v>0</v>
      </c>
      <c r="BI518" s="10"/>
      <c r="BJ518" s="10"/>
      <c r="BK518" s="11">
        <v>0</v>
      </c>
      <c r="BL518" s="10"/>
      <c r="BM518" s="10"/>
      <c r="BN518" s="11">
        <v>0</v>
      </c>
      <c r="BO518" s="10"/>
      <c r="BP518" s="10"/>
      <c r="BQ518" s="11">
        <v>0</v>
      </c>
      <c r="BR518" s="10"/>
      <c r="BS518" s="10"/>
      <c r="BT518" s="11">
        <v>0</v>
      </c>
      <c r="BU518" s="10"/>
      <c r="BV518" s="10"/>
      <c r="BW518" s="11">
        <v>0</v>
      </c>
      <c r="BX518" s="10"/>
      <c r="BY518" s="10"/>
      <c r="BZ518" s="11">
        <v>0</v>
      </c>
      <c r="CA518" s="10"/>
      <c r="CB518" s="10"/>
      <c r="CC518" s="11">
        <v>0</v>
      </c>
      <c r="CD518" s="10"/>
      <c r="CE518" s="10"/>
      <c r="CF518" s="11">
        <v>0</v>
      </c>
      <c r="CG518" s="10"/>
      <c r="CH518" s="10"/>
      <c r="CI518" s="11">
        <v>0</v>
      </c>
      <c r="CJ518" s="10"/>
      <c r="CK518" s="10"/>
      <c r="CL518" s="11">
        <v>0</v>
      </c>
      <c r="CM518" s="10"/>
      <c r="CN518" s="10"/>
      <c r="CO518" s="11">
        <v>0</v>
      </c>
      <c r="CP518" s="10"/>
      <c r="CQ518" s="10"/>
      <c r="CR518" s="11">
        <v>0</v>
      </c>
      <c r="CS518" s="10"/>
      <c r="CT518" s="10"/>
      <c r="CU518" s="11">
        <v>0</v>
      </c>
      <c r="CV518" s="10"/>
      <c r="CW518" s="10"/>
      <c r="CX518" s="11">
        <v>0</v>
      </c>
      <c r="CY518" s="10"/>
      <c r="CZ518" s="10"/>
      <c r="DA518" s="11">
        <v>0</v>
      </c>
      <c r="DB518" s="10"/>
      <c r="DC518" s="10"/>
      <c r="DD518" s="13">
        <v>0</v>
      </c>
      <c r="DE518" s="14"/>
    </row>
    <row r="519" spans="1:109" x14ac:dyDescent="0.35">
      <c r="A519" s="8" t="s">
        <v>1101</v>
      </c>
      <c r="B519" s="9" t="s">
        <v>51</v>
      </c>
      <c r="C519" s="9" t="s">
        <v>52</v>
      </c>
      <c r="D519" s="9" t="s">
        <v>1102</v>
      </c>
      <c r="E519" s="9" t="s">
        <v>54</v>
      </c>
      <c r="F519" s="9" t="s">
        <v>55</v>
      </c>
      <c r="G519" s="10"/>
      <c r="H519" s="10"/>
      <c r="I519" s="11">
        <v>0</v>
      </c>
      <c r="J519" s="10"/>
      <c r="K519" s="10"/>
      <c r="L519" s="12">
        <v>0</v>
      </c>
      <c r="M519" s="10"/>
      <c r="N519" s="10"/>
      <c r="O519" s="11">
        <v>0</v>
      </c>
      <c r="P519" s="10"/>
      <c r="Q519" s="10"/>
      <c r="R519" s="11">
        <v>0</v>
      </c>
      <c r="S519" s="10"/>
      <c r="T519" s="10"/>
      <c r="U519" s="11">
        <v>0</v>
      </c>
      <c r="V519" s="10"/>
      <c r="W519" s="10"/>
      <c r="X519" s="11">
        <v>0</v>
      </c>
      <c r="Y519" s="10"/>
      <c r="Z519" s="10"/>
      <c r="AA519" s="11"/>
      <c r="AB519" s="10"/>
      <c r="AC519" s="10"/>
      <c r="AD519" s="11">
        <v>0</v>
      </c>
      <c r="AE519" s="10"/>
      <c r="AF519" s="10"/>
      <c r="AG519" s="11">
        <v>0</v>
      </c>
      <c r="AH519" s="10"/>
      <c r="AI519" s="10"/>
      <c r="AJ519" s="11">
        <v>0</v>
      </c>
      <c r="AK519" s="10"/>
      <c r="AL519" s="10"/>
      <c r="AM519" s="11">
        <v>0</v>
      </c>
      <c r="AN519" s="10"/>
      <c r="AO519" s="10"/>
      <c r="AP519" s="11">
        <v>0</v>
      </c>
      <c r="AQ519" s="10"/>
      <c r="AR519" s="10"/>
      <c r="AS519" s="11">
        <v>0</v>
      </c>
      <c r="AT519" s="10"/>
      <c r="AU519" s="10"/>
      <c r="AV519" s="11">
        <v>0</v>
      </c>
      <c r="AW519" s="10"/>
      <c r="AX519" s="10"/>
      <c r="AY519" s="11">
        <v>0</v>
      </c>
      <c r="AZ519" s="10"/>
      <c r="BA519" s="10"/>
      <c r="BB519" s="11">
        <v>0</v>
      </c>
      <c r="BC519" s="10"/>
      <c r="BD519" s="10"/>
      <c r="BE519" s="11">
        <v>0</v>
      </c>
      <c r="BF519" s="10"/>
      <c r="BG519" s="10"/>
      <c r="BH519" s="11">
        <v>0</v>
      </c>
      <c r="BI519" s="10"/>
      <c r="BJ519" s="10"/>
      <c r="BK519" s="11">
        <v>0</v>
      </c>
      <c r="BL519" s="10"/>
      <c r="BM519" s="10"/>
      <c r="BN519" s="11">
        <v>0</v>
      </c>
      <c r="BO519" s="10"/>
      <c r="BP519" s="10"/>
      <c r="BQ519" s="11">
        <v>0</v>
      </c>
      <c r="BR519" s="10"/>
      <c r="BS519" s="10"/>
      <c r="BT519" s="11">
        <v>0</v>
      </c>
      <c r="BU519" s="10"/>
      <c r="BV519" s="10"/>
      <c r="BW519" s="11">
        <v>0</v>
      </c>
      <c r="BX519" s="10"/>
      <c r="BY519" s="10"/>
      <c r="BZ519" s="11">
        <v>0</v>
      </c>
      <c r="CA519" s="10"/>
      <c r="CB519" s="10"/>
      <c r="CC519" s="11">
        <v>0</v>
      </c>
      <c r="CD519" s="10"/>
      <c r="CE519" s="10"/>
      <c r="CF519" s="11">
        <v>0</v>
      </c>
      <c r="CG519" s="10"/>
      <c r="CH519" s="10"/>
      <c r="CI519" s="11">
        <v>0</v>
      </c>
      <c r="CJ519" s="10"/>
      <c r="CK519" s="10"/>
      <c r="CL519" s="11">
        <v>0</v>
      </c>
      <c r="CM519" s="10"/>
      <c r="CN519" s="10"/>
      <c r="CO519" s="11">
        <v>0</v>
      </c>
      <c r="CP519" s="10"/>
      <c r="CQ519" s="10"/>
      <c r="CR519" s="11">
        <v>0</v>
      </c>
      <c r="CS519" s="10"/>
      <c r="CT519" s="10"/>
      <c r="CU519" s="11">
        <v>0</v>
      </c>
      <c r="CV519" s="10"/>
      <c r="CW519" s="10"/>
      <c r="CX519" s="11">
        <v>0</v>
      </c>
      <c r="CY519" s="10"/>
      <c r="CZ519" s="10"/>
      <c r="DA519" s="11">
        <v>0</v>
      </c>
      <c r="DB519" s="10"/>
      <c r="DC519" s="10"/>
      <c r="DD519" s="13">
        <v>0</v>
      </c>
      <c r="DE519" s="14"/>
    </row>
    <row r="520" spans="1:109" x14ac:dyDescent="0.35">
      <c r="A520" s="8" t="s">
        <v>1103</v>
      </c>
      <c r="B520" s="9" t="s">
        <v>51</v>
      </c>
      <c r="C520" s="9" t="s">
        <v>52</v>
      </c>
      <c r="D520" s="9" t="s">
        <v>1104</v>
      </c>
      <c r="E520" s="9" t="s">
        <v>54</v>
      </c>
      <c r="F520" s="9" t="s">
        <v>55</v>
      </c>
      <c r="G520" s="10"/>
      <c r="H520" s="10"/>
      <c r="I520" s="11">
        <v>0</v>
      </c>
      <c r="J520" s="10"/>
      <c r="K520" s="10"/>
      <c r="L520" s="12">
        <v>0</v>
      </c>
      <c r="M520" s="10"/>
      <c r="N520" s="10"/>
      <c r="O520" s="11">
        <v>0</v>
      </c>
      <c r="P520" s="10"/>
      <c r="Q520" s="10"/>
      <c r="R520" s="11">
        <v>0</v>
      </c>
      <c r="S520" s="10"/>
      <c r="T520" s="10"/>
      <c r="U520" s="11">
        <v>0</v>
      </c>
      <c r="V520" s="10"/>
      <c r="W520" s="10"/>
      <c r="X520" s="11">
        <v>0</v>
      </c>
      <c r="Y520" s="10"/>
      <c r="Z520" s="10"/>
      <c r="AA520" s="11"/>
      <c r="AB520" s="10"/>
      <c r="AC520" s="10"/>
      <c r="AD520" s="11">
        <v>0</v>
      </c>
      <c r="AE520" s="10"/>
      <c r="AF520" s="10"/>
      <c r="AG520" s="11">
        <v>0</v>
      </c>
      <c r="AH520" s="10"/>
      <c r="AI520" s="10"/>
      <c r="AJ520" s="11">
        <v>0</v>
      </c>
      <c r="AK520" s="10"/>
      <c r="AL520" s="10"/>
      <c r="AM520" s="11">
        <v>0</v>
      </c>
      <c r="AN520" s="10"/>
      <c r="AO520" s="10"/>
      <c r="AP520" s="11">
        <v>0</v>
      </c>
      <c r="AQ520" s="10"/>
      <c r="AR520" s="10"/>
      <c r="AS520" s="11">
        <v>0</v>
      </c>
      <c r="AT520" s="10"/>
      <c r="AU520" s="10"/>
      <c r="AV520" s="11">
        <v>0</v>
      </c>
      <c r="AW520" s="10"/>
      <c r="AX520" s="10"/>
      <c r="AY520" s="11">
        <v>0</v>
      </c>
      <c r="AZ520" s="10"/>
      <c r="BA520" s="10"/>
      <c r="BB520" s="11">
        <v>0</v>
      </c>
      <c r="BC520" s="10"/>
      <c r="BD520" s="10"/>
      <c r="BE520" s="11">
        <v>0</v>
      </c>
      <c r="BF520" s="10"/>
      <c r="BG520" s="10"/>
      <c r="BH520" s="11">
        <v>0</v>
      </c>
      <c r="BI520" s="10"/>
      <c r="BJ520" s="10"/>
      <c r="BK520" s="11">
        <v>0</v>
      </c>
      <c r="BL520" s="10"/>
      <c r="BM520" s="10"/>
      <c r="BN520" s="11">
        <v>0</v>
      </c>
      <c r="BO520" s="10"/>
      <c r="BP520" s="10"/>
      <c r="BQ520" s="11">
        <v>0</v>
      </c>
      <c r="BR520" s="10"/>
      <c r="BS520" s="10"/>
      <c r="BT520" s="11">
        <v>0</v>
      </c>
      <c r="BU520" s="10"/>
      <c r="BV520" s="10"/>
      <c r="BW520" s="11">
        <v>0</v>
      </c>
      <c r="BX520" s="10"/>
      <c r="BY520" s="10"/>
      <c r="BZ520" s="11">
        <v>0</v>
      </c>
      <c r="CA520" s="10"/>
      <c r="CB520" s="10"/>
      <c r="CC520" s="11">
        <v>0</v>
      </c>
      <c r="CD520" s="10"/>
      <c r="CE520" s="10"/>
      <c r="CF520" s="11">
        <v>0</v>
      </c>
      <c r="CG520" s="10"/>
      <c r="CH520" s="10"/>
      <c r="CI520" s="11">
        <v>0</v>
      </c>
      <c r="CJ520" s="10"/>
      <c r="CK520" s="10"/>
      <c r="CL520" s="11">
        <v>0</v>
      </c>
      <c r="CM520" s="10"/>
      <c r="CN520" s="10"/>
      <c r="CO520" s="11">
        <v>0</v>
      </c>
      <c r="CP520" s="10"/>
      <c r="CQ520" s="10"/>
      <c r="CR520" s="11">
        <v>0</v>
      </c>
      <c r="CS520" s="10"/>
      <c r="CT520" s="10"/>
      <c r="CU520" s="11">
        <v>0</v>
      </c>
      <c r="CV520" s="10"/>
      <c r="CW520" s="10"/>
      <c r="CX520" s="11">
        <v>0</v>
      </c>
      <c r="CY520" s="10"/>
      <c r="CZ520" s="10"/>
      <c r="DA520" s="11">
        <v>0</v>
      </c>
      <c r="DB520" s="10"/>
      <c r="DC520" s="10"/>
      <c r="DD520" s="13">
        <v>0</v>
      </c>
      <c r="DE520" s="14"/>
    </row>
    <row r="521" spans="1:109" x14ac:dyDescent="0.35">
      <c r="A521" s="8" t="s">
        <v>1105</v>
      </c>
      <c r="B521" s="9" t="s">
        <v>51</v>
      </c>
      <c r="C521" s="9" t="s">
        <v>52</v>
      </c>
      <c r="D521" s="9" t="s">
        <v>1106</v>
      </c>
      <c r="E521" s="9" t="s">
        <v>54</v>
      </c>
      <c r="F521" s="9" t="s">
        <v>55</v>
      </c>
      <c r="G521" s="10"/>
      <c r="H521" s="10"/>
      <c r="I521" s="11">
        <v>0</v>
      </c>
      <c r="J521" s="10"/>
      <c r="K521" s="10"/>
      <c r="L521" s="12">
        <v>0</v>
      </c>
      <c r="M521" s="10"/>
      <c r="N521" s="10"/>
      <c r="O521" s="11">
        <v>0</v>
      </c>
      <c r="P521" s="10"/>
      <c r="Q521" s="10"/>
      <c r="R521" s="11">
        <v>0</v>
      </c>
      <c r="S521" s="10"/>
      <c r="T521" s="10"/>
      <c r="U521" s="11">
        <v>0</v>
      </c>
      <c r="V521" s="10"/>
      <c r="W521" s="10"/>
      <c r="X521" s="11">
        <v>0</v>
      </c>
      <c r="Y521" s="10"/>
      <c r="Z521" s="10"/>
      <c r="AA521" s="11"/>
      <c r="AB521" s="10"/>
      <c r="AC521" s="10"/>
      <c r="AD521" s="11">
        <v>0</v>
      </c>
      <c r="AE521" s="10"/>
      <c r="AF521" s="10"/>
      <c r="AG521" s="11">
        <v>0</v>
      </c>
      <c r="AH521" s="10"/>
      <c r="AI521" s="10"/>
      <c r="AJ521" s="11">
        <v>0</v>
      </c>
      <c r="AK521" s="10"/>
      <c r="AL521" s="10"/>
      <c r="AM521" s="11">
        <v>0</v>
      </c>
      <c r="AN521" s="10"/>
      <c r="AO521" s="10"/>
      <c r="AP521" s="11">
        <v>0</v>
      </c>
      <c r="AQ521" s="10"/>
      <c r="AR521" s="10"/>
      <c r="AS521" s="11">
        <v>0</v>
      </c>
      <c r="AT521" s="10"/>
      <c r="AU521" s="10"/>
      <c r="AV521" s="11">
        <v>0</v>
      </c>
      <c r="AW521" s="10"/>
      <c r="AX521" s="10"/>
      <c r="AY521" s="11">
        <v>0</v>
      </c>
      <c r="AZ521" s="10"/>
      <c r="BA521" s="10"/>
      <c r="BB521" s="11">
        <v>0</v>
      </c>
      <c r="BC521" s="10"/>
      <c r="BD521" s="10"/>
      <c r="BE521" s="11">
        <v>0</v>
      </c>
      <c r="BF521" s="10"/>
      <c r="BG521" s="10"/>
      <c r="BH521" s="11">
        <v>0</v>
      </c>
      <c r="BI521" s="10"/>
      <c r="BJ521" s="10"/>
      <c r="BK521" s="11">
        <v>0</v>
      </c>
      <c r="BL521" s="10"/>
      <c r="BM521" s="10"/>
      <c r="BN521" s="11">
        <v>0</v>
      </c>
      <c r="BO521" s="10"/>
      <c r="BP521" s="10"/>
      <c r="BQ521" s="11">
        <v>0</v>
      </c>
      <c r="BR521" s="10"/>
      <c r="BS521" s="10"/>
      <c r="BT521" s="11">
        <v>0</v>
      </c>
      <c r="BU521" s="10"/>
      <c r="BV521" s="10"/>
      <c r="BW521" s="11">
        <v>0</v>
      </c>
      <c r="BX521" s="10"/>
      <c r="BY521" s="10"/>
      <c r="BZ521" s="11">
        <v>0</v>
      </c>
      <c r="CA521" s="10"/>
      <c r="CB521" s="10"/>
      <c r="CC521" s="11">
        <v>0</v>
      </c>
      <c r="CD521" s="10"/>
      <c r="CE521" s="10"/>
      <c r="CF521" s="11">
        <v>0</v>
      </c>
      <c r="CG521" s="10"/>
      <c r="CH521" s="10"/>
      <c r="CI521" s="11">
        <v>0</v>
      </c>
      <c r="CJ521" s="10"/>
      <c r="CK521" s="10"/>
      <c r="CL521" s="11">
        <v>0</v>
      </c>
      <c r="CM521" s="10"/>
      <c r="CN521" s="10"/>
      <c r="CO521" s="11">
        <v>0</v>
      </c>
      <c r="CP521" s="10"/>
      <c r="CQ521" s="10"/>
      <c r="CR521" s="11">
        <v>0</v>
      </c>
      <c r="CS521" s="10"/>
      <c r="CT521" s="10"/>
      <c r="CU521" s="11">
        <v>0</v>
      </c>
      <c r="CV521" s="10"/>
      <c r="CW521" s="10"/>
      <c r="CX521" s="11">
        <v>0</v>
      </c>
      <c r="CY521" s="10"/>
      <c r="CZ521" s="10"/>
      <c r="DA521" s="11">
        <v>0</v>
      </c>
      <c r="DB521" s="10"/>
      <c r="DC521" s="10"/>
      <c r="DD521" s="13">
        <v>0</v>
      </c>
      <c r="DE521" s="14"/>
    </row>
    <row r="522" spans="1:109" x14ac:dyDescent="0.35">
      <c r="A522" s="8" t="s">
        <v>1107</v>
      </c>
      <c r="B522" s="9" t="s">
        <v>51</v>
      </c>
      <c r="C522" s="9" t="s">
        <v>52</v>
      </c>
      <c r="D522" s="9" t="s">
        <v>1108</v>
      </c>
      <c r="E522" s="9" t="s">
        <v>54</v>
      </c>
      <c r="F522" s="9" t="s">
        <v>55</v>
      </c>
      <c r="G522" s="10"/>
      <c r="H522" s="10"/>
      <c r="I522" s="11">
        <v>0</v>
      </c>
      <c r="J522" s="10"/>
      <c r="K522" s="10"/>
      <c r="L522" s="12">
        <v>0</v>
      </c>
      <c r="M522" s="10"/>
      <c r="N522" s="10"/>
      <c r="O522" s="11">
        <v>0</v>
      </c>
      <c r="P522" s="10"/>
      <c r="Q522" s="10"/>
      <c r="R522" s="11">
        <v>0</v>
      </c>
      <c r="S522" s="10"/>
      <c r="T522" s="10"/>
      <c r="U522" s="11">
        <v>0</v>
      </c>
      <c r="V522" s="10"/>
      <c r="W522" s="10"/>
      <c r="X522" s="11">
        <v>0</v>
      </c>
      <c r="Y522" s="10"/>
      <c r="Z522" s="10"/>
      <c r="AA522" s="11"/>
      <c r="AB522" s="10"/>
      <c r="AC522" s="10"/>
      <c r="AD522" s="11">
        <v>0</v>
      </c>
      <c r="AE522" s="10"/>
      <c r="AF522" s="10"/>
      <c r="AG522" s="11">
        <v>0</v>
      </c>
      <c r="AH522" s="10"/>
      <c r="AI522" s="10"/>
      <c r="AJ522" s="11">
        <v>0</v>
      </c>
      <c r="AK522" s="10"/>
      <c r="AL522" s="10"/>
      <c r="AM522" s="11">
        <v>0</v>
      </c>
      <c r="AN522" s="10"/>
      <c r="AO522" s="10"/>
      <c r="AP522" s="11">
        <v>0</v>
      </c>
      <c r="AQ522" s="10"/>
      <c r="AR522" s="10"/>
      <c r="AS522" s="11">
        <v>0</v>
      </c>
      <c r="AT522" s="10"/>
      <c r="AU522" s="10"/>
      <c r="AV522" s="11">
        <v>0</v>
      </c>
      <c r="AW522" s="10"/>
      <c r="AX522" s="10"/>
      <c r="AY522" s="11">
        <v>0</v>
      </c>
      <c r="AZ522" s="10"/>
      <c r="BA522" s="10"/>
      <c r="BB522" s="11">
        <v>0</v>
      </c>
      <c r="BC522" s="10"/>
      <c r="BD522" s="10"/>
      <c r="BE522" s="11">
        <v>0</v>
      </c>
      <c r="BF522" s="10"/>
      <c r="BG522" s="10"/>
      <c r="BH522" s="11">
        <v>0</v>
      </c>
      <c r="BI522" s="10"/>
      <c r="BJ522" s="10"/>
      <c r="BK522" s="11">
        <v>0</v>
      </c>
      <c r="BL522" s="10"/>
      <c r="BM522" s="10"/>
      <c r="BN522" s="11">
        <v>0</v>
      </c>
      <c r="BO522" s="10"/>
      <c r="BP522" s="10"/>
      <c r="BQ522" s="11">
        <v>0</v>
      </c>
      <c r="BR522" s="10"/>
      <c r="BS522" s="10"/>
      <c r="BT522" s="11">
        <v>0</v>
      </c>
      <c r="BU522" s="10"/>
      <c r="BV522" s="10"/>
      <c r="BW522" s="11">
        <v>0</v>
      </c>
      <c r="BX522" s="10"/>
      <c r="BY522" s="10"/>
      <c r="BZ522" s="11">
        <v>0</v>
      </c>
      <c r="CA522" s="10"/>
      <c r="CB522" s="10"/>
      <c r="CC522" s="11">
        <v>0</v>
      </c>
      <c r="CD522" s="10"/>
      <c r="CE522" s="10"/>
      <c r="CF522" s="11">
        <v>0</v>
      </c>
      <c r="CG522" s="10"/>
      <c r="CH522" s="10"/>
      <c r="CI522" s="11">
        <v>0</v>
      </c>
      <c r="CJ522" s="10"/>
      <c r="CK522" s="10"/>
      <c r="CL522" s="11">
        <v>0</v>
      </c>
      <c r="CM522" s="10"/>
      <c r="CN522" s="10"/>
      <c r="CO522" s="11">
        <v>0</v>
      </c>
      <c r="CP522" s="10"/>
      <c r="CQ522" s="10"/>
      <c r="CR522" s="11">
        <v>0</v>
      </c>
      <c r="CS522" s="10"/>
      <c r="CT522" s="10"/>
      <c r="CU522" s="11">
        <v>0</v>
      </c>
      <c r="CV522" s="10"/>
      <c r="CW522" s="10"/>
      <c r="CX522" s="11">
        <v>0</v>
      </c>
      <c r="CY522" s="10"/>
      <c r="CZ522" s="10"/>
      <c r="DA522" s="11">
        <v>0</v>
      </c>
      <c r="DB522" s="10"/>
      <c r="DC522" s="10"/>
      <c r="DD522" s="13">
        <v>0</v>
      </c>
      <c r="DE522" s="14"/>
    </row>
    <row r="523" spans="1:109" x14ac:dyDescent="0.35">
      <c r="A523" s="8" t="s">
        <v>1109</v>
      </c>
      <c r="B523" s="9" t="s">
        <v>51</v>
      </c>
      <c r="C523" s="9" t="s">
        <v>52</v>
      </c>
      <c r="D523" s="9" t="s">
        <v>1110</v>
      </c>
      <c r="E523" s="9" t="s">
        <v>54</v>
      </c>
      <c r="F523" s="9" t="s">
        <v>55</v>
      </c>
      <c r="G523" s="10"/>
      <c r="H523" s="10"/>
      <c r="I523" s="11">
        <v>0</v>
      </c>
      <c r="J523" s="10"/>
      <c r="K523" s="10"/>
      <c r="L523" s="12">
        <v>0</v>
      </c>
      <c r="M523" s="10"/>
      <c r="N523" s="10"/>
      <c r="O523" s="11">
        <v>0</v>
      </c>
      <c r="P523" s="10"/>
      <c r="Q523" s="10"/>
      <c r="R523" s="11">
        <v>0</v>
      </c>
      <c r="S523" s="10"/>
      <c r="T523" s="10"/>
      <c r="U523" s="11">
        <v>0</v>
      </c>
      <c r="V523" s="10"/>
      <c r="W523" s="10"/>
      <c r="X523" s="11">
        <v>0</v>
      </c>
      <c r="Y523" s="10"/>
      <c r="Z523" s="10"/>
      <c r="AA523" s="11"/>
      <c r="AB523" s="10"/>
      <c r="AC523" s="10"/>
      <c r="AD523" s="11">
        <v>0</v>
      </c>
      <c r="AE523" s="10"/>
      <c r="AF523" s="10"/>
      <c r="AG523" s="11">
        <v>0</v>
      </c>
      <c r="AH523" s="10"/>
      <c r="AI523" s="10"/>
      <c r="AJ523" s="11">
        <v>0</v>
      </c>
      <c r="AK523" s="10"/>
      <c r="AL523" s="10"/>
      <c r="AM523" s="11">
        <v>0</v>
      </c>
      <c r="AN523" s="10"/>
      <c r="AO523" s="10"/>
      <c r="AP523" s="11">
        <v>0</v>
      </c>
      <c r="AQ523" s="10"/>
      <c r="AR523" s="10"/>
      <c r="AS523" s="11">
        <v>0</v>
      </c>
      <c r="AT523" s="10"/>
      <c r="AU523" s="10"/>
      <c r="AV523" s="11">
        <v>0</v>
      </c>
      <c r="AW523" s="10"/>
      <c r="AX523" s="10"/>
      <c r="AY523" s="11">
        <v>0</v>
      </c>
      <c r="AZ523" s="10"/>
      <c r="BA523" s="10"/>
      <c r="BB523" s="11">
        <v>0</v>
      </c>
      <c r="BC523" s="10"/>
      <c r="BD523" s="10"/>
      <c r="BE523" s="11">
        <v>0</v>
      </c>
      <c r="BF523" s="10"/>
      <c r="BG523" s="10"/>
      <c r="BH523" s="11">
        <v>0</v>
      </c>
      <c r="BI523" s="10"/>
      <c r="BJ523" s="10"/>
      <c r="BK523" s="11">
        <v>0</v>
      </c>
      <c r="BL523" s="10"/>
      <c r="BM523" s="10"/>
      <c r="BN523" s="11">
        <v>0</v>
      </c>
      <c r="BO523" s="10"/>
      <c r="BP523" s="10"/>
      <c r="BQ523" s="11">
        <v>0</v>
      </c>
      <c r="BR523" s="10"/>
      <c r="BS523" s="10"/>
      <c r="BT523" s="11">
        <v>0</v>
      </c>
      <c r="BU523" s="10"/>
      <c r="BV523" s="10"/>
      <c r="BW523" s="11">
        <v>0</v>
      </c>
      <c r="BX523" s="10"/>
      <c r="BY523" s="10"/>
      <c r="BZ523" s="11">
        <v>0</v>
      </c>
      <c r="CA523" s="10"/>
      <c r="CB523" s="10"/>
      <c r="CC523" s="11">
        <v>0</v>
      </c>
      <c r="CD523" s="10"/>
      <c r="CE523" s="10"/>
      <c r="CF523" s="11">
        <v>0</v>
      </c>
      <c r="CG523" s="10"/>
      <c r="CH523" s="10"/>
      <c r="CI523" s="11">
        <v>0</v>
      </c>
      <c r="CJ523" s="10"/>
      <c r="CK523" s="10"/>
      <c r="CL523" s="11">
        <v>0</v>
      </c>
      <c r="CM523" s="10"/>
      <c r="CN523" s="10"/>
      <c r="CO523" s="11">
        <v>0</v>
      </c>
      <c r="CP523" s="10"/>
      <c r="CQ523" s="10"/>
      <c r="CR523" s="11">
        <v>0</v>
      </c>
      <c r="CS523" s="10"/>
      <c r="CT523" s="10"/>
      <c r="CU523" s="11">
        <v>0</v>
      </c>
      <c r="CV523" s="10"/>
      <c r="CW523" s="10"/>
      <c r="CX523" s="11">
        <v>0</v>
      </c>
      <c r="CY523" s="10"/>
      <c r="CZ523" s="10"/>
      <c r="DA523" s="11">
        <v>0</v>
      </c>
      <c r="DB523" s="10"/>
      <c r="DC523" s="10"/>
      <c r="DD523" s="13">
        <v>0</v>
      </c>
      <c r="DE523" s="14"/>
    </row>
    <row r="524" spans="1:109" x14ac:dyDescent="0.35">
      <c r="A524" s="8" t="s">
        <v>1111</v>
      </c>
      <c r="B524" s="9" t="s">
        <v>74</v>
      </c>
      <c r="C524" s="9" t="s">
        <v>52</v>
      </c>
      <c r="D524" s="9" t="s">
        <v>1112</v>
      </c>
      <c r="E524" s="9" t="s">
        <v>54</v>
      </c>
      <c r="F524" s="9" t="s">
        <v>55</v>
      </c>
      <c r="G524" s="10"/>
      <c r="H524" s="10"/>
      <c r="I524" s="11">
        <v>0</v>
      </c>
      <c r="J524" s="10"/>
      <c r="K524" s="10"/>
      <c r="L524" s="12">
        <v>0</v>
      </c>
      <c r="M524" s="10"/>
      <c r="N524" s="10">
        <v>3500</v>
      </c>
      <c r="O524" s="11">
        <v>0</v>
      </c>
      <c r="P524" s="10"/>
      <c r="Q524" s="10"/>
      <c r="R524" s="11">
        <v>0</v>
      </c>
      <c r="S524" s="10"/>
      <c r="T524" s="10"/>
      <c r="U524" s="11">
        <v>0</v>
      </c>
      <c r="V524" s="10"/>
      <c r="W524" s="10"/>
      <c r="X524" s="11">
        <v>0</v>
      </c>
      <c r="Y524" s="10"/>
      <c r="Z524" s="10"/>
      <c r="AA524" s="11"/>
      <c r="AB524" s="10"/>
      <c r="AC524" s="10"/>
      <c r="AD524" s="11">
        <v>0</v>
      </c>
      <c r="AE524" s="10"/>
      <c r="AF524" s="10"/>
      <c r="AG524" s="11">
        <v>0</v>
      </c>
      <c r="AH524" s="10"/>
      <c r="AI524" s="10"/>
      <c r="AJ524" s="11">
        <v>0</v>
      </c>
      <c r="AK524" s="10"/>
      <c r="AL524" s="10"/>
      <c r="AM524" s="11">
        <v>0</v>
      </c>
      <c r="AN524" s="10"/>
      <c r="AO524" s="10"/>
      <c r="AP524" s="11">
        <v>0</v>
      </c>
      <c r="AQ524" s="10"/>
      <c r="AR524" s="10"/>
      <c r="AS524" s="11">
        <v>0</v>
      </c>
      <c r="AT524" s="10"/>
      <c r="AU524" s="10"/>
      <c r="AV524" s="11">
        <v>0</v>
      </c>
      <c r="AW524" s="10"/>
      <c r="AX524" s="10"/>
      <c r="AY524" s="11">
        <v>0</v>
      </c>
      <c r="AZ524" s="10"/>
      <c r="BA524" s="10"/>
      <c r="BB524" s="11">
        <v>0</v>
      </c>
      <c r="BC524" s="10"/>
      <c r="BD524" s="10"/>
      <c r="BE524" s="11">
        <v>0</v>
      </c>
      <c r="BF524" s="10"/>
      <c r="BG524" s="10"/>
      <c r="BH524" s="11">
        <v>0</v>
      </c>
      <c r="BI524" s="10"/>
      <c r="BJ524" s="10"/>
      <c r="BK524" s="11">
        <v>0</v>
      </c>
      <c r="BL524" s="10"/>
      <c r="BM524" s="10"/>
      <c r="BN524" s="11">
        <v>0</v>
      </c>
      <c r="BO524" s="10"/>
      <c r="BP524" s="10"/>
      <c r="BQ524" s="11">
        <v>0</v>
      </c>
      <c r="BR524" s="10"/>
      <c r="BS524" s="10"/>
      <c r="BT524" s="11">
        <v>0</v>
      </c>
      <c r="BU524" s="10"/>
      <c r="BV524" s="10"/>
      <c r="BW524" s="11">
        <v>0</v>
      </c>
      <c r="BX524" s="10"/>
      <c r="BY524" s="10"/>
      <c r="BZ524" s="11">
        <v>0</v>
      </c>
      <c r="CA524" s="10"/>
      <c r="CB524" s="10"/>
      <c r="CC524" s="11">
        <v>0</v>
      </c>
      <c r="CD524" s="10"/>
      <c r="CE524" s="10"/>
      <c r="CF524" s="11">
        <v>0</v>
      </c>
      <c r="CG524" s="10"/>
      <c r="CH524" s="10"/>
      <c r="CI524" s="11">
        <v>0</v>
      </c>
      <c r="CJ524" s="10"/>
      <c r="CK524" s="10"/>
      <c r="CL524" s="11">
        <v>0</v>
      </c>
      <c r="CM524" s="10"/>
      <c r="CN524" s="10"/>
      <c r="CO524" s="11">
        <v>0</v>
      </c>
      <c r="CP524" s="10"/>
      <c r="CQ524" s="10"/>
      <c r="CR524" s="11">
        <v>0</v>
      </c>
      <c r="CS524" s="10"/>
      <c r="CT524" s="10"/>
      <c r="CU524" s="11">
        <v>0</v>
      </c>
      <c r="CV524" s="10"/>
      <c r="CW524" s="10"/>
      <c r="CX524" s="11">
        <v>0</v>
      </c>
      <c r="CY524" s="10"/>
      <c r="CZ524" s="10"/>
      <c r="DA524" s="11">
        <v>0</v>
      </c>
      <c r="DB524" s="10"/>
      <c r="DC524" s="10">
        <f t="shared" ref="DC524" si="588">SUM(H524,K524,N524,Q524,T524,W524,Z524,AC524,AF524,AI524,AL524,AO524,AR524,AU524,AX524,BA524,BD524,BG524,BJ524,BM524,BP524,BS524,BV524,BY524,CB524,CE524,CH524,CK524,CN524,CQ524,CT524,CW524,CZ524)</f>
        <v>3500</v>
      </c>
      <c r="DD524" s="13">
        <v>0</v>
      </c>
      <c r="DE524" s="14"/>
    </row>
    <row r="525" spans="1:109" x14ac:dyDescent="0.35">
      <c r="A525" s="8" t="s">
        <v>1113</v>
      </c>
      <c r="B525" s="9" t="s">
        <v>74</v>
      </c>
      <c r="C525" s="9" t="s">
        <v>52</v>
      </c>
      <c r="D525" s="9" t="s">
        <v>1114</v>
      </c>
      <c r="E525" s="9" t="s">
        <v>54</v>
      </c>
      <c r="F525" s="9" t="s">
        <v>55</v>
      </c>
      <c r="G525" s="10"/>
      <c r="H525" s="10"/>
      <c r="I525" s="11">
        <v>0</v>
      </c>
      <c r="J525" s="10"/>
      <c r="K525" s="10"/>
      <c r="L525" s="12">
        <v>0</v>
      </c>
      <c r="M525" s="10"/>
      <c r="N525" s="10"/>
      <c r="O525" s="11">
        <v>0</v>
      </c>
      <c r="P525" s="10"/>
      <c r="Q525" s="10"/>
      <c r="R525" s="11">
        <v>0</v>
      </c>
      <c r="S525" s="10"/>
      <c r="T525" s="10"/>
      <c r="U525" s="11">
        <v>0</v>
      </c>
      <c r="V525" s="10"/>
      <c r="W525" s="10"/>
      <c r="X525" s="11">
        <v>0</v>
      </c>
      <c r="Y525" s="10"/>
      <c r="Z525" s="10"/>
      <c r="AA525" s="11"/>
      <c r="AB525" s="10"/>
      <c r="AC525" s="10"/>
      <c r="AD525" s="11">
        <v>0</v>
      </c>
      <c r="AE525" s="10"/>
      <c r="AF525" s="10"/>
      <c r="AG525" s="11">
        <v>0</v>
      </c>
      <c r="AH525" s="10"/>
      <c r="AI525" s="10"/>
      <c r="AJ525" s="11">
        <v>0</v>
      </c>
      <c r="AK525" s="10"/>
      <c r="AL525" s="10"/>
      <c r="AM525" s="11">
        <v>0</v>
      </c>
      <c r="AN525" s="10"/>
      <c r="AO525" s="10"/>
      <c r="AP525" s="11">
        <v>0</v>
      </c>
      <c r="AQ525" s="10"/>
      <c r="AR525" s="10"/>
      <c r="AS525" s="11">
        <v>0</v>
      </c>
      <c r="AT525" s="10"/>
      <c r="AU525" s="10"/>
      <c r="AV525" s="11">
        <v>0</v>
      </c>
      <c r="AW525" s="10"/>
      <c r="AX525" s="10"/>
      <c r="AY525" s="11">
        <v>0</v>
      </c>
      <c r="AZ525" s="10"/>
      <c r="BA525" s="10"/>
      <c r="BB525" s="11">
        <v>0</v>
      </c>
      <c r="BC525" s="10"/>
      <c r="BD525" s="10"/>
      <c r="BE525" s="11">
        <v>0</v>
      </c>
      <c r="BF525" s="10"/>
      <c r="BG525" s="10"/>
      <c r="BH525" s="11">
        <v>0</v>
      </c>
      <c r="BI525" s="10"/>
      <c r="BJ525" s="10"/>
      <c r="BK525" s="11">
        <v>0</v>
      </c>
      <c r="BL525" s="10"/>
      <c r="BM525" s="10"/>
      <c r="BN525" s="11">
        <v>0</v>
      </c>
      <c r="BO525" s="10"/>
      <c r="BP525" s="10"/>
      <c r="BQ525" s="11">
        <v>0</v>
      </c>
      <c r="BR525" s="10"/>
      <c r="BS525" s="10"/>
      <c r="BT525" s="11">
        <v>0</v>
      </c>
      <c r="BU525" s="10"/>
      <c r="BV525" s="10"/>
      <c r="BW525" s="11">
        <v>0</v>
      </c>
      <c r="BX525" s="10"/>
      <c r="BY525" s="10"/>
      <c r="BZ525" s="11">
        <v>0</v>
      </c>
      <c r="CA525" s="10"/>
      <c r="CB525" s="10"/>
      <c r="CC525" s="11">
        <v>0</v>
      </c>
      <c r="CD525" s="10"/>
      <c r="CE525" s="10"/>
      <c r="CF525" s="11">
        <v>0</v>
      </c>
      <c r="CG525" s="10"/>
      <c r="CH525" s="10"/>
      <c r="CI525" s="11">
        <v>0</v>
      </c>
      <c r="CJ525" s="10"/>
      <c r="CK525" s="10"/>
      <c r="CL525" s="11">
        <v>0</v>
      </c>
      <c r="CM525" s="10"/>
      <c r="CN525" s="10"/>
      <c r="CO525" s="11">
        <v>0</v>
      </c>
      <c r="CP525" s="10"/>
      <c r="CQ525" s="10"/>
      <c r="CR525" s="11">
        <v>0</v>
      </c>
      <c r="CS525" s="10"/>
      <c r="CT525" s="10"/>
      <c r="CU525" s="11">
        <v>0</v>
      </c>
      <c r="CV525" s="10"/>
      <c r="CW525" s="10"/>
      <c r="CX525" s="11">
        <v>0</v>
      </c>
      <c r="CY525" s="10"/>
      <c r="CZ525" s="10"/>
      <c r="DA525" s="11">
        <v>0</v>
      </c>
      <c r="DB525" s="10"/>
      <c r="DC525" s="10"/>
      <c r="DD525" s="13">
        <v>0</v>
      </c>
      <c r="DE525" s="14"/>
    </row>
    <row r="526" spans="1:109" x14ac:dyDescent="0.35">
      <c r="A526" s="8" t="s">
        <v>1115</v>
      </c>
      <c r="B526" s="9" t="s">
        <v>74</v>
      </c>
      <c r="C526" s="9" t="s">
        <v>52</v>
      </c>
      <c r="D526" s="9" t="s">
        <v>1116</v>
      </c>
      <c r="E526" s="9" t="s">
        <v>54</v>
      </c>
      <c r="F526" s="9" t="s">
        <v>55</v>
      </c>
      <c r="G526" s="10"/>
      <c r="H526" s="10"/>
      <c r="I526" s="11">
        <v>0</v>
      </c>
      <c r="J526" s="10"/>
      <c r="K526" s="10"/>
      <c r="L526" s="12">
        <v>0</v>
      </c>
      <c r="M526" s="10"/>
      <c r="N526" s="10"/>
      <c r="O526" s="11">
        <v>0</v>
      </c>
      <c r="P526" s="10"/>
      <c r="Q526" s="10"/>
      <c r="R526" s="11">
        <v>0</v>
      </c>
      <c r="S526" s="10"/>
      <c r="T526" s="10"/>
      <c r="U526" s="11">
        <v>0</v>
      </c>
      <c r="V526" s="10"/>
      <c r="W526" s="10"/>
      <c r="X526" s="11">
        <v>0</v>
      </c>
      <c r="Y526" s="10"/>
      <c r="Z526" s="10"/>
      <c r="AA526" s="11"/>
      <c r="AB526" s="10"/>
      <c r="AC526" s="10"/>
      <c r="AD526" s="11">
        <v>0</v>
      </c>
      <c r="AE526" s="10"/>
      <c r="AF526" s="10"/>
      <c r="AG526" s="11">
        <v>0</v>
      </c>
      <c r="AH526" s="10"/>
      <c r="AI526" s="10"/>
      <c r="AJ526" s="11">
        <v>0</v>
      </c>
      <c r="AK526" s="10"/>
      <c r="AL526" s="10"/>
      <c r="AM526" s="11">
        <v>0</v>
      </c>
      <c r="AN526" s="10"/>
      <c r="AO526" s="10"/>
      <c r="AP526" s="11">
        <v>0</v>
      </c>
      <c r="AQ526" s="10"/>
      <c r="AR526" s="10"/>
      <c r="AS526" s="11">
        <v>0</v>
      </c>
      <c r="AT526" s="10"/>
      <c r="AU526" s="10"/>
      <c r="AV526" s="11">
        <v>0</v>
      </c>
      <c r="AW526" s="10"/>
      <c r="AX526" s="10"/>
      <c r="AY526" s="11">
        <v>0</v>
      </c>
      <c r="AZ526" s="10"/>
      <c r="BA526" s="10"/>
      <c r="BB526" s="11">
        <v>0</v>
      </c>
      <c r="BC526" s="10"/>
      <c r="BD526" s="10"/>
      <c r="BE526" s="11">
        <v>0</v>
      </c>
      <c r="BF526" s="10"/>
      <c r="BG526" s="10"/>
      <c r="BH526" s="11">
        <v>0</v>
      </c>
      <c r="BI526" s="10"/>
      <c r="BJ526" s="10"/>
      <c r="BK526" s="11">
        <v>0</v>
      </c>
      <c r="BL526" s="10"/>
      <c r="BM526" s="10"/>
      <c r="BN526" s="11">
        <v>0</v>
      </c>
      <c r="BO526" s="10"/>
      <c r="BP526" s="10"/>
      <c r="BQ526" s="11">
        <v>0</v>
      </c>
      <c r="BR526" s="10"/>
      <c r="BS526" s="10"/>
      <c r="BT526" s="11">
        <v>0</v>
      </c>
      <c r="BU526" s="10"/>
      <c r="BV526" s="10"/>
      <c r="BW526" s="11">
        <v>0</v>
      </c>
      <c r="BX526" s="10"/>
      <c r="BY526" s="10"/>
      <c r="BZ526" s="11">
        <v>0</v>
      </c>
      <c r="CA526" s="10"/>
      <c r="CB526" s="10"/>
      <c r="CC526" s="11">
        <v>0</v>
      </c>
      <c r="CD526" s="10"/>
      <c r="CE526" s="10"/>
      <c r="CF526" s="11">
        <v>0</v>
      </c>
      <c r="CG526" s="10"/>
      <c r="CH526" s="10"/>
      <c r="CI526" s="11">
        <v>0</v>
      </c>
      <c r="CJ526" s="10"/>
      <c r="CK526" s="10"/>
      <c r="CL526" s="11">
        <v>0</v>
      </c>
      <c r="CM526" s="10"/>
      <c r="CN526" s="10"/>
      <c r="CO526" s="11">
        <v>0</v>
      </c>
      <c r="CP526" s="10"/>
      <c r="CQ526" s="10"/>
      <c r="CR526" s="11">
        <v>0</v>
      </c>
      <c r="CS526" s="10"/>
      <c r="CT526" s="10"/>
      <c r="CU526" s="11">
        <v>0</v>
      </c>
      <c r="CV526" s="10"/>
      <c r="CW526" s="10"/>
      <c r="CX526" s="11">
        <v>0</v>
      </c>
      <c r="CY526" s="10"/>
      <c r="CZ526" s="10"/>
      <c r="DA526" s="11">
        <v>0</v>
      </c>
      <c r="DB526" s="10"/>
      <c r="DC526" s="10"/>
      <c r="DD526" s="13">
        <v>0</v>
      </c>
      <c r="DE526" s="14"/>
    </row>
    <row r="527" spans="1:109" x14ac:dyDescent="0.35">
      <c r="A527" s="8" t="s">
        <v>1117</v>
      </c>
      <c r="B527" s="9" t="s">
        <v>74</v>
      </c>
      <c r="C527" s="9" t="s">
        <v>52</v>
      </c>
      <c r="D527" s="9" t="s">
        <v>1118</v>
      </c>
      <c r="E527" s="9" t="s">
        <v>54</v>
      </c>
      <c r="F527" s="9" t="s">
        <v>55</v>
      </c>
      <c r="G527" s="10"/>
      <c r="H527" s="10"/>
      <c r="I527" s="11">
        <v>0</v>
      </c>
      <c r="J527" s="10"/>
      <c r="K527" s="10"/>
      <c r="L527" s="12">
        <v>0</v>
      </c>
      <c r="M527" s="10"/>
      <c r="N527" s="10"/>
      <c r="O527" s="11">
        <v>0</v>
      </c>
      <c r="P527" s="10"/>
      <c r="Q527" s="10"/>
      <c r="R527" s="11">
        <v>0</v>
      </c>
      <c r="S527" s="10"/>
      <c r="T527" s="10"/>
      <c r="U527" s="11">
        <v>0</v>
      </c>
      <c r="V527" s="10"/>
      <c r="W527" s="10"/>
      <c r="X527" s="11">
        <v>0</v>
      </c>
      <c r="Y527" s="10"/>
      <c r="Z527" s="10"/>
      <c r="AA527" s="11"/>
      <c r="AB527" s="10"/>
      <c r="AC527" s="10"/>
      <c r="AD527" s="11">
        <v>0</v>
      </c>
      <c r="AE527" s="10"/>
      <c r="AF527" s="10"/>
      <c r="AG527" s="11">
        <v>0</v>
      </c>
      <c r="AH527" s="10"/>
      <c r="AI527" s="10"/>
      <c r="AJ527" s="11">
        <v>0</v>
      </c>
      <c r="AK527" s="10"/>
      <c r="AL527" s="10"/>
      <c r="AM527" s="11">
        <v>0</v>
      </c>
      <c r="AN527" s="10"/>
      <c r="AO527" s="10"/>
      <c r="AP527" s="11">
        <v>0</v>
      </c>
      <c r="AQ527" s="10"/>
      <c r="AR527" s="10"/>
      <c r="AS527" s="11">
        <v>0</v>
      </c>
      <c r="AT527" s="10"/>
      <c r="AU527" s="10"/>
      <c r="AV527" s="11">
        <v>0</v>
      </c>
      <c r="AW527" s="10"/>
      <c r="AX527" s="10"/>
      <c r="AY527" s="11">
        <v>0</v>
      </c>
      <c r="AZ527" s="10"/>
      <c r="BA527" s="10"/>
      <c r="BB527" s="11">
        <v>0</v>
      </c>
      <c r="BC527" s="10"/>
      <c r="BD527" s="10"/>
      <c r="BE527" s="11">
        <v>0</v>
      </c>
      <c r="BF527" s="10"/>
      <c r="BG527" s="10"/>
      <c r="BH527" s="11">
        <v>0</v>
      </c>
      <c r="BI527" s="10"/>
      <c r="BJ527" s="10"/>
      <c r="BK527" s="11">
        <v>0</v>
      </c>
      <c r="BL527" s="10"/>
      <c r="BM527" s="10"/>
      <c r="BN527" s="11">
        <v>0</v>
      </c>
      <c r="BO527" s="10"/>
      <c r="BP527" s="10"/>
      <c r="BQ527" s="11">
        <v>0</v>
      </c>
      <c r="BR527" s="10"/>
      <c r="BS527" s="10"/>
      <c r="BT527" s="11">
        <v>0</v>
      </c>
      <c r="BU527" s="10"/>
      <c r="BV527" s="10"/>
      <c r="BW527" s="11">
        <v>0</v>
      </c>
      <c r="BX527" s="10"/>
      <c r="BY527" s="10"/>
      <c r="BZ527" s="11">
        <v>0</v>
      </c>
      <c r="CA527" s="10"/>
      <c r="CB527" s="10"/>
      <c r="CC527" s="11">
        <v>0</v>
      </c>
      <c r="CD527" s="10"/>
      <c r="CE527" s="10"/>
      <c r="CF527" s="11">
        <v>0</v>
      </c>
      <c r="CG527" s="10"/>
      <c r="CH527" s="10"/>
      <c r="CI527" s="11">
        <v>0</v>
      </c>
      <c r="CJ527" s="10"/>
      <c r="CK527" s="10"/>
      <c r="CL527" s="11">
        <v>0</v>
      </c>
      <c r="CM527" s="10"/>
      <c r="CN527" s="10"/>
      <c r="CO527" s="11">
        <v>0</v>
      </c>
      <c r="CP527" s="10"/>
      <c r="CQ527" s="10"/>
      <c r="CR527" s="11">
        <v>0</v>
      </c>
      <c r="CS527" s="10"/>
      <c r="CT527" s="10"/>
      <c r="CU527" s="11">
        <v>0</v>
      </c>
      <c r="CV527" s="10"/>
      <c r="CW527" s="10"/>
      <c r="CX527" s="11">
        <v>0</v>
      </c>
      <c r="CY527" s="10"/>
      <c r="CZ527" s="10"/>
      <c r="DA527" s="11">
        <v>0</v>
      </c>
      <c r="DB527" s="10"/>
      <c r="DC527" s="10"/>
      <c r="DD527" s="13">
        <v>0</v>
      </c>
      <c r="DE527" s="14"/>
    </row>
    <row r="528" spans="1:109" x14ac:dyDescent="0.35">
      <c r="A528" s="8" t="s">
        <v>1119</v>
      </c>
      <c r="B528" s="9" t="s">
        <v>74</v>
      </c>
      <c r="C528" s="9" t="s">
        <v>52</v>
      </c>
      <c r="D528" s="9" t="s">
        <v>1120</v>
      </c>
      <c r="E528" s="9" t="s">
        <v>54</v>
      </c>
      <c r="F528" s="9" t="s">
        <v>55</v>
      </c>
      <c r="G528" s="10"/>
      <c r="H528" s="10"/>
      <c r="I528" s="11">
        <v>0</v>
      </c>
      <c r="J528" s="10"/>
      <c r="K528" s="10"/>
      <c r="L528" s="12">
        <v>0</v>
      </c>
      <c r="M528" s="10"/>
      <c r="N528" s="10"/>
      <c r="O528" s="11">
        <v>0</v>
      </c>
      <c r="P528" s="10"/>
      <c r="Q528" s="10"/>
      <c r="R528" s="11">
        <v>0</v>
      </c>
      <c r="S528" s="10"/>
      <c r="T528" s="10"/>
      <c r="U528" s="11">
        <v>0</v>
      </c>
      <c r="V528" s="10"/>
      <c r="W528" s="10"/>
      <c r="X528" s="11">
        <v>0</v>
      </c>
      <c r="Y528" s="10"/>
      <c r="Z528" s="10"/>
      <c r="AA528" s="11"/>
      <c r="AB528" s="10"/>
      <c r="AC528" s="10"/>
      <c r="AD528" s="11">
        <v>0</v>
      </c>
      <c r="AE528" s="10"/>
      <c r="AF528" s="10"/>
      <c r="AG528" s="11">
        <v>0</v>
      </c>
      <c r="AH528" s="10"/>
      <c r="AI528" s="10"/>
      <c r="AJ528" s="11">
        <v>0</v>
      </c>
      <c r="AK528" s="10"/>
      <c r="AL528" s="10"/>
      <c r="AM528" s="11">
        <v>0</v>
      </c>
      <c r="AN528" s="10"/>
      <c r="AO528" s="10"/>
      <c r="AP528" s="11">
        <v>0</v>
      </c>
      <c r="AQ528" s="10"/>
      <c r="AR528" s="10"/>
      <c r="AS528" s="11">
        <v>0</v>
      </c>
      <c r="AT528" s="10"/>
      <c r="AU528" s="10"/>
      <c r="AV528" s="11">
        <v>0</v>
      </c>
      <c r="AW528" s="10"/>
      <c r="AX528" s="10"/>
      <c r="AY528" s="11">
        <v>0</v>
      </c>
      <c r="AZ528" s="10"/>
      <c r="BA528" s="10"/>
      <c r="BB528" s="11">
        <v>0</v>
      </c>
      <c r="BC528" s="10"/>
      <c r="BD528" s="10"/>
      <c r="BE528" s="11">
        <v>0</v>
      </c>
      <c r="BF528" s="10"/>
      <c r="BG528" s="10"/>
      <c r="BH528" s="11">
        <v>0</v>
      </c>
      <c r="BI528" s="10"/>
      <c r="BJ528" s="10"/>
      <c r="BK528" s="11">
        <v>0</v>
      </c>
      <c r="BL528" s="10"/>
      <c r="BM528" s="10"/>
      <c r="BN528" s="11">
        <v>0</v>
      </c>
      <c r="BO528" s="10"/>
      <c r="BP528" s="10"/>
      <c r="BQ528" s="11">
        <v>0</v>
      </c>
      <c r="BR528" s="10"/>
      <c r="BS528" s="10"/>
      <c r="BT528" s="11">
        <v>0</v>
      </c>
      <c r="BU528" s="10"/>
      <c r="BV528" s="10"/>
      <c r="BW528" s="11">
        <v>0</v>
      </c>
      <c r="BX528" s="10"/>
      <c r="BY528" s="10"/>
      <c r="BZ528" s="11">
        <v>0</v>
      </c>
      <c r="CA528" s="10"/>
      <c r="CB528" s="10"/>
      <c r="CC528" s="11">
        <v>0</v>
      </c>
      <c r="CD528" s="10"/>
      <c r="CE528" s="10"/>
      <c r="CF528" s="11">
        <v>0</v>
      </c>
      <c r="CG528" s="10"/>
      <c r="CH528" s="10"/>
      <c r="CI528" s="11">
        <v>0</v>
      </c>
      <c r="CJ528" s="10"/>
      <c r="CK528" s="10"/>
      <c r="CL528" s="11">
        <v>0</v>
      </c>
      <c r="CM528" s="10"/>
      <c r="CN528" s="10"/>
      <c r="CO528" s="11">
        <v>0</v>
      </c>
      <c r="CP528" s="10"/>
      <c r="CQ528" s="10"/>
      <c r="CR528" s="11">
        <v>0</v>
      </c>
      <c r="CS528" s="10"/>
      <c r="CT528" s="10"/>
      <c r="CU528" s="11">
        <v>0</v>
      </c>
      <c r="CV528" s="10"/>
      <c r="CW528" s="10"/>
      <c r="CX528" s="11">
        <v>0</v>
      </c>
      <c r="CY528" s="10"/>
      <c r="CZ528" s="10"/>
      <c r="DA528" s="11">
        <v>0</v>
      </c>
      <c r="DB528" s="10"/>
      <c r="DC528" s="10"/>
      <c r="DD528" s="13">
        <v>0</v>
      </c>
      <c r="DE528" s="14"/>
    </row>
    <row r="529" spans="1:109" x14ac:dyDescent="0.35">
      <c r="A529" s="8" t="s">
        <v>1121</v>
      </c>
      <c r="B529" s="9" t="s">
        <v>74</v>
      </c>
      <c r="C529" s="9" t="s">
        <v>52</v>
      </c>
      <c r="D529" s="9" t="s">
        <v>1122</v>
      </c>
      <c r="E529" s="9" t="s">
        <v>54</v>
      </c>
      <c r="F529" s="9" t="s">
        <v>55</v>
      </c>
      <c r="G529" s="10"/>
      <c r="H529" s="10"/>
      <c r="I529" s="11">
        <v>0</v>
      </c>
      <c r="J529" s="10"/>
      <c r="K529" s="10"/>
      <c r="L529" s="12">
        <v>0</v>
      </c>
      <c r="M529" s="10"/>
      <c r="N529" s="10"/>
      <c r="O529" s="11">
        <v>0</v>
      </c>
      <c r="P529" s="10"/>
      <c r="Q529" s="10"/>
      <c r="R529" s="11">
        <v>0</v>
      </c>
      <c r="S529" s="10"/>
      <c r="T529" s="10"/>
      <c r="U529" s="11">
        <v>0</v>
      </c>
      <c r="V529" s="10"/>
      <c r="W529" s="10"/>
      <c r="X529" s="11">
        <v>0</v>
      </c>
      <c r="Y529" s="10"/>
      <c r="Z529" s="10"/>
      <c r="AA529" s="11"/>
      <c r="AB529" s="10"/>
      <c r="AC529" s="10"/>
      <c r="AD529" s="11">
        <v>0</v>
      </c>
      <c r="AE529" s="10"/>
      <c r="AF529" s="10"/>
      <c r="AG529" s="11">
        <v>0</v>
      </c>
      <c r="AH529" s="10"/>
      <c r="AI529" s="10"/>
      <c r="AJ529" s="11">
        <v>0</v>
      </c>
      <c r="AK529" s="10"/>
      <c r="AL529" s="10"/>
      <c r="AM529" s="11">
        <v>0</v>
      </c>
      <c r="AN529" s="10"/>
      <c r="AO529" s="10"/>
      <c r="AP529" s="11">
        <v>0</v>
      </c>
      <c r="AQ529" s="10"/>
      <c r="AR529" s="10"/>
      <c r="AS529" s="11">
        <v>0</v>
      </c>
      <c r="AT529" s="10"/>
      <c r="AU529" s="10"/>
      <c r="AV529" s="11">
        <v>0</v>
      </c>
      <c r="AW529" s="10"/>
      <c r="AX529" s="10"/>
      <c r="AY529" s="11">
        <v>0</v>
      </c>
      <c r="AZ529" s="10"/>
      <c r="BA529" s="10"/>
      <c r="BB529" s="11">
        <v>0</v>
      </c>
      <c r="BC529" s="10"/>
      <c r="BD529" s="10"/>
      <c r="BE529" s="11">
        <v>0</v>
      </c>
      <c r="BF529" s="10"/>
      <c r="BG529" s="10"/>
      <c r="BH529" s="11">
        <v>0</v>
      </c>
      <c r="BI529" s="10"/>
      <c r="BJ529" s="10"/>
      <c r="BK529" s="11">
        <v>0</v>
      </c>
      <c r="BL529" s="10"/>
      <c r="BM529" s="10"/>
      <c r="BN529" s="11">
        <v>0</v>
      </c>
      <c r="BO529" s="10"/>
      <c r="BP529" s="10"/>
      <c r="BQ529" s="11">
        <v>0</v>
      </c>
      <c r="BR529" s="10"/>
      <c r="BS529" s="10"/>
      <c r="BT529" s="11">
        <v>0</v>
      </c>
      <c r="BU529" s="10"/>
      <c r="BV529" s="10"/>
      <c r="BW529" s="11">
        <v>0</v>
      </c>
      <c r="BX529" s="10"/>
      <c r="BY529" s="10"/>
      <c r="BZ529" s="11">
        <v>0</v>
      </c>
      <c r="CA529" s="10"/>
      <c r="CB529" s="10"/>
      <c r="CC529" s="11">
        <v>0</v>
      </c>
      <c r="CD529" s="10"/>
      <c r="CE529" s="10"/>
      <c r="CF529" s="11">
        <v>0</v>
      </c>
      <c r="CG529" s="10"/>
      <c r="CH529" s="10"/>
      <c r="CI529" s="11">
        <v>0</v>
      </c>
      <c r="CJ529" s="10"/>
      <c r="CK529" s="10"/>
      <c r="CL529" s="11">
        <v>0</v>
      </c>
      <c r="CM529" s="10"/>
      <c r="CN529" s="10"/>
      <c r="CO529" s="11">
        <v>0</v>
      </c>
      <c r="CP529" s="10"/>
      <c r="CQ529" s="10"/>
      <c r="CR529" s="11">
        <v>0</v>
      </c>
      <c r="CS529" s="10"/>
      <c r="CT529" s="10"/>
      <c r="CU529" s="11">
        <v>0</v>
      </c>
      <c r="CV529" s="10"/>
      <c r="CW529" s="10"/>
      <c r="CX529" s="11">
        <v>0</v>
      </c>
      <c r="CY529" s="10"/>
      <c r="CZ529" s="10"/>
      <c r="DA529" s="11">
        <v>0</v>
      </c>
      <c r="DB529" s="10"/>
      <c r="DC529" s="10"/>
      <c r="DD529" s="13">
        <v>0</v>
      </c>
      <c r="DE529" s="14"/>
    </row>
    <row r="530" spans="1:109" x14ac:dyDescent="0.35">
      <c r="A530" s="8" t="s">
        <v>1123</v>
      </c>
      <c r="B530" s="9" t="s">
        <v>74</v>
      </c>
      <c r="C530" s="9" t="s">
        <v>52</v>
      </c>
      <c r="D530" s="9" t="s">
        <v>1124</v>
      </c>
      <c r="E530" s="9" t="s">
        <v>54</v>
      </c>
      <c r="F530" s="9" t="s">
        <v>55</v>
      </c>
      <c r="G530" s="10"/>
      <c r="H530" s="10"/>
      <c r="I530" s="11">
        <v>0</v>
      </c>
      <c r="J530" s="10"/>
      <c r="K530" s="10"/>
      <c r="L530" s="12">
        <v>0</v>
      </c>
      <c r="M530" s="10"/>
      <c r="N530" s="10"/>
      <c r="O530" s="11">
        <v>0</v>
      </c>
      <c r="P530" s="10"/>
      <c r="Q530" s="10"/>
      <c r="R530" s="11">
        <v>0</v>
      </c>
      <c r="S530" s="10"/>
      <c r="T530" s="10"/>
      <c r="U530" s="11">
        <v>0</v>
      </c>
      <c r="V530" s="10"/>
      <c r="W530" s="10"/>
      <c r="X530" s="11">
        <v>0</v>
      </c>
      <c r="Y530" s="10"/>
      <c r="Z530" s="10"/>
      <c r="AA530" s="11"/>
      <c r="AB530" s="10"/>
      <c r="AC530" s="10"/>
      <c r="AD530" s="11">
        <v>0</v>
      </c>
      <c r="AE530" s="10"/>
      <c r="AF530" s="10"/>
      <c r="AG530" s="11">
        <v>0</v>
      </c>
      <c r="AH530" s="10"/>
      <c r="AI530" s="10"/>
      <c r="AJ530" s="11">
        <v>0</v>
      </c>
      <c r="AK530" s="10"/>
      <c r="AL530" s="10"/>
      <c r="AM530" s="11">
        <v>0</v>
      </c>
      <c r="AN530" s="10"/>
      <c r="AO530" s="10"/>
      <c r="AP530" s="11">
        <v>0</v>
      </c>
      <c r="AQ530" s="10"/>
      <c r="AR530" s="10"/>
      <c r="AS530" s="11">
        <v>0</v>
      </c>
      <c r="AT530" s="10"/>
      <c r="AU530" s="10"/>
      <c r="AV530" s="11">
        <v>0</v>
      </c>
      <c r="AW530" s="10"/>
      <c r="AX530" s="10"/>
      <c r="AY530" s="11">
        <v>0</v>
      </c>
      <c r="AZ530" s="10"/>
      <c r="BA530" s="10"/>
      <c r="BB530" s="11">
        <v>0</v>
      </c>
      <c r="BC530" s="10"/>
      <c r="BD530" s="10"/>
      <c r="BE530" s="11">
        <v>0</v>
      </c>
      <c r="BF530" s="10"/>
      <c r="BG530" s="10"/>
      <c r="BH530" s="11">
        <v>0</v>
      </c>
      <c r="BI530" s="10"/>
      <c r="BJ530" s="10"/>
      <c r="BK530" s="11">
        <v>0</v>
      </c>
      <c r="BL530" s="10"/>
      <c r="BM530" s="10"/>
      <c r="BN530" s="11">
        <v>0</v>
      </c>
      <c r="BO530" s="10"/>
      <c r="BP530" s="10"/>
      <c r="BQ530" s="11">
        <v>0</v>
      </c>
      <c r="BR530" s="10"/>
      <c r="BS530" s="10"/>
      <c r="BT530" s="11">
        <v>0</v>
      </c>
      <c r="BU530" s="10"/>
      <c r="BV530" s="10"/>
      <c r="BW530" s="11">
        <v>0</v>
      </c>
      <c r="BX530" s="10"/>
      <c r="BY530" s="10"/>
      <c r="BZ530" s="11">
        <v>0</v>
      </c>
      <c r="CA530" s="10"/>
      <c r="CB530" s="10"/>
      <c r="CC530" s="11">
        <v>0</v>
      </c>
      <c r="CD530" s="10"/>
      <c r="CE530" s="10"/>
      <c r="CF530" s="11">
        <v>0</v>
      </c>
      <c r="CG530" s="10"/>
      <c r="CH530" s="10"/>
      <c r="CI530" s="11">
        <v>0</v>
      </c>
      <c r="CJ530" s="10"/>
      <c r="CK530" s="10"/>
      <c r="CL530" s="11">
        <v>0</v>
      </c>
      <c r="CM530" s="10"/>
      <c r="CN530" s="10"/>
      <c r="CO530" s="11">
        <v>0</v>
      </c>
      <c r="CP530" s="10"/>
      <c r="CQ530" s="10"/>
      <c r="CR530" s="11">
        <v>0</v>
      </c>
      <c r="CS530" s="10"/>
      <c r="CT530" s="10"/>
      <c r="CU530" s="11">
        <v>0</v>
      </c>
      <c r="CV530" s="10"/>
      <c r="CW530" s="10"/>
      <c r="CX530" s="11">
        <v>0</v>
      </c>
      <c r="CY530" s="10"/>
      <c r="CZ530" s="10"/>
      <c r="DA530" s="11">
        <v>0</v>
      </c>
      <c r="DB530" s="10"/>
      <c r="DC530" s="10"/>
      <c r="DD530" s="13">
        <v>0</v>
      </c>
      <c r="DE530" s="14"/>
    </row>
    <row r="531" spans="1:109" x14ac:dyDescent="0.35">
      <c r="A531" s="8" t="s">
        <v>1125</v>
      </c>
      <c r="B531" s="9" t="s">
        <v>74</v>
      </c>
      <c r="C531" s="9" t="s">
        <v>52</v>
      </c>
      <c r="D531" s="9" t="s">
        <v>1126</v>
      </c>
      <c r="E531" s="9" t="s">
        <v>54</v>
      </c>
      <c r="F531" s="9" t="s">
        <v>55</v>
      </c>
      <c r="G531" s="10"/>
      <c r="H531" s="10"/>
      <c r="I531" s="11">
        <v>0</v>
      </c>
      <c r="J531" s="10"/>
      <c r="K531" s="10"/>
      <c r="L531" s="12">
        <v>0</v>
      </c>
      <c r="M531" s="10"/>
      <c r="N531" s="10"/>
      <c r="O531" s="11">
        <v>0</v>
      </c>
      <c r="P531" s="10"/>
      <c r="Q531" s="10"/>
      <c r="R531" s="11">
        <v>0</v>
      </c>
      <c r="S531" s="10"/>
      <c r="T531" s="10"/>
      <c r="U531" s="11">
        <v>0</v>
      </c>
      <c r="V531" s="10"/>
      <c r="W531" s="10"/>
      <c r="X531" s="11">
        <v>0</v>
      </c>
      <c r="Y531" s="10"/>
      <c r="Z531" s="10"/>
      <c r="AA531" s="11"/>
      <c r="AB531" s="10"/>
      <c r="AC531" s="10"/>
      <c r="AD531" s="11">
        <v>0</v>
      </c>
      <c r="AE531" s="10"/>
      <c r="AF531" s="10"/>
      <c r="AG531" s="11">
        <v>0</v>
      </c>
      <c r="AH531" s="10"/>
      <c r="AI531" s="10"/>
      <c r="AJ531" s="11">
        <v>0</v>
      </c>
      <c r="AK531" s="10"/>
      <c r="AL531" s="10"/>
      <c r="AM531" s="11">
        <v>0</v>
      </c>
      <c r="AN531" s="10"/>
      <c r="AO531" s="10"/>
      <c r="AP531" s="11">
        <v>0</v>
      </c>
      <c r="AQ531" s="10"/>
      <c r="AR531" s="10"/>
      <c r="AS531" s="11">
        <v>0</v>
      </c>
      <c r="AT531" s="10"/>
      <c r="AU531" s="10"/>
      <c r="AV531" s="11">
        <v>0</v>
      </c>
      <c r="AW531" s="10"/>
      <c r="AX531" s="10"/>
      <c r="AY531" s="11">
        <v>0</v>
      </c>
      <c r="AZ531" s="10"/>
      <c r="BA531" s="10"/>
      <c r="BB531" s="11">
        <v>0</v>
      </c>
      <c r="BC531" s="10"/>
      <c r="BD531" s="10"/>
      <c r="BE531" s="11">
        <v>0</v>
      </c>
      <c r="BF531" s="10"/>
      <c r="BG531" s="10"/>
      <c r="BH531" s="11">
        <v>0</v>
      </c>
      <c r="BI531" s="10"/>
      <c r="BJ531" s="10"/>
      <c r="BK531" s="11">
        <v>0</v>
      </c>
      <c r="BL531" s="10"/>
      <c r="BM531" s="10"/>
      <c r="BN531" s="11">
        <v>0</v>
      </c>
      <c r="BO531" s="10"/>
      <c r="BP531" s="10"/>
      <c r="BQ531" s="11">
        <v>0</v>
      </c>
      <c r="BR531" s="10"/>
      <c r="BS531" s="10"/>
      <c r="BT531" s="11">
        <v>0</v>
      </c>
      <c r="BU531" s="10"/>
      <c r="BV531" s="10"/>
      <c r="BW531" s="11">
        <v>0</v>
      </c>
      <c r="BX531" s="10"/>
      <c r="BY531" s="10"/>
      <c r="BZ531" s="11">
        <v>0</v>
      </c>
      <c r="CA531" s="10"/>
      <c r="CB531" s="10"/>
      <c r="CC531" s="11">
        <v>0</v>
      </c>
      <c r="CD531" s="10"/>
      <c r="CE531" s="10"/>
      <c r="CF531" s="11">
        <v>0</v>
      </c>
      <c r="CG531" s="10"/>
      <c r="CH531" s="10"/>
      <c r="CI531" s="11">
        <v>0</v>
      </c>
      <c r="CJ531" s="10"/>
      <c r="CK531" s="10"/>
      <c r="CL531" s="11">
        <v>0</v>
      </c>
      <c r="CM531" s="10"/>
      <c r="CN531" s="10"/>
      <c r="CO531" s="11">
        <v>0</v>
      </c>
      <c r="CP531" s="10"/>
      <c r="CQ531" s="10"/>
      <c r="CR531" s="11">
        <v>0</v>
      </c>
      <c r="CS531" s="10"/>
      <c r="CT531" s="10"/>
      <c r="CU531" s="11">
        <v>0</v>
      </c>
      <c r="CV531" s="10"/>
      <c r="CW531" s="10"/>
      <c r="CX531" s="11">
        <v>0</v>
      </c>
      <c r="CY531" s="10"/>
      <c r="CZ531" s="10"/>
      <c r="DA531" s="11">
        <v>0</v>
      </c>
      <c r="DB531" s="10"/>
      <c r="DC531" s="10"/>
      <c r="DD531" s="13">
        <v>0</v>
      </c>
      <c r="DE531" s="14"/>
    </row>
    <row r="532" spans="1:109" x14ac:dyDescent="0.35">
      <c r="A532" s="8" t="s">
        <v>1127</v>
      </c>
      <c r="B532" s="9" t="s">
        <v>74</v>
      </c>
      <c r="C532" s="9" t="s">
        <v>52</v>
      </c>
      <c r="D532" s="9" t="s">
        <v>1128</v>
      </c>
      <c r="E532" s="9" t="s">
        <v>54</v>
      </c>
      <c r="F532" s="9" t="s">
        <v>55</v>
      </c>
      <c r="G532" s="10"/>
      <c r="H532" s="10"/>
      <c r="I532" s="11">
        <v>0</v>
      </c>
      <c r="J532" s="10"/>
      <c r="K532" s="10"/>
      <c r="L532" s="12">
        <v>0</v>
      </c>
      <c r="M532" s="10"/>
      <c r="N532" s="10"/>
      <c r="O532" s="11">
        <v>0</v>
      </c>
      <c r="P532" s="10"/>
      <c r="Q532" s="10"/>
      <c r="R532" s="11">
        <v>0</v>
      </c>
      <c r="S532" s="10"/>
      <c r="T532" s="10"/>
      <c r="U532" s="11">
        <v>0</v>
      </c>
      <c r="V532" s="10"/>
      <c r="W532" s="10"/>
      <c r="X532" s="11">
        <v>0</v>
      </c>
      <c r="Y532" s="10"/>
      <c r="Z532" s="10"/>
      <c r="AA532" s="11"/>
      <c r="AB532" s="10"/>
      <c r="AC532" s="10"/>
      <c r="AD532" s="11">
        <v>0</v>
      </c>
      <c r="AE532" s="10"/>
      <c r="AF532" s="10"/>
      <c r="AG532" s="11">
        <v>0</v>
      </c>
      <c r="AH532" s="10"/>
      <c r="AI532" s="10"/>
      <c r="AJ532" s="11">
        <v>0</v>
      </c>
      <c r="AK532" s="10"/>
      <c r="AL532" s="10"/>
      <c r="AM532" s="11">
        <v>0</v>
      </c>
      <c r="AN532" s="10"/>
      <c r="AO532" s="10"/>
      <c r="AP532" s="11">
        <v>0</v>
      </c>
      <c r="AQ532" s="10"/>
      <c r="AR532" s="10"/>
      <c r="AS532" s="11">
        <v>0</v>
      </c>
      <c r="AT532" s="10"/>
      <c r="AU532" s="10"/>
      <c r="AV532" s="11">
        <v>0</v>
      </c>
      <c r="AW532" s="10"/>
      <c r="AX532" s="10"/>
      <c r="AY532" s="11">
        <v>0</v>
      </c>
      <c r="AZ532" s="10"/>
      <c r="BA532" s="10"/>
      <c r="BB532" s="11">
        <v>0</v>
      </c>
      <c r="BC532" s="10"/>
      <c r="BD532" s="10"/>
      <c r="BE532" s="11">
        <v>0</v>
      </c>
      <c r="BF532" s="10"/>
      <c r="BG532" s="10"/>
      <c r="BH532" s="11">
        <v>0</v>
      </c>
      <c r="BI532" s="10"/>
      <c r="BJ532" s="10"/>
      <c r="BK532" s="11">
        <v>0</v>
      </c>
      <c r="BL532" s="10"/>
      <c r="BM532" s="10"/>
      <c r="BN532" s="11">
        <v>0</v>
      </c>
      <c r="BO532" s="10"/>
      <c r="BP532" s="10"/>
      <c r="BQ532" s="11">
        <v>0</v>
      </c>
      <c r="BR532" s="10"/>
      <c r="BS532" s="10"/>
      <c r="BT532" s="11">
        <v>0</v>
      </c>
      <c r="BU532" s="10"/>
      <c r="BV532" s="10"/>
      <c r="BW532" s="11">
        <v>0</v>
      </c>
      <c r="BX532" s="10"/>
      <c r="BY532" s="10"/>
      <c r="BZ532" s="11">
        <v>0</v>
      </c>
      <c r="CA532" s="10"/>
      <c r="CB532" s="10"/>
      <c r="CC532" s="11">
        <v>0</v>
      </c>
      <c r="CD532" s="10"/>
      <c r="CE532" s="10"/>
      <c r="CF532" s="11">
        <v>0</v>
      </c>
      <c r="CG532" s="10"/>
      <c r="CH532" s="10"/>
      <c r="CI532" s="11">
        <v>0</v>
      </c>
      <c r="CJ532" s="10"/>
      <c r="CK532" s="10"/>
      <c r="CL532" s="11">
        <v>0</v>
      </c>
      <c r="CM532" s="10"/>
      <c r="CN532" s="10"/>
      <c r="CO532" s="11">
        <v>0</v>
      </c>
      <c r="CP532" s="10"/>
      <c r="CQ532" s="10"/>
      <c r="CR532" s="11">
        <v>0</v>
      </c>
      <c r="CS532" s="10"/>
      <c r="CT532" s="10"/>
      <c r="CU532" s="11">
        <v>0</v>
      </c>
      <c r="CV532" s="10"/>
      <c r="CW532" s="10"/>
      <c r="CX532" s="11">
        <v>0</v>
      </c>
      <c r="CY532" s="10"/>
      <c r="CZ532" s="10"/>
      <c r="DA532" s="11">
        <v>0</v>
      </c>
      <c r="DB532" s="10"/>
      <c r="DC532" s="10"/>
      <c r="DD532" s="13">
        <v>0</v>
      </c>
      <c r="DE532" s="14"/>
    </row>
    <row r="533" spans="1:109" x14ac:dyDescent="0.35">
      <c r="A533" s="8" t="s">
        <v>1129</v>
      </c>
      <c r="B533" s="9" t="s">
        <v>51</v>
      </c>
      <c r="C533" s="9" t="s">
        <v>52</v>
      </c>
      <c r="D533" s="9" t="s">
        <v>1130</v>
      </c>
      <c r="E533" s="9" t="s">
        <v>54</v>
      </c>
      <c r="F533" s="9" t="s">
        <v>55</v>
      </c>
      <c r="G533" s="10"/>
      <c r="H533" s="10"/>
      <c r="I533" s="11">
        <v>0</v>
      </c>
      <c r="J533" s="10"/>
      <c r="K533" s="10"/>
      <c r="L533" s="12">
        <v>0</v>
      </c>
      <c r="M533" s="10"/>
      <c r="N533" s="10"/>
      <c r="O533" s="11">
        <v>0</v>
      </c>
      <c r="P533" s="10"/>
      <c r="Q533" s="10"/>
      <c r="R533" s="11">
        <v>0</v>
      </c>
      <c r="S533" s="10"/>
      <c r="T533" s="10"/>
      <c r="U533" s="11">
        <v>0</v>
      </c>
      <c r="V533" s="10"/>
      <c r="W533" s="10"/>
      <c r="X533" s="11">
        <v>0</v>
      </c>
      <c r="Y533" s="10"/>
      <c r="Z533" s="10"/>
      <c r="AA533" s="11"/>
      <c r="AB533" s="10"/>
      <c r="AC533" s="10"/>
      <c r="AD533" s="11">
        <v>0</v>
      </c>
      <c r="AE533" s="10"/>
      <c r="AF533" s="10"/>
      <c r="AG533" s="11">
        <v>0</v>
      </c>
      <c r="AH533" s="10"/>
      <c r="AI533" s="10"/>
      <c r="AJ533" s="11">
        <v>0</v>
      </c>
      <c r="AK533" s="10"/>
      <c r="AL533" s="10"/>
      <c r="AM533" s="11">
        <v>0</v>
      </c>
      <c r="AN533" s="10"/>
      <c r="AO533" s="10"/>
      <c r="AP533" s="11">
        <v>0</v>
      </c>
      <c r="AQ533" s="10"/>
      <c r="AR533" s="10"/>
      <c r="AS533" s="11">
        <v>0</v>
      </c>
      <c r="AT533" s="10"/>
      <c r="AU533" s="10"/>
      <c r="AV533" s="11">
        <v>0</v>
      </c>
      <c r="AW533" s="10"/>
      <c r="AX533" s="10"/>
      <c r="AY533" s="11">
        <v>0</v>
      </c>
      <c r="AZ533" s="10"/>
      <c r="BA533" s="10"/>
      <c r="BB533" s="11">
        <v>0</v>
      </c>
      <c r="BC533" s="10"/>
      <c r="BD533" s="10"/>
      <c r="BE533" s="11">
        <v>0</v>
      </c>
      <c r="BF533" s="10"/>
      <c r="BG533" s="10"/>
      <c r="BH533" s="11">
        <v>0</v>
      </c>
      <c r="BI533" s="10"/>
      <c r="BJ533" s="10"/>
      <c r="BK533" s="11">
        <v>0</v>
      </c>
      <c r="BL533" s="10"/>
      <c r="BM533" s="10"/>
      <c r="BN533" s="11">
        <v>0</v>
      </c>
      <c r="BO533" s="10"/>
      <c r="BP533" s="10"/>
      <c r="BQ533" s="11">
        <v>0</v>
      </c>
      <c r="BR533" s="10"/>
      <c r="BS533" s="10"/>
      <c r="BT533" s="11">
        <v>0</v>
      </c>
      <c r="BU533" s="10"/>
      <c r="BV533" s="10"/>
      <c r="BW533" s="11">
        <v>0</v>
      </c>
      <c r="BX533" s="10"/>
      <c r="BY533" s="10"/>
      <c r="BZ533" s="11">
        <v>0</v>
      </c>
      <c r="CA533" s="10"/>
      <c r="CB533" s="10"/>
      <c r="CC533" s="11">
        <v>0</v>
      </c>
      <c r="CD533" s="10"/>
      <c r="CE533" s="10"/>
      <c r="CF533" s="11">
        <v>0</v>
      </c>
      <c r="CG533" s="10"/>
      <c r="CH533" s="10"/>
      <c r="CI533" s="11">
        <v>0</v>
      </c>
      <c r="CJ533" s="10"/>
      <c r="CK533" s="10"/>
      <c r="CL533" s="11">
        <v>0</v>
      </c>
      <c r="CM533" s="10"/>
      <c r="CN533" s="10"/>
      <c r="CO533" s="11">
        <v>0</v>
      </c>
      <c r="CP533" s="10"/>
      <c r="CQ533" s="10"/>
      <c r="CR533" s="11">
        <v>0</v>
      </c>
      <c r="CS533" s="10"/>
      <c r="CT533" s="10"/>
      <c r="CU533" s="11">
        <v>0</v>
      </c>
      <c r="CV533" s="10"/>
      <c r="CW533" s="10"/>
      <c r="CX533" s="11">
        <v>0</v>
      </c>
      <c r="CY533" s="10"/>
      <c r="CZ533" s="10"/>
      <c r="DA533" s="11">
        <v>0</v>
      </c>
      <c r="DB533" s="10"/>
      <c r="DC533" s="10"/>
      <c r="DD533" s="13">
        <v>0</v>
      </c>
      <c r="DE533" s="14"/>
    </row>
    <row r="534" spans="1:109" x14ac:dyDescent="0.35">
      <c r="A534" s="8" t="s">
        <v>1131</v>
      </c>
      <c r="B534" s="9" t="s">
        <v>172</v>
      </c>
      <c r="C534" s="9" t="s">
        <v>52</v>
      </c>
      <c r="D534" s="9" t="s">
        <v>1132</v>
      </c>
      <c r="E534" s="9" t="s">
        <v>54</v>
      </c>
      <c r="F534" s="9" t="s">
        <v>55</v>
      </c>
      <c r="G534" s="10"/>
      <c r="H534" s="10"/>
      <c r="I534" s="11">
        <v>0</v>
      </c>
      <c r="J534" s="10"/>
      <c r="K534" s="10"/>
      <c r="L534" s="12">
        <v>0</v>
      </c>
      <c r="M534" s="10"/>
      <c r="N534" s="10"/>
      <c r="O534" s="11">
        <v>0</v>
      </c>
      <c r="P534" s="10"/>
      <c r="Q534" s="10"/>
      <c r="R534" s="11">
        <v>0</v>
      </c>
      <c r="S534" s="10"/>
      <c r="T534" s="10"/>
      <c r="U534" s="11">
        <v>0</v>
      </c>
      <c r="V534" s="10"/>
      <c r="W534" s="10"/>
      <c r="X534" s="11">
        <v>0</v>
      </c>
      <c r="Y534" s="10"/>
      <c r="Z534" s="10"/>
      <c r="AA534" s="11"/>
      <c r="AB534" s="10"/>
      <c r="AC534" s="10"/>
      <c r="AD534" s="11">
        <v>0</v>
      </c>
      <c r="AE534" s="10"/>
      <c r="AF534" s="10"/>
      <c r="AG534" s="11">
        <v>0</v>
      </c>
      <c r="AH534" s="10"/>
      <c r="AI534" s="10"/>
      <c r="AJ534" s="11">
        <v>0</v>
      </c>
      <c r="AK534" s="10"/>
      <c r="AL534" s="10"/>
      <c r="AM534" s="11">
        <v>0</v>
      </c>
      <c r="AN534" s="10"/>
      <c r="AO534" s="10"/>
      <c r="AP534" s="11">
        <v>0</v>
      </c>
      <c r="AQ534" s="10"/>
      <c r="AR534" s="10"/>
      <c r="AS534" s="11">
        <v>0</v>
      </c>
      <c r="AT534" s="10"/>
      <c r="AU534" s="10"/>
      <c r="AV534" s="11">
        <v>0</v>
      </c>
      <c r="AW534" s="10"/>
      <c r="AX534" s="10"/>
      <c r="AY534" s="11">
        <v>0</v>
      </c>
      <c r="AZ534" s="10"/>
      <c r="BA534" s="10"/>
      <c r="BB534" s="11">
        <v>0</v>
      </c>
      <c r="BC534" s="10"/>
      <c r="BD534" s="10"/>
      <c r="BE534" s="11">
        <v>0</v>
      </c>
      <c r="BF534" s="10"/>
      <c r="BG534" s="10"/>
      <c r="BH534" s="11">
        <v>0</v>
      </c>
      <c r="BI534" s="10"/>
      <c r="BJ534" s="10"/>
      <c r="BK534" s="11">
        <v>0</v>
      </c>
      <c r="BL534" s="10"/>
      <c r="BM534" s="10"/>
      <c r="BN534" s="11">
        <v>0</v>
      </c>
      <c r="BO534" s="10"/>
      <c r="BP534" s="10"/>
      <c r="BQ534" s="11">
        <v>0</v>
      </c>
      <c r="BR534" s="10"/>
      <c r="BS534" s="10"/>
      <c r="BT534" s="11">
        <v>0</v>
      </c>
      <c r="BU534" s="10"/>
      <c r="BV534" s="10"/>
      <c r="BW534" s="11">
        <v>0</v>
      </c>
      <c r="BX534" s="10"/>
      <c r="BY534" s="10"/>
      <c r="BZ534" s="11">
        <v>0</v>
      </c>
      <c r="CA534" s="10"/>
      <c r="CB534" s="10"/>
      <c r="CC534" s="11">
        <v>0</v>
      </c>
      <c r="CD534" s="10"/>
      <c r="CE534" s="10"/>
      <c r="CF534" s="11">
        <v>0</v>
      </c>
      <c r="CG534" s="10"/>
      <c r="CH534" s="10"/>
      <c r="CI534" s="11">
        <v>0</v>
      </c>
      <c r="CJ534" s="10"/>
      <c r="CK534" s="10"/>
      <c r="CL534" s="11">
        <v>0</v>
      </c>
      <c r="CM534" s="10"/>
      <c r="CN534" s="10"/>
      <c r="CO534" s="11">
        <v>0</v>
      </c>
      <c r="CP534" s="10"/>
      <c r="CQ534" s="10"/>
      <c r="CR534" s="11">
        <v>0</v>
      </c>
      <c r="CS534" s="10"/>
      <c r="CT534" s="10"/>
      <c r="CU534" s="11">
        <v>0</v>
      </c>
      <c r="CV534" s="10"/>
      <c r="CW534" s="10"/>
      <c r="CX534" s="11">
        <v>0</v>
      </c>
      <c r="CY534" s="10"/>
      <c r="CZ534" s="10"/>
      <c r="DA534" s="11">
        <v>0</v>
      </c>
      <c r="DB534" s="10"/>
      <c r="DC534" s="10"/>
      <c r="DD534" s="13">
        <v>0</v>
      </c>
      <c r="DE534" s="14"/>
    </row>
    <row r="535" spans="1:109" x14ac:dyDescent="0.35">
      <c r="A535" s="8" t="s">
        <v>1133</v>
      </c>
      <c r="B535" s="9" t="s">
        <v>172</v>
      </c>
      <c r="C535" s="9" t="s">
        <v>52</v>
      </c>
      <c r="D535" s="9" t="s">
        <v>1134</v>
      </c>
      <c r="E535" s="9" t="s">
        <v>54</v>
      </c>
      <c r="F535" s="9" t="s">
        <v>55</v>
      </c>
      <c r="G535" s="10"/>
      <c r="H535" s="10"/>
      <c r="I535" s="11">
        <v>0</v>
      </c>
      <c r="J535" s="10"/>
      <c r="K535" s="10"/>
      <c r="L535" s="12">
        <v>0</v>
      </c>
      <c r="M535" s="10"/>
      <c r="N535" s="10"/>
      <c r="O535" s="11">
        <v>0</v>
      </c>
      <c r="P535" s="10"/>
      <c r="Q535" s="10"/>
      <c r="R535" s="11">
        <v>0</v>
      </c>
      <c r="S535" s="10"/>
      <c r="T535" s="10"/>
      <c r="U535" s="11">
        <v>0</v>
      </c>
      <c r="V535" s="10"/>
      <c r="W535" s="10"/>
      <c r="X535" s="11">
        <v>0</v>
      </c>
      <c r="Y535" s="10"/>
      <c r="Z535" s="10"/>
      <c r="AA535" s="11"/>
      <c r="AB535" s="10"/>
      <c r="AC535" s="10"/>
      <c r="AD535" s="11">
        <v>0</v>
      </c>
      <c r="AE535" s="10"/>
      <c r="AF535" s="10"/>
      <c r="AG535" s="11">
        <v>0</v>
      </c>
      <c r="AH535" s="10"/>
      <c r="AI535" s="10"/>
      <c r="AJ535" s="11">
        <v>0</v>
      </c>
      <c r="AK535" s="10"/>
      <c r="AL535" s="10"/>
      <c r="AM535" s="11">
        <v>0</v>
      </c>
      <c r="AN535" s="10"/>
      <c r="AO535" s="10"/>
      <c r="AP535" s="11">
        <v>0</v>
      </c>
      <c r="AQ535" s="10"/>
      <c r="AR535" s="10"/>
      <c r="AS535" s="11">
        <v>0</v>
      </c>
      <c r="AT535" s="10"/>
      <c r="AU535" s="10"/>
      <c r="AV535" s="11">
        <v>0</v>
      </c>
      <c r="AW535" s="10"/>
      <c r="AX535" s="10"/>
      <c r="AY535" s="11">
        <v>0</v>
      </c>
      <c r="AZ535" s="10"/>
      <c r="BA535" s="10"/>
      <c r="BB535" s="11">
        <v>0</v>
      </c>
      <c r="BC535" s="10"/>
      <c r="BD535" s="10"/>
      <c r="BE535" s="11">
        <v>0</v>
      </c>
      <c r="BF535" s="10"/>
      <c r="BG535" s="10"/>
      <c r="BH535" s="11">
        <v>0</v>
      </c>
      <c r="BI535" s="10"/>
      <c r="BJ535" s="10"/>
      <c r="BK535" s="11">
        <v>0</v>
      </c>
      <c r="BL535" s="10"/>
      <c r="BM535" s="10"/>
      <c r="BN535" s="11">
        <v>0</v>
      </c>
      <c r="BO535" s="10"/>
      <c r="BP535" s="10"/>
      <c r="BQ535" s="11">
        <v>0</v>
      </c>
      <c r="BR535" s="10"/>
      <c r="BS535" s="10"/>
      <c r="BT535" s="11">
        <v>0</v>
      </c>
      <c r="BU535" s="10"/>
      <c r="BV535" s="10"/>
      <c r="BW535" s="11">
        <v>0</v>
      </c>
      <c r="BX535" s="10"/>
      <c r="BY535" s="10"/>
      <c r="BZ535" s="11">
        <v>0</v>
      </c>
      <c r="CA535" s="10"/>
      <c r="CB535" s="10"/>
      <c r="CC535" s="11">
        <v>0</v>
      </c>
      <c r="CD535" s="10"/>
      <c r="CE535" s="10"/>
      <c r="CF535" s="11">
        <v>0</v>
      </c>
      <c r="CG535" s="10"/>
      <c r="CH535" s="10"/>
      <c r="CI535" s="11">
        <v>0</v>
      </c>
      <c r="CJ535" s="10"/>
      <c r="CK535" s="10"/>
      <c r="CL535" s="11">
        <v>0</v>
      </c>
      <c r="CM535" s="10"/>
      <c r="CN535" s="10"/>
      <c r="CO535" s="11">
        <v>0</v>
      </c>
      <c r="CP535" s="10"/>
      <c r="CQ535" s="10"/>
      <c r="CR535" s="11">
        <v>0</v>
      </c>
      <c r="CS535" s="10"/>
      <c r="CT535" s="10"/>
      <c r="CU535" s="11">
        <v>0</v>
      </c>
      <c r="CV535" s="10"/>
      <c r="CW535" s="10"/>
      <c r="CX535" s="11">
        <v>0</v>
      </c>
      <c r="CY535" s="10"/>
      <c r="CZ535" s="10"/>
      <c r="DA535" s="11">
        <v>0</v>
      </c>
      <c r="DB535" s="10"/>
      <c r="DC535" s="10"/>
      <c r="DD535" s="13">
        <v>0</v>
      </c>
      <c r="DE535" s="14"/>
    </row>
    <row r="536" spans="1:109" x14ac:dyDescent="0.35">
      <c r="A536" s="8" t="s">
        <v>1135</v>
      </c>
      <c r="B536" s="9" t="s">
        <v>111</v>
      </c>
      <c r="C536" s="9" t="s">
        <v>52</v>
      </c>
      <c r="D536" s="9" t="s">
        <v>1136</v>
      </c>
      <c r="E536" s="9" t="s">
        <v>54</v>
      </c>
      <c r="F536" s="9" t="s">
        <v>55</v>
      </c>
      <c r="G536" s="10"/>
      <c r="H536" s="10"/>
      <c r="I536" s="11">
        <v>0</v>
      </c>
      <c r="J536" s="10"/>
      <c r="K536" s="10"/>
      <c r="L536" s="12">
        <v>0</v>
      </c>
      <c r="M536" s="10"/>
      <c r="N536" s="10"/>
      <c r="O536" s="11">
        <v>0</v>
      </c>
      <c r="P536" s="10"/>
      <c r="Q536" s="10"/>
      <c r="R536" s="11">
        <v>0</v>
      </c>
      <c r="S536" s="10"/>
      <c r="T536" s="10"/>
      <c r="U536" s="11">
        <v>0</v>
      </c>
      <c r="V536" s="10"/>
      <c r="W536" s="10"/>
      <c r="X536" s="11">
        <v>0</v>
      </c>
      <c r="Y536" s="10"/>
      <c r="Z536" s="10"/>
      <c r="AA536" s="11"/>
      <c r="AB536" s="10"/>
      <c r="AC536" s="10"/>
      <c r="AD536" s="11">
        <v>0</v>
      </c>
      <c r="AE536" s="10"/>
      <c r="AF536" s="10"/>
      <c r="AG536" s="11">
        <v>0</v>
      </c>
      <c r="AH536" s="10"/>
      <c r="AI536" s="10"/>
      <c r="AJ536" s="11">
        <v>0</v>
      </c>
      <c r="AK536" s="10"/>
      <c r="AL536" s="10"/>
      <c r="AM536" s="11">
        <v>0</v>
      </c>
      <c r="AN536" s="10"/>
      <c r="AO536" s="10"/>
      <c r="AP536" s="11">
        <v>0</v>
      </c>
      <c r="AQ536" s="10"/>
      <c r="AR536" s="10"/>
      <c r="AS536" s="11">
        <v>0</v>
      </c>
      <c r="AT536" s="10"/>
      <c r="AU536" s="10"/>
      <c r="AV536" s="11">
        <v>0</v>
      </c>
      <c r="AW536" s="10"/>
      <c r="AX536" s="10"/>
      <c r="AY536" s="11">
        <v>0</v>
      </c>
      <c r="AZ536" s="10"/>
      <c r="BA536" s="10"/>
      <c r="BB536" s="11">
        <v>0</v>
      </c>
      <c r="BC536" s="10"/>
      <c r="BD536" s="10"/>
      <c r="BE536" s="11">
        <v>0</v>
      </c>
      <c r="BF536" s="10"/>
      <c r="BG536" s="10"/>
      <c r="BH536" s="11">
        <v>0</v>
      </c>
      <c r="BI536" s="10"/>
      <c r="BJ536" s="10"/>
      <c r="BK536" s="11">
        <v>0</v>
      </c>
      <c r="BL536" s="10"/>
      <c r="BM536" s="10"/>
      <c r="BN536" s="11">
        <v>0</v>
      </c>
      <c r="BO536" s="10"/>
      <c r="BP536" s="10"/>
      <c r="BQ536" s="11">
        <v>0</v>
      </c>
      <c r="BR536" s="10"/>
      <c r="BS536" s="10"/>
      <c r="BT536" s="11">
        <v>0</v>
      </c>
      <c r="BU536" s="10"/>
      <c r="BV536" s="10"/>
      <c r="BW536" s="11">
        <v>0</v>
      </c>
      <c r="BX536" s="10"/>
      <c r="BY536" s="10"/>
      <c r="BZ536" s="11">
        <v>0</v>
      </c>
      <c r="CA536" s="10"/>
      <c r="CB536" s="10"/>
      <c r="CC536" s="11">
        <v>0</v>
      </c>
      <c r="CD536" s="10"/>
      <c r="CE536" s="10"/>
      <c r="CF536" s="11">
        <v>0</v>
      </c>
      <c r="CG536" s="10"/>
      <c r="CH536" s="10"/>
      <c r="CI536" s="11">
        <v>0</v>
      </c>
      <c r="CJ536" s="10"/>
      <c r="CK536" s="10"/>
      <c r="CL536" s="11">
        <v>0</v>
      </c>
      <c r="CM536" s="10"/>
      <c r="CN536" s="10"/>
      <c r="CO536" s="11">
        <v>0</v>
      </c>
      <c r="CP536" s="10"/>
      <c r="CQ536" s="10"/>
      <c r="CR536" s="11">
        <v>0</v>
      </c>
      <c r="CS536" s="10"/>
      <c r="CT536" s="10"/>
      <c r="CU536" s="11">
        <v>0</v>
      </c>
      <c r="CV536" s="10"/>
      <c r="CW536" s="10"/>
      <c r="CX536" s="11">
        <v>0</v>
      </c>
      <c r="CY536" s="10"/>
      <c r="CZ536" s="10"/>
      <c r="DA536" s="11">
        <v>0</v>
      </c>
      <c r="DB536" s="10"/>
      <c r="DC536" s="10"/>
      <c r="DD536" s="13">
        <v>0</v>
      </c>
      <c r="DE536" s="14"/>
    </row>
    <row r="537" spans="1:109" x14ac:dyDescent="0.35">
      <c r="A537" s="8" t="s">
        <v>1137</v>
      </c>
      <c r="B537" s="9" t="s">
        <v>108</v>
      </c>
      <c r="C537" s="9" t="s">
        <v>52</v>
      </c>
      <c r="D537" s="9" t="s">
        <v>1138</v>
      </c>
      <c r="E537" s="9" t="s">
        <v>54</v>
      </c>
      <c r="F537" s="9" t="s">
        <v>55</v>
      </c>
      <c r="G537" s="10"/>
      <c r="H537" s="10"/>
      <c r="I537" s="11">
        <v>0</v>
      </c>
      <c r="J537" s="10"/>
      <c r="K537" s="10"/>
      <c r="L537" s="12">
        <v>0</v>
      </c>
      <c r="M537" s="10"/>
      <c r="N537" s="10"/>
      <c r="O537" s="11">
        <v>0</v>
      </c>
      <c r="P537" s="10"/>
      <c r="Q537" s="10"/>
      <c r="R537" s="11">
        <v>0</v>
      </c>
      <c r="S537" s="10"/>
      <c r="T537" s="10"/>
      <c r="U537" s="11">
        <v>0</v>
      </c>
      <c r="V537" s="10"/>
      <c r="W537" s="10"/>
      <c r="X537" s="11">
        <v>0</v>
      </c>
      <c r="Y537" s="10"/>
      <c r="Z537" s="10"/>
      <c r="AA537" s="11"/>
      <c r="AB537" s="10"/>
      <c r="AC537" s="10"/>
      <c r="AD537" s="11">
        <v>0</v>
      </c>
      <c r="AE537" s="10"/>
      <c r="AF537" s="10"/>
      <c r="AG537" s="11">
        <v>0</v>
      </c>
      <c r="AH537" s="10"/>
      <c r="AI537" s="10"/>
      <c r="AJ537" s="11">
        <v>0</v>
      </c>
      <c r="AK537" s="10"/>
      <c r="AL537" s="10"/>
      <c r="AM537" s="11">
        <v>0</v>
      </c>
      <c r="AN537" s="10"/>
      <c r="AO537" s="10"/>
      <c r="AP537" s="11">
        <v>0</v>
      </c>
      <c r="AQ537" s="10"/>
      <c r="AR537" s="10"/>
      <c r="AS537" s="11">
        <v>0</v>
      </c>
      <c r="AT537" s="10"/>
      <c r="AU537" s="10"/>
      <c r="AV537" s="11">
        <v>0</v>
      </c>
      <c r="AW537" s="10"/>
      <c r="AX537" s="10"/>
      <c r="AY537" s="11">
        <v>0</v>
      </c>
      <c r="AZ537" s="10"/>
      <c r="BA537" s="10"/>
      <c r="BB537" s="11">
        <v>0</v>
      </c>
      <c r="BC537" s="10"/>
      <c r="BD537" s="10"/>
      <c r="BE537" s="11">
        <v>0</v>
      </c>
      <c r="BF537" s="10"/>
      <c r="BG537" s="10"/>
      <c r="BH537" s="11">
        <v>0</v>
      </c>
      <c r="BI537" s="10"/>
      <c r="BJ537" s="10"/>
      <c r="BK537" s="11">
        <v>0</v>
      </c>
      <c r="BL537" s="10"/>
      <c r="BM537" s="10"/>
      <c r="BN537" s="11">
        <v>0</v>
      </c>
      <c r="BO537" s="10"/>
      <c r="BP537" s="10"/>
      <c r="BQ537" s="11">
        <v>0</v>
      </c>
      <c r="BR537" s="10"/>
      <c r="BS537" s="10"/>
      <c r="BT537" s="11">
        <v>0</v>
      </c>
      <c r="BU537" s="10"/>
      <c r="BV537" s="10"/>
      <c r="BW537" s="11">
        <v>0</v>
      </c>
      <c r="BX537" s="10"/>
      <c r="BY537" s="10"/>
      <c r="BZ537" s="11">
        <v>0</v>
      </c>
      <c r="CA537" s="10"/>
      <c r="CB537" s="10"/>
      <c r="CC537" s="11">
        <v>0</v>
      </c>
      <c r="CD537" s="10"/>
      <c r="CE537" s="10"/>
      <c r="CF537" s="11">
        <v>0</v>
      </c>
      <c r="CG537" s="10"/>
      <c r="CH537" s="10"/>
      <c r="CI537" s="11">
        <v>0</v>
      </c>
      <c r="CJ537" s="10"/>
      <c r="CK537" s="10"/>
      <c r="CL537" s="11">
        <v>0</v>
      </c>
      <c r="CM537" s="10"/>
      <c r="CN537" s="10"/>
      <c r="CO537" s="11">
        <v>0</v>
      </c>
      <c r="CP537" s="10"/>
      <c r="CQ537" s="10"/>
      <c r="CR537" s="11">
        <v>0</v>
      </c>
      <c r="CS537" s="10"/>
      <c r="CT537" s="10"/>
      <c r="CU537" s="11">
        <v>0</v>
      </c>
      <c r="CV537" s="10"/>
      <c r="CW537" s="10"/>
      <c r="CX537" s="11">
        <v>0</v>
      </c>
      <c r="CY537" s="10"/>
      <c r="CZ537" s="10"/>
      <c r="DA537" s="11">
        <v>0</v>
      </c>
      <c r="DB537" s="10"/>
      <c r="DC537" s="10"/>
      <c r="DD537" s="13">
        <v>0</v>
      </c>
      <c r="DE537" s="14"/>
    </row>
    <row r="538" spans="1:109" x14ac:dyDescent="0.35">
      <c r="A538" s="8" t="s">
        <v>1139</v>
      </c>
      <c r="B538" s="9" t="s">
        <v>108</v>
      </c>
      <c r="C538" s="9" t="s">
        <v>52</v>
      </c>
      <c r="D538" s="9" t="s">
        <v>1140</v>
      </c>
      <c r="E538" s="9" t="s">
        <v>54</v>
      </c>
      <c r="F538" s="9" t="s">
        <v>55</v>
      </c>
      <c r="G538" s="10"/>
      <c r="H538" s="10"/>
      <c r="I538" s="11">
        <v>0</v>
      </c>
      <c r="J538" s="10"/>
      <c r="K538" s="10"/>
      <c r="L538" s="12">
        <v>0</v>
      </c>
      <c r="M538" s="10"/>
      <c r="N538" s="10"/>
      <c r="O538" s="11">
        <v>0</v>
      </c>
      <c r="P538" s="10"/>
      <c r="Q538" s="10"/>
      <c r="R538" s="11">
        <v>0</v>
      </c>
      <c r="S538" s="10"/>
      <c r="T538" s="10"/>
      <c r="U538" s="11">
        <v>0</v>
      </c>
      <c r="V538" s="10"/>
      <c r="W538" s="10"/>
      <c r="X538" s="11">
        <v>0</v>
      </c>
      <c r="Y538" s="10"/>
      <c r="Z538" s="10"/>
      <c r="AA538" s="11"/>
      <c r="AB538" s="10"/>
      <c r="AC538" s="10"/>
      <c r="AD538" s="11">
        <v>0</v>
      </c>
      <c r="AE538" s="10"/>
      <c r="AF538" s="10"/>
      <c r="AG538" s="11">
        <v>0</v>
      </c>
      <c r="AH538" s="10"/>
      <c r="AI538" s="10"/>
      <c r="AJ538" s="11">
        <v>0</v>
      </c>
      <c r="AK538" s="10"/>
      <c r="AL538" s="10"/>
      <c r="AM538" s="11">
        <v>0</v>
      </c>
      <c r="AN538" s="10"/>
      <c r="AO538" s="10"/>
      <c r="AP538" s="11">
        <v>0</v>
      </c>
      <c r="AQ538" s="10"/>
      <c r="AR538" s="10"/>
      <c r="AS538" s="11">
        <v>0</v>
      </c>
      <c r="AT538" s="10"/>
      <c r="AU538" s="10"/>
      <c r="AV538" s="11">
        <v>0</v>
      </c>
      <c r="AW538" s="10"/>
      <c r="AX538" s="10"/>
      <c r="AY538" s="11">
        <v>0</v>
      </c>
      <c r="AZ538" s="10"/>
      <c r="BA538" s="10"/>
      <c r="BB538" s="11">
        <v>0</v>
      </c>
      <c r="BC538" s="10"/>
      <c r="BD538" s="10"/>
      <c r="BE538" s="11">
        <v>0</v>
      </c>
      <c r="BF538" s="10"/>
      <c r="BG538" s="10"/>
      <c r="BH538" s="11">
        <v>0</v>
      </c>
      <c r="BI538" s="10"/>
      <c r="BJ538" s="10"/>
      <c r="BK538" s="11">
        <v>0</v>
      </c>
      <c r="BL538" s="10"/>
      <c r="BM538" s="10"/>
      <c r="BN538" s="11">
        <v>0</v>
      </c>
      <c r="BO538" s="10"/>
      <c r="BP538" s="10"/>
      <c r="BQ538" s="11">
        <v>0</v>
      </c>
      <c r="BR538" s="10"/>
      <c r="BS538" s="10"/>
      <c r="BT538" s="11">
        <v>0</v>
      </c>
      <c r="BU538" s="10"/>
      <c r="BV538" s="10"/>
      <c r="BW538" s="11">
        <v>0</v>
      </c>
      <c r="BX538" s="10"/>
      <c r="BY538" s="10"/>
      <c r="BZ538" s="11">
        <v>0</v>
      </c>
      <c r="CA538" s="10"/>
      <c r="CB538" s="10"/>
      <c r="CC538" s="11">
        <v>0</v>
      </c>
      <c r="CD538" s="10"/>
      <c r="CE538" s="10"/>
      <c r="CF538" s="11">
        <v>0</v>
      </c>
      <c r="CG538" s="10"/>
      <c r="CH538" s="10"/>
      <c r="CI538" s="11">
        <v>0</v>
      </c>
      <c r="CJ538" s="10"/>
      <c r="CK538" s="10"/>
      <c r="CL538" s="11">
        <v>0</v>
      </c>
      <c r="CM538" s="10"/>
      <c r="CN538" s="10"/>
      <c r="CO538" s="11">
        <v>0</v>
      </c>
      <c r="CP538" s="10"/>
      <c r="CQ538" s="10"/>
      <c r="CR538" s="11">
        <v>0</v>
      </c>
      <c r="CS538" s="10"/>
      <c r="CT538" s="10"/>
      <c r="CU538" s="11">
        <v>0</v>
      </c>
      <c r="CV538" s="10"/>
      <c r="CW538" s="10"/>
      <c r="CX538" s="11">
        <v>0</v>
      </c>
      <c r="CY538" s="10"/>
      <c r="CZ538" s="10"/>
      <c r="DA538" s="11">
        <v>0</v>
      </c>
      <c r="DB538" s="10"/>
      <c r="DC538" s="10"/>
      <c r="DD538" s="13">
        <v>0</v>
      </c>
      <c r="DE538" s="14"/>
    </row>
    <row r="539" spans="1:109" x14ac:dyDescent="0.35">
      <c r="A539" s="8" t="s">
        <v>1141</v>
      </c>
      <c r="B539" s="9" t="s">
        <v>172</v>
      </c>
      <c r="C539" s="9" t="s">
        <v>52</v>
      </c>
      <c r="D539" s="9" t="s">
        <v>1142</v>
      </c>
      <c r="E539" s="9" t="s">
        <v>54</v>
      </c>
      <c r="F539" s="9" t="s">
        <v>55</v>
      </c>
      <c r="G539" s="10"/>
      <c r="H539" s="10"/>
      <c r="I539" s="11">
        <v>0</v>
      </c>
      <c r="J539" s="10"/>
      <c r="K539" s="10"/>
      <c r="L539" s="12">
        <v>0</v>
      </c>
      <c r="M539" s="10"/>
      <c r="N539" s="10"/>
      <c r="O539" s="11">
        <v>0</v>
      </c>
      <c r="P539" s="10"/>
      <c r="Q539" s="10"/>
      <c r="R539" s="11">
        <v>0</v>
      </c>
      <c r="S539" s="10"/>
      <c r="T539" s="10"/>
      <c r="U539" s="11">
        <v>0</v>
      </c>
      <c r="V539" s="10"/>
      <c r="W539" s="10"/>
      <c r="X539" s="11">
        <v>0</v>
      </c>
      <c r="Y539" s="10"/>
      <c r="Z539" s="10"/>
      <c r="AA539" s="11"/>
      <c r="AB539" s="10"/>
      <c r="AC539" s="10"/>
      <c r="AD539" s="11">
        <v>0</v>
      </c>
      <c r="AE539" s="10"/>
      <c r="AF539" s="10"/>
      <c r="AG539" s="11">
        <v>0</v>
      </c>
      <c r="AH539" s="10"/>
      <c r="AI539" s="10"/>
      <c r="AJ539" s="11">
        <v>0</v>
      </c>
      <c r="AK539" s="10">
        <v>200000</v>
      </c>
      <c r="AL539" s="10"/>
      <c r="AM539" s="11">
        <f t="shared" ref="AM539" si="589">AL539/AK539</f>
        <v>0</v>
      </c>
      <c r="AN539" s="10"/>
      <c r="AO539" s="10"/>
      <c r="AP539" s="11">
        <v>0</v>
      </c>
      <c r="AQ539" s="10"/>
      <c r="AR539" s="10"/>
      <c r="AS539" s="11">
        <v>0</v>
      </c>
      <c r="AT539" s="10"/>
      <c r="AU539" s="10"/>
      <c r="AV539" s="11">
        <v>0</v>
      </c>
      <c r="AW539" s="10"/>
      <c r="AX539" s="10"/>
      <c r="AY539" s="11">
        <v>0</v>
      </c>
      <c r="AZ539" s="10"/>
      <c r="BA539" s="10"/>
      <c r="BB539" s="11">
        <v>0</v>
      </c>
      <c r="BC539" s="10"/>
      <c r="BD539" s="10"/>
      <c r="BE539" s="11">
        <v>0</v>
      </c>
      <c r="BF539" s="10"/>
      <c r="BG539" s="10"/>
      <c r="BH539" s="11">
        <v>0</v>
      </c>
      <c r="BI539" s="10"/>
      <c r="BJ539" s="10"/>
      <c r="BK539" s="11">
        <v>0</v>
      </c>
      <c r="BL539" s="10"/>
      <c r="BM539" s="10"/>
      <c r="BN539" s="11">
        <v>0</v>
      </c>
      <c r="BO539" s="10"/>
      <c r="BP539" s="10"/>
      <c r="BQ539" s="11">
        <v>0</v>
      </c>
      <c r="BR539" s="10"/>
      <c r="BS539" s="10"/>
      <c r="BT539" s="11">
        <v>0</v>
      </c>
      <c r="BU539" s="10"/>
      <c r="BV539" s="10"/>
      <c r="BW539" s="11">
        <v>0</v>
      </c>
      <c r="BX539" s="10"/>
      <c r="BY539" s="10"/>
      <c r="BZ539" s="11">
        <v>0</v>
      </c>
      <c r="CA539" s="10"/>
      <c r="CB539" s="10"/>
      <c r="CC539" s="11">
        <v>0</v>
      </c>
      <c r="CD539" s="10"/>
      <c r="CE539" s="10"/>
      <c r="CF539" s="11">
        <v>0</v>
      </c>
      <c r="CG539" s="10"/>
      <c r="CH539" s="10"/>
      <c r="CI539" s="11">
        <v>0</v>
      </c>
      <c r="CJ539" s="10"/>
      <c r="CK539" s="10"/>
      <c r="CL539" s="11">
        <v>0</v>
      </c>
      <c r="CM539" s="10"/>
      <c r="CN539" s="10"/>
      <c r="CO539" s="11">
        <v>0</v>
      </c>
      <c r="CP539" s="10"/>
      <c r="CQ539" s="10"/>
      <c r="CR539" s="11">
        <v>0</v>
      </c>
      <c r="CS539" s="10"/>
      <c r="CT539" s="10"/>
      <c r="CU539" s="11">
        <v>0</v>
      </c>
      <c r="CV539" s="10"/>
      <c r="CW539" s="10"/>
      <c r="CX539" s="11">
        <v>0</v>
      </c>
      <c r="CY539" s="10"/>
      <c r="CZ539" s="10"/>
      <c r="DA539" s="11">
        <v>0</v>
      </c>
      <c r="DB539" s="10">
        <v>200000</v>
      </c>
      <c r="DC539" s="10"/>
      <c r="DD539" s="15">
        <f t="shared" ref="DD539" si="590">DC539/DB539</f>
        <v>0</v>
      </c>
      <c r="DE539" s="16"/>
    </row>
    <row r="540" spans="1:109" x14ac:dyDescent="0.35">
      <c r="A540" s="8" t="s">
        <v>1143</v>
      </c>
      <c r="B540" s="9" t="s">
        <v>860</v>
      </c>
      <c r="C540" s="9" t="s">
        <v>52</v>
      </c>
      <c r="D540" s="9" t="s">
        <v>1144</v>
      </c>
      <c r="E540" s="9" t="s">
        <v>54</v>
      </c>
      <c r="F540" s="9" t="s">
        <v>55</v>
      </c>
      <c r="G540" s="10"/>
      <c r="H540" s="10"/>
      <c r="I540" s="11">
        <v>0</v>
      </c>
      <c r="J540" s="10"/>
      <c r="K540" s="10"/>
      <c r="L540" s="12">
        <v>0</v>
      </c>
      <c r="M540" s="10"/>
      <c r="N540" s="10"/>
      <c r="O540" s="11">
        <v>0</v>
      </c>
      <c r="P540" s="10"/>
      <c r="Q540" s="10"/>
      <c r="R540" s="11">
        <v>0</v>
      </c>
      <c r="S540" s="10"/>
      <c r="T540" s="10"/>
      <c r="U540" s="11">
        <v>0</v>
      </c>
      <c r="V540" s="10"/>
      <c r="W540" s="10"/>
      <c r="X540" s="11">
        <v>0</v>
      </c>
      <c r="Y540" s="10"/>
      <c r="Z540" s="10"/>
      <c r="AA540" s="11"/>
      <c r="AB540" s="10"/>
      <c r="AC540" s="10"/>
      <c r="AD540" s="11">
        <v>0</v>
      </c>
      <c r="AE540" s="10"/>
      <c r="AF540" s="10"/>
      <c r="AG540" s="11">
        <v>0</v>
      </c>
      <c r="AH540" s="10"/>
      <c r="AI540" s="10"/>
      <c r="AJ540" s="11">
        <v>0</v>
      </c>
      <c r="AK540" s="10"/>
      <c r="AL540" s="10"/>
      <c r="AM540" s="11">
        <v>0</v>
      </c>
      <c r="AN540" s="10"/>
      <c r="AO540" s="10"/>
      <c r="AP540" s="11">
        <v>0</v>
      </c>
      <c r="AQ540" s="10"/>
      <c r="AR540" s="10"/>
      <c r="AS540" s="11">
        <v>0</v>
      </c>
      <c r="AT540" s="10"/>
      <c r="AU540" s="10"/>
      <c r="AV540" s="11">
        <v>0</v>
      </c>
      <c r="AW540" s="10"/>
      <c r="AX540" s="10"/>
      <c r="AY540" s="11">
        <v>0</v>
      </c>
      <c r="AZ540" s="10"/>
      <c r="BA540" s="10"/>
      <c r="BB540" s="11">
        <v>0</v>
      </c>
      <c r="BC540" s="10"/>
      <c r="BD540" s="10"/>
      <c r="BE540" s="11">
        <v>0</v>
      </c>
      <c r="BF540" s="10"/>
      <c r="BG540" s="10"/>
      <c r="BH540" s="11">
        <v>0</v>
      </c>
      <c r="BI540" s="10"/>
      <c r="BJ540" s="10"/>
      <c r="BK540" s="11">
        <v>0</v>
      </c>
      <c r="BL540" s="10"/>
      <c r="BM540" s="10"/>
      <c r="BN540" s="11">
        <v>0</v>
      </c>
      <c r="BO540" s="10"/>
      <c r="BP540" s="10"/>
      <c r="BQ540" s="11">
        <v>0</v>
      </c>
      <c r="BR540" s="10"/>
      <c r="BS540" s="10"/>
      <c r="BT540" s="11">
        <v>0</v>
      </c>
      <c r="BU540" s="10"/>
      <c r="BV540" s="10"/>
      <c r="BW540" s="11">
        <v>0</v>
      </c>
      <c r="BX540" s="10"/>
      <c r="BY540" s="10"/>
      <c r="BZ540" s="11">
        <v>0</v>
      </c>
      <c r="CA540" s="10"/>
      <c r="CB540" s="10"/>
      <c r="CC540" s="11">
        <v>0</v>
      </c>
      <c r="CD540" s="10"/>
      <c r="CE540" s="10"/>
      <c r="CF540" s="11">
        <v>0</v>
      </c>
      <c r="CG540" s="10"/>
      <c r="CH540" s="10"/>
      <c r="CI540" s="11">
        <v>0</v>
      </c>
      <c r="CJ540" s="10"/>
      <c r="CK540" s="10"/>
      <c r="CL540" s="11">
        <v>0</v>
      </c>
      <c r="CM540" s="10"/>
      <c r="CN540" s="10"/>
      <c r="CO540" s="11">
        <v>0</v>
      </c>
      <c r="CP540" s="10"/>
      <c r="CQ540" s="10"/>
      <c r="CR540" s="11">
        <v>0</v>
      </c>
      <c r="CS540" s="10"/>
      <c r="CT540" s="10"/>
      <c r="CU540" s="11">
        <v>0</v>
      </c>
      <c r="CV540" s="10"/>
      <c r="CW540" s="10"/>
      <c r="CX540" s="11">
        <v>0</v>
      </c>
      <c r="CY540" s="10"/>
      <c r="CZ540" s="10"/>
      <c r="DA540" s="11">
        <v>0</v>
      </c>
      <c r="DB540" s="10"/>
      <c r="DC540" s="10"/>
      <c r="DD540" s="13">
        <v>0</v>
      </c>
      <c r="DE540" s="14"/>
    </row>
    <row r="541" spans="1:109" x14ac:dyDescent="0.35">
      <c r="A541" s="8" t="s">
        <v>1145</v>
      </c>
      <c r="B541" s="9" t="s">
        <v>860</v>
      </c>
      <c r="C541" s="9" t="s">
        <v>52</v>
      </c>
      <c r="D541" s="9" t="s">
        <v>1146</v>
      </c>
      <c r="E541" s="9" t="s">
        <v>54</v>
      </c>
      <c r="F541" s="9" t="s">
        <v>55</v>
      </c>
      <c r="G541" s="10"/>
      <c r="H541" s="10"/>
      <c r="I541" s="11">
        <v>0</v>
      </c>
      <c r="J541" s="10"/>
      <c r="K541" s="10"/>
      <c r="L541" s="12">
        <v>0</v>
      </c>
      <c r="M541" s="10"/>
      <c r="N541" s="10"/>
      <c r="O541" s="11">
        <v>0</v>
      </c>
      <c r="P541" s="10"/>
      <c r="Q541" s="10"/>
      <c r="R541" s="11">
        <v>0</v>
      </c>
      <c r="S541" s="10"/>
      <c r="T541" s="10"/>
      <c r="U541" s="11">
        <v>0</v>
      </c>
      <c r="V541" s="10"/>
      <c r="W541" s="10"/>
      <c r="X541" s="11">
        <v>0</v>
      </c>
      <c r="Y541" s="10"/>
      <c r="Z541" s="10"/>
      <c r="AA541" s="11"/>
      <c r="AB541" s="10"/>
      <c r="AC541" s="10"/>
      <c r="AD541" s="11">
        <v>0</v>
      </c>
      <c r="AE541" s="10"/>
      <c r="AF541" s="10"/>
      <c r="AG541" s="11">
        <v>0</v>
      </c>
      <c r="AH541" s="10"/>
      <c r="AI541" s="10"/>
      <c r="AJ541" s="11">
        <v>0</v>
      </c>
      <c r="AK541" s="10"/>
      <c r="AL541" s="10"/>
      <c r="AM541" s="11">
        <v>0</v>
      </c>
      <c r="AN541" s="10"/>
      <c r="AO541" s="10"/>
      <c r="AP541" s="11">
        <v>0</v>
      </c>
      <c r="AQ541" s="10"/>
      <c r="AR541" s="10"/>
      <c r="AS541" s="11">
        <v>0</v>
      </c>
      <c r="AT541" s="10"/>
      <c r="AU541" s="10"/>
      <c r="AV541" s="11">
        <v>0</v>
      </c>
      <c r="AW541" s="10"/>
      <c r="AX541" s="10"/>
      <c r="AY541" s="11">
        <v>0</v>
      </c>
      <c r="AZ541" s="10"/>
      <c r="BA541" s="10"/>
      <c r="BB541" s="11">
        <v>0</v>
      </c>
      <c r="BC541" s="10"/>
      <c r="BD541" s="10"/>
      <c r="BE541" s="11">
        <v>0</v>
      </c>
      <c r="BF541" s="10"/>
      <c r="BG541" s="10"/>
      <c r="BH541" s="11">
        <v>0</v>
      </c>
      <c r="BI541" s="10"/>
      <c r="BJ541" s="10"/>
      <c r="BK541" s="11">
        <v>0</v>
      </c>
      <c r="BL541" s="10"/>
      <c r="BM541" s="10"/>
      <c r="BN541" s="11">
        <v>0</v>
      </c>
      <c r="BO541" s="10"/>
      <c r="BP541" s="10"/>
      <c r="BQ541" s="11">
        <v>0</v>
      </c>
      <c r="BR541" s="10"/>
      <c r="BS541" s="10"/>
      <c r="BT541" s="11">
        <v>0</v>
      </c>
      <c r="BU541" s="10"/>
      <c r="BV541" s="10"/>
      <c r="BW541" s="11">
        <v>0</v>
      </c>
      <c r="BX541" s="10"/>
      <c r="BY541" s="10"/>
      <c r="BZ541" s="11">
        <v>0</v>
      </c>
      <c r="CA541" s="10"/>
      <c r="CB541" s="10"/>
      <c r="CC541" s="11">
        <v>0</v>
      </c>
      <c r="CD541" s="10"/>
      <c r="CE541" s="10"/>
      <c r="CF541" s="11">
        <v>0</v>
      </c>
      <c r="CG541" s="10"/>
      <c r="CH541" s="10"/>
      <c r="CI541" s="11">
        <v>0</v>
      </c>
      <c r="CJ541" s="10"/>
      <c r="CK541" s="10"/>
      <c r="CL541" s="11">
        <v>0</v>
      </c>
      <c r="CM541" s="10"/>
      <c r="CN541" s="10"/>
      <c r="CO541" s="11">
        <v>0</v>
      </c>
      <c r="CP541" s="10"/>
      <c r="CQ541" s="10"/>
      <c r="CR541" s="11">
        <v>0</v>
      </c>
      <c r="CS541" s="10"/>
      <c r="CT541" s="10"/>
      <c r="CU541" s="11">
        <v>0</v>
      </c>
      <c r="CV541" s="10"/>
      <c r="CW541" s="10"/>
      <c r="CX541" s="11">
        <v>0</v>
      </c>
      <c r="CY541" s="10"/>
      <c r="CZ541" s="10"/>
      <c r="DA541" s="11">
        <v>0</v>
      </c>
      <c r="DB541" s="10"/>
      <c r="DC541" s="10"/>
      <c r="DD541" s="13">
        <v>0</v>
      </c>
      <c r="DE541" s="14"/>
    </row>
    <row r="542" spans="1:109" x14ac:dyDescent="0.35">
      <c r="A542" s="8" t="s">
        <v>1147</v>
      </c>
      <c r="B542" s="9" t="s">
        <v>860</v>
      </c>
      <c r="C542" s="9" t="s">
        <v>52</v>
      </c>
      <c r="D542" s="9" t="s">
        <v>1148</v>
      </c>
      <c r="E542" s="9" t="s">
        <v>54</v>
      </c>
      <c r="F542" s="9" t="s">
        <v>55</v>
      </c>
      <c r="G542" s="10"/>
      <c r="H542" s="10"/>
      <c r="I542" s="11">
        <v>0</v>
      </c>
      <c r="J542" s="10"/>
      <c r="K542" s="10"/>
      <c r="L542" s="12">
        <v>0</v>
      </c>
      <c r="M542" s="10"/>
      <c r="N542" s="10"/>
      <c r="O542" s="11">
        <v>0</v>
      </c>
      <c r="P542" s="10"/>
      <c r="Q542" s="10"/>
      <c r="R542" s="11">
        <v>0</v>
      </c>
      <c r="S542" s="10"/>
      <c r="T542" s="10"/>
      <c r="U542" s="11">
        <v>0</v>
      </c>
      <c r="V542" s="10"/>
      <c r="W542" s="10"/>
      <c r="X542" s="11">
        <v>0</v>
      </c>
      <c r="Y542" s="10"/>
      <c r="Z542" s="10"/>
      <c r="AA542" s="11"/>
      <c r="AB542" s="10"/>
      <c r="AC542" s="10"/>
      <c r="AD542" s="11">
        <v>0</v>
      </c>
      <c r="AE542" s="10"/>
      <c r="AF542" s="10"/>
      <c r="AG542" s="11">
        <v>0</v>
      </c>
      <c r="AH542" s="10"/>
      <c r="AI542" s="10"/>
      <c r="AJ542" s="11">
        <v>0</v>
      </c>
      <c r="AK542" s="10"/>
      <c r="AL542" s="10"/>
      <c r="AM542" s="11">
        <v>0</v>
      </c>
      <c r="AN542" s="10"/>
      <c r="AO542" s="10"/>
      <c r="AP542" s="11">
        <v>0</v>
      </c>
      <c r="AQ542" s="10"/>
      <c r="AR542" s="10"/>
      <c r="AS542" s="11">
        <v>0</v>
      </c>
      <c r="AT542" s="10"/>
      <c r="AU542" s="10"/>
      <c r="AV542" s="11">
        <v>0</v>
      </c>
      <c r="AW542" s="10"/>
      <c r="AX542" s="10"/>
      <c r="AY542" s="11">
        <v>0</v>
      </c>
      <c r="AZ542" s="10"/>
      <c r="BA542" s="10"/>
      <c r="BB542" s="11">
        <v>0</v>
      </c>
      <c r="BC542" s="10"/>
      <c r="BD542" s="10"/>
      <c r="BE542" s="11">
        <v>0</v>
      </c>
      <c r="BF542" s="10"/>
      <c r="BG542" s="10"/>
      <c r="BH542" s="11">
        <v>0</v>
      </c>
      <c r="BI542" s="10"/>
      <c r="BJ542" s="10"/>
      <c r="BK542" s="11">
        <v>0</v>
      </c>
      <c r="BL542" s="10"/>
      <c r="BM542" s="10"/>
      <c r="BN542" s="11">
        <v>0</v>
      </c>
      <c r="BO542" s="10"/>
      <c r="BP542" s="10"/>
      <c r="BQ542" s="11">
        <v>0</v>
      </c>
      <c r="BR542" s="10"/>
      <c r="BS542" s="10"/>
      <c r="BT542" s="11">
        <v>0</v>
      </c>
      <c r="BU542" s="10"/>
      <c r="BV542" s="10"/>
      <c r="BW542" s="11">
        <v>0</v>
      </c>
      <c r="BX542" s="10"/>
      <c r="BY542" s="10"/>
      <c r="BZ542" s="11">
        <v>0</v>
      </c>
      <c r="CA542" s="10"/>
      <c r="CB542" s="10"/>
      <c r="CC542" s="11">
        <v>0</v>
      </c>
      <c r="CD542" s="10"/>
      <c r="CE542" s="10"/>
      <c r="CF542" s="11">
        <v>0</v>
      </c>
      <c r="CG542" s="10"/>
      <c r="CH542" s="10"/>
      <c r="CI542" s="11">
        <v>0</v>
      </c>
      <c r="CJ542" s="10"/>
      <c r="CK542" s="10"/>
      <c r="CL542" s="11">
        <v>0</v>
      </c>
      <c r="CM542" s="10"/>
      <c r="CN542" s="10"/>
      <c r="CO542" s="11">
        <v>0</v>
      </c>
      <c r="CP542" s="10"/>
      <c r="CQ542" s="10"/>
      <c r="CR542" s="11">
        <v>0</v>
      </c>
      <c r="CS542" s="10"/>
      <c r="CT542" s="10"/>
      <c r="CU542" s="11">
        <v>0</v>
      </c>
      <c r="CV542" s="10"/>
      <c r="CW542" s="10"/>
      <c r="CX542" s="11">
        <v>0</v>
      </c>
      <c r="CY542" s="10"/>
      <c r="CZ542" s="10"/>
      <c r="DA542" s="11">
        <v>0</v>
      </c>
      <c r="DB542" s="10"/>
      <c r="DC542" s="10"/>
      <c r="DD542" s="13">
        <v>0</v>
      </c>
      <c r="DE542" s="14"/>
    </row>
    <row r="543" spans="1:109" x14ac:dyDescent="0.35">
      <c r="A543" s="8" t="s">
        <v>1149</v>
      </c>
      <c r="B543" s="9" t="s">
        <v>74</v>
      </c>
      <c r="C543" s="9" t="s">
        <v>52</v>
      </c>
      <c r="D543" s="9" t="s">
        <v>1150</v>
      </c>
      <c r="E543" s="9" t="s">
        <v>54</v>
      </c>
      <c r="F543" s="9" t="s">
        <v>55</v>
      </c>
      <c r="G543" s="10"/>
      <c r="H543" s="10"/>
      <c r="I543" s="11">
        <v>0</v>
      </c>
      <c r="J543" s="10"/>
      <c r="K543" s="10"/>
      <c r="L543" s="12">
        <v>0</v>
      </c>
      <c r="M543" s="10"/>
      <c r="N543" s="10"/>
      <c r="O543" s="11">
        <v>0</v>
      </c>
      <c r="P543" s="10"/>
      <c r="Q543" s="10"/>
      <c r="R543" s="11">
        <v>0</v>
      </c>
      <c r="S543" s="10"/>
      <c r="T543" s="10"/>
      <c r="U543" s="11">
        <v>0</v>
      </c>
      <c r="V543" s="10"/>
      <c r="W543" s="10"/>
      <c r="X543" s="11">
        <v>0</v>
      </c>
      <c r="Y543" s="10"/>
      <c r="Z543" s="10"/>
      <c r="AA543" s="11"/>
      <c r="AB543" s="10"/>
      <c r="AC543" s="10"/>
      <c r="AD543" s="11">
        <v>0</v>
      </c>
      <c r="AE543" s="10"/>
      <c r="AF543" s="10"/>
      <c r="AG543" s="11">
        <v>0</v>
      </c>
      <c r="AH543" s="10"/>
      <c r="AI543" s="10"/>
      <c r="AJ543" s="11">
        <v>0</v>
      </c>
      <c r="AK543" s="10"/>
      <c r="AL543" s="10"/>
      <c r="AM543" s="11">
        <v>0</v>
      </c>
      <c r="AN543" s="10"/>
      <c r="AO543" s="10"/>
      <c r="AP543" s="11">
        <v>0</v>
      </c>
      <c r="AQ543" s="10"/>
      <c r="AR543" s="10"/>
      <c r="AS543" s="11">
        <v>0</v>
      </c>
      <c r="AT543" s="10"/>
      <c r="AU543" s="10"/>
      <c r="AV543" s="11">
        <v>0</v>
      </c>
      <c r="AW543" s="10"/>
      <c r="AX543" s="10"/>
      <c r="AY543" s="11">
        <v>0</v>
      </c>
      <c r="AZ543" s="10"/>
      <c r="BA543" s="10"/>
      <c r="BB543" s="11">
        <v>0</v>
      </c>
      <c r="BC543" s="10"/>
      <c r="BD543" s="10"/>
      <c r="BE543" s="11">
        <v>0</v>
      </c>
      <c r="BF543" s="10"/>
      <c r="BG543" s="10"/>
      <c r="BH543" s="11">
        <v>0</v>
      </c>
      <c r="BI543" s="10"/>
      <c r="BJ543" s="10"/>
      <c r="BK543" s="11">
        <v>0</v>
      </c>
      <c r="BL543" s="10"/>
      <c r="BM543" s="10"/>
      <c r="BN543" s="11">
        <v>0</v>
      </c>
      <c r="BO543" s="10"/>
      <c r="BP543" s="10"/>
      <c r="BQ543" s="11">
        <v>0</v>
      </c>
      <c r="BR543" s="10"/>
      <c r="BS543" s="10"/>
      <c r="BT543" s="11">
        <v>0</v>
      </c>
      <c r="BU543" s="10"/>
      <c r="BV543" s="10"/>
      <c r="BW543" s="11">
        <v>0</v>
      </c>
      <c r="BX543" s="10"/>
      <c r="BY543" s="10"/>
      <c r="BZ543" s="11">
        <v>0</v>
      </c>
      <c r="CA543" s="10"/>
      <c r="CB543" s="10"/>
      <c r="CC543" s="11">
        <v>0</v>
      </c>
      <c r="CD543" s="10"/>
      <c r="CE543" s="10"/>
      <c r="CF543" s="11">
        <v>0</v>
      </c>
      <c r="CG543" s="10"/>
      <c r="CH543" s="10"/>
      <c r="CI543" s="11">
        <v>0</v>
      </c>
      <c r="CJ543" s="10"/>
      <c r="CK543" s="10"/>
      <c r="CL543" s="11">
        <v>0</v>
      </c>
      <c r="CM543" s="10"/>
      <c r="CN543" s="10"/>
      <c r="CO543" s="11">
        <v>0</v>
      </c>
      <c r="CP543" s="10"/>
      <c r="CQ543" s="10"/>
      <c r="CR543" s="11">
        <v>0</v>
      </c>
      <c r="CS543" s="10"/>
      <c r="CT543" s="10"/>
      <c r="CU543" s="11">
        <v>0</v>
      </c>
      <c r="CV543" s="10"/>
      <c r="CW543" s="10"/>
      <c r="CX543" s="11">
        <v>0</v>
      </c>
      <c r="CY543" s="10"/>
      <c r="CZ543" s="10"/>
      <c r="DA543" s="11">
        <v>0</v>
      </c>
      <c r="DB543" s="10"/>
      <c r="DC543" s="10"/>
      <c r="DD543" s="13">
        <v>0</v>
      </c>
      <c r="DE543" s="14"/>
    </row>
    <row r="544" spans="1:109" x14ac:dyDescent="0.35">
      <c r="A544" s="8" t="s">
        <v>1151</v>
      </c>
      <c r="B544" s="9" t="s">
        <v>51</v>
      </c>
      <c r="C544" s="9" t="s">
        <v>52</v>
      </c>
      <c r="D544" s="9" t="s">
        <v>1152</v>
      </c>
      <c r="E544" s="9" t="s">
        <v>54</v>
      </c>
      <c r="F544" s="9" t="s">
        <v>55</v>
      </c>
      <c r="G544" s="10"/>
      <c r="H544" s="10"/>
      <c r="I544" s="11">
        <v>0</v>
      </c>
      <c r="J544" s="10"/>
      <c r="K544" s="10"/>
      <c r="L544" s="12">
        <v>0</v>
      </c>
      <c r="M544" s="10"/>
      <c r="N544" s="10"/>
      <c r="O544" s="11">
        <v>0</v>
      </c>
      <c r="P544" s="10"/>
      <c r="Q544" s="10"/>
      <c r="R544" s="11">
        <v>0</v>
      </c>
      <c r="S544" s="10"/>
      <c r="T544" s="10"/>
      <c r="U544" s="11">
        <v>0</v>
      </c>
      <c r="V544" s="10"/>
      <c r="W544" s="10"/>
      <c r="X544" s="11">
        <v>0</v>
      </c>
      <c r="Y544" s="10"/>
      <c r="Z544" s="10"/>
      <c r="AA544" s="11"/>
      <c r="AB544" s="10"/>
      <c r="AC544" s="10"/>
      <c r="AD544" s="11">
        <v>0</v>
      </c>
      <c r="AE544" s="10"/>
      <c r="AF544" s="10"/>
      <c r="AG544" s="11">
        <v>0</v>
      </c>
      <c r="AH544" s="10"/>
      <c r="AI544" s="10"/>
      <c r="AJ544" s="11">
        <v>0</v>
      </c>
      <c r="AK544" s="10"/>
      <c r="AL544" s="10"/>
      <c r="AM544" s="11">
        <v>0</v>
      </c>
      <c r="AN544" s="10"/>
      <c r="AO544" s="10"/>
      <c r="AP544" s="11">
        <v>0</v>
      </c>
      <c r="AQ544" s="10"/>
      <c r="AR544" s="10"/>
      <c r="AS544" s="11">
        <v>0</v>
      </c>
      <c r="AT544" s="10"/>
      <c r="AU544" s="10"/>
      <c r="AV544" s="11">
        <v>0</v>
      </c>
      <c r="AW544" s="10"/>
      <c r="AX544" s="10"/>
      <c r="AY544" s="11">
        <v>0</v>
      </c>
      <c r="AZ544" s="10"/>
      <c r="BA544" s="10"/>
      <c r="BB544" s="11">
        <v>0</v>
      </c>
      <c r="BC544" s="10"/>
      <c r="BD544" s="10"/>
      <c r="BE544" s="11">
        <v>0</v>
      </c>
      <c r="BF544" s="10"/>
      <c r="BG544" s="10"/>
      <c r="BH544" s="11">
        <v>0</v>
      </c>
      <c r="BI544" s="10"/>
      <c r="BJ544" s="10"/>
      <c r="BK544" s="11">
        <v>0</v>
      </c>
      <c r="BL544" s="10"/>
      <c r="BM544" s="10"/>
      <c r="BN544" s="11">
        <v>0</v>
      </c>
      <c r="BO544" s="10"/>
      <c r="BP544" s="10"/>
      <c r="BQ544" s="11">
        <v>0</v>
      </c>
      <c r="BR544" s="10"/>
      <c r="BS544" s="10"/>
      <c r="BT544" s="11">
        <v>0</v>
      </c>
      <c r="BU544" s="10"/>
      <c r="BV544" s="10"/>
      <c r="BW544" s="11">
        <v>0</v>
      </c>
      <c r="BX544" s="10"/>
      <c r="BY544" s="10"/>
      <c r="BZ544" s="11">
        <v>0</v>
      </c>
      <c r="CA544" s="10"/>
      <c r="CB544" s="10"/>
      <c r="CC544" s="11">
        <v>0</v>
      </c>
      <c r="CD544" s="10"/>
      <c r="CE544" s="10"/>
      <c r="CF544" s="11">
        <v>0</v>
      </c>
      <c r="CG544" s="10"/>
      <c r="CH544" s="10"/>
      <c r="CI544" s="11">
        <v>0</v>
      </c>
      <c r="CJ544" s="10"/>
      <c r="CK544" s="10"/>
      <c r="CL544" s="11">
        <v>0</v>
      </c>
      <c r="CM544" s="10"/>
      <c r="CN544" s="10"/>
      <c r="CO544" s="11">
        <v>0</v>
      </c>
      <c r="CP544" s="10"/>
      <c r="CQ544" s="10"/>
      <c r="CR544" s="11">
        <v>0</v>
      </c>
      <c r="CS544" s="10"/>
      <c r="CT544" s="10"/>
      <c r="CU544" s="11">
        <v>0</v>
      </c>
      <c r="CV544" s="10"/>
      <c r="CW544" s="10"/>
      <c r="CX544" s="11">
        <v>0</v>
      </c>
      <c r="CY544" s="10"/>
      <c r="CZ544" s="10"/>
      <c r="DA544" s="11">
        <v>0</v>
      </c>
      <c r="DB544" s="10"/>
      <c r="DC544" s="10"/>
      <c r="DD544" s="13">
        <v>0</v>
      </c>
      <c r="DE544" s="14"/>
    </row>
    <row r="545" spans="1:109" x14ac:dyDescent="0.35">
      <c r="A545" s="8" t="s">
        <v>1153</v>
      </c>
      <c r="B545" s="9" t="s">
        <v>111</v>
      </c>
      <c r="C545" s="9" t="s">
        <v>52</v>
      </c>
      <c r="D545" s="9" t="s">
        <v>1154</v>
      </c>
      <c r="E545" s="9" t="s">
        <v>54</v>
      </c>
      <c r="F545" s="9" t="s">
        <v>55</v>
      </c>
      <c r="G545" s="10"/>
      <c r="H545" s="10"/>
      <c r="I545" s="11">
        <v>0</v>
      </c>
      <c r="J545" s="10"/>
      <c r="K545" s="10"/>
      <c r="L545" s="12">
        <v>0</v>
      </c>
      <c r="M545" s="10"/>
      <c r="N545" s="10"/>
      <c r="O545" s="11">
        <v>0</v>
      </c>
      <c r="P545" s="10"/>
      <c r="Q545" s="10"/>
      <c r="R545" s="11">
        <v>0</v>
      </c>
      <c r="S545" s="10"/>
      <c r="T545" s="10"/>
      <c r="U545" s="11">
        <v>0</v>
      </c>
      <c r="V545" s="10"/>
      <c r="W545" s="10"/>
      <c r="X545" s="11">
        <v>0</v>
      </c>
      <c r="Y545" s="10"/>
      <c r="Z545" s="10"/>
      <c r="AA545" s="11"/>
      <c r="AB545" s="10"/>
      <c r="AC545" s="10"/>
      <c r="AD545" s="11">
        <v>0</v>
      </c>
      <c r="AE545" s="10"/>
      <c r="AF545" s="10"/>
      <c r="AG545" s="11">
        <v>0</v>
      </c>
      <c r="AH545" s="10"/>
      <c r="AI545" s="10"/>
      <c r="AJ545" s="11">
        <v>0</v>
      </c>
      <c r="AK545" s="10"/>
      <c r="AL545" s="10"/>
      <c r="AM545" s="11">
        <v>0</v>
      </c>
      <c r="AN545" s="10"/>
      <c r="AO545" s="10"/>
      <c r="AP545" s="11">
        <v>0</v>
      </c>
      <c r="AQ545" s="10"/>
      <c r="AR545" s="10"/>
      <c r="AS545" s="11">
        <v>0</v>
      </c>
      <c r="AT545" s="10"/>
      <c r="AU545" s="10"/>
      <c r="AV545" s="11">
        <v>0</v>
      </c>
      <c r="AW545" s="10"/>
      <c r="AX545" s="10"/>
      <c r="AY545" s="11">
        <v>0</v>
      </c>
      <c r="AZ545" s="10"/>
      <c r="BA545" s="10"/>
      <c r="BB545" s="11">
        <v>0</v>
      </c>
      <c r="BC545" s="10"/>
      <c r="BD545" s="10"/>
      <c r="BE545" s="11">
        <v>0</v>
      </c>
      <c r="BF545" s="10"/>
      <c r="BG545" s="10"/>
      <c r="BH545" s="11">
        <v>0</v>
      </c>
      <c r="BI545" s="10"/>
      <c r="BJ545" s="10"/>
      <c r="BK545" s="11">
        <v>0</v>
      </c>
      <c r="BL545" s="10"/>
      <c r="BM545" s="10"/>
      <c r="BN545" s="11">
        <v>0</v>
      </c>
      <c r="BO545" s="10"/>
      <c r="BP545" s="10"/>
      <c r="BQ545" s="11">
        <v>0</v>
      </c>
      <c r="BR545" s="10"/>
      <c r="BS545" s="10"/>
      <c r="BT545" s="11">
        <v>0</v>
      </c>
      <c r="BU545" s="10"/>
      <c r="BV545" s="10"/>
      <c r="BW545" s="11">
        <v>0</v>
      </c>
      <c r="BX545" s="10"/>
      <c r="BY545" s="10"/>
      <c r="BZ545" s="11">
        <v>0</v>
      </c>
      <c r="CA545" s="10"/>
      <c r="CB545" s="10"/>
      <c r="CC545" s="11">
        <v>0</v>
      </c>
      <c r="CD545" s="10"/>
      <c r="CE545" s="10"/>
      <c r="CF545" s="11">
        <v>0</v>
      </c>
      <c r="CG545" s="10"/>
      <c r="CH545" s="10"/>
      <c r="CI545" s="11">
        <v>0</v>
      </c>
      <c r="CJ545" s="10"/>
      <c r="CK545" s="10"/>
      <c r="CL545" s="11">
        <v>0</v>
      </c>
      <c r="CM545" s="10"/>
      <c r="CN545" s="10"/>
      <c r="CO545" s="11">
        <v>0</v>
      </c>
      <c r="CP545" s="10"/>
      <c r="CQ545" s="10"/>
      <c r="CR545" s="11">
        <v>0</v>
      </c>
      <c r="CS545" s="10"/>
      <c r="CT545" s="10"/>
      <c r="CU545" s="11">
        <v>0</v>
      </c>
      <c r="CV545" s="10"/>
      <c r="CW545" s="10"/>
      <c r="CX545" s="11">
        <v>0</v>
      </c>
      <c r="CY545" s="10"/>
      <c r="CZ545" s="10"/>
      <c r="DA545" s="11">
        <v>0</v>
      </c>
      <c r="DB545" s="10"/>
      <c r="DC545" s="10"/>
      <c r="DD545" s="13">
        <v>0</v>
      </c>
      <c r="DE545" s="14"/>
    </row>
    <row r="546" spans="1:109" x14ac:dyDescent="0.35">
      <c r="A546" s="8" t="s">
        <v>1155</v>
      </c>
      <c r="B546" s="9" t="s">
        <v>108</v>
      </c>
      <c r="C546" s="9" t="s">
        <v>52</v>
      </c>
      <c r="D546" s="9" t="s">
        <v>1156</v>
      </c>
      <c r="E546" s="9" t="s">
        <v>54</v>
      </c>
      <c r="F546" s="9" t="s">
        <v>55</v>
      </c>
      <c r="G546" s="10"/>
      <c r="H546" s="10"/>
      <c r="I546" s="11">
        <v>0</v>
      </c>
      <c r="J546" s="10"/>
      <c r="K546" s="10"/>
      <c r="L546" s="12">
        <v>0</v>
      </c>
      <c r="M546" s="10"/>
      <c r="N546" s="10"/>
      <c r="O546" s="11">
        <v>0</v>
      </c>
      <c r="P546" s="10"/>
      <c r="Q546" s="10"/>
      <c r="R546" s="11">
        <v>0</v>
      </c>
      <c r="S546" s="10"/>
      <c r="T546" s="10"/>
      <c r="U546" s="11">
        <v>0</v>
      </c>
      <c r="V546" s="10"/>
      <c r="W546" s="10"/>
      <c r="X546" s="11">
        <v>0</v>
      </c>
      <c r="Y546" s="10"/>
      <c r="Z546" s="10"/>
      <c r="AA546" s="11"/>
      <c r="AB546" s="10"/>
      <c r="AC546" s="10"/>
      <c r="AD546" s="11">
        <v>0</v>
      </c>
      <c r="AE546" s="10"/>
      <c r="AF546" s="10"/>
      <c r="AG546" s="11">
        <v>0</v>
      </c>
      <c r="AH546" s="10"/>
      <c r="AI546" s="10"/>
      <c r="AJ546" s="11">
        <v>0</v>
      </c>
      <c r="AK546" s="10"/>
      <c r="AL546" s="10"/>
      <c r="AM546" s="11">
        <v>0</v>
      </c>
      <c r="AN546" s="10"/>
      <c r="AO546" s="10"/>
      <c r="AP546" s="11">
        <v>0</v>
      </c>
      <c r="AQ546" s="10"/>
      <c r="AR546" s="10"/>
      <c r="AS546" s="11">
        <v>0</v>
      </c>
      <c r="AT546" s="10"/>
      <c r="AU546" s="10"/>
      <c r="AV546" s="11">
        <v>0</v>
      </c>
      <c r="AW546" s="10"/>
      <c r="AX546" s="10"/>
      <c r="AY546" s="11">
        <v>0</v>
      </c>
      <c r="AZ546" s="10"/>
      <c r="BA546" s="10"/>
      <c r="BB546" s="11">
        <v>0</v>
      </c>
      <c r="BC546" s="10"/>
      <c r="BD546" s="10"/>
      <c r="BE546" s="11">
        <v>0</v>
      </c>
      <c r="BF546" s="10"/>
      <c r="BG546" s="10"/>
      <c r="BH546" s="11">
        <v>0</v>
      </c>
      <c r="BI546" s="10"/>
      <c r="BJ546" s="10"/>
      <c r="BK546" s="11">
        <v>0</v>
      </c>
      <c r="BL546" s="10"/>
      <c r="BM546" s="10"/>
      <c r="BN546" s="11">
        <v>0</v>
      </c>
      <c r="BO546" s="10"/>
      <c r="BP546" s="10"/>
      <c r="BQ546" s="11">
        <v>0</v>
      </c>
      <c r="BR546" s="10"/>
      <c r="BS546" s="10"/>
      <c r="BT546" s="11">
        <v>0</v>
      </c>
      <c r="BU546" s="10"/>
      <c r="BV546" s="10"/>
      <c r="BW546" s="11">
        <v>0</v>
      </c>
      <c r="BX546" s="10"/>
      <c r="BY546" s="10"/>
      <c r="BZ546" s="11">
        <v>0</v>
      </c>
      <c r="CA546" s="10"/>
      <c r="CB546" s="10"/>
      <c r="CC546" s="11">
        <v>0</v>
      </c>
      <c r="CD546" s="10"/>
      <c r="CE546" s="10"/>
      <c r="CF546" s="11">
        <v>0</v>
      </c>
      <c r="CG546" s="10"/>
      <c r="CH546" s="10"/>
      <c r="CI546" s="11">
        <v>0</v>
      </c>
      <c r="CJ546" s="10"/>
      <c r="CK546" s="10"/>
      <c r="CL546" s="11">
        <v>0</v>
      </c>
      <c r="CM546" s="10"/>
      <c r="CN546" s="10"/>
      <c r="CO546" s="11">
        <v>0</v>
      </c>
      <c r="CP546" s="10"/>
      <c r="CQ546" s="10"/>
      <c r="CR546" s="11">
        <v>0</v>
      </c>
      <c r="CS546" s="10"/>
      <c r="CT546" s="10"/>
      <c r="CU546" s="11">
        <v>0</v>
      </c>
      <c r="CV546" s="10"/>
      <c r="CW546" s="10"/>
      <c r="CX546" s="11">
        <v>0</v>
      </c>
      <c r="CY546" s="10"/>
      <c r="CZ546" s="10"/>
      <c r="DA546" s="11">
        <v>0</v>
      </c>
      <c r="DB546" s="10"/>
      <c r="DC546" s="10"/>
      <c r="DD546" s="13">
        <v>0</v>
      </c>
      <c r="DE546" s="14"/>
    </row>
    <row r="547" spans="1:109" x14ac:dyDescent="0.35">
      <c r="A547" s="8" t="s">
        <v>1157</v>
      </c>
      <c r="B547" s="9" t="s">
        <v>74</v>
      </c>
      <c r="C547" s="9" t="s">
        <v>52</v>
      </c>
      <c r="D547" s="9" t="s">
        <v>1158</v>
      </c>
      <c r="E547" s="9" t="s">
        <v>54</v>
      </c>
      <c r="F547" s="9" t="s">
        <v>55</v>
      </c>
      <c r="G547" s="10"/>
      <c r="H547" s="10"/>
      <c r="I547" s="11">
        <v>0</v>
      </c>
      <c r="J547" s="10"/>
      <c r="K547" s="10"/>
      <c r="L547" s="12">
        <v>0</v>
      </c>
      <c r="M547" s="10"/>
      <c r="N547" s="10"/>
      <c r="O547" s="11">
        <v>0</v>
      </c>
      <c r="P547" s="10"/>
      <c r="Q547" s="10"/>
      <c r="R547" s="11">
        <v>0</v>
      </c>
      <c r="S547" s="10"/>
      <c r="T547" s="10"/>
      <c r="U547" s="11">
        <v>0</v>
      </c>
      <c r="V547" s="10"/>
      <c r="W547" s="10"/>
      <c r="X547" s="11">
        <v>0</v>
      </c>
      <c r="Y547" s="10"/>
      <c r="Z547" s="10"/>
      <c r="AA547" s="11"/>
      <c r="AB547" s="10"/>
      <c r="AC547" s="10"/>
      <c r="AD547" s="11">
        <v>0</v>
      </c>
      <c r="AE547" s="10"/>
      <c r="AF547" s="10"/>
      <c r="AG547" s="11">
        <v>0</v>
      </c>
      <c r="AH547" s="10"/>
      <c r="AI547" s="10"/>
      <c r="AJ547" s="11">
        <v>0</v>
      </c>
      <c r="AK547" s="10"/>
      <c r="AL547" s="10"/>
      <c r="AM547" s="11">
        <v>0</v>
      </c>
      <c r="AN547" s="10"/>
      <c r="AO547" s="10"/>
      <c r="AP547" s="11">
        <v>0</v>
      </c>
      <c r="AQ547" s="10"/>
      <c r="AR547" s="10"/>
      <c r="AS547" s="11">
        <v>0</v>
      </c>
      <c r="AT547" s="10"/>
      <c r="AU547" s="10"/>
      <c r="AV547" s="11">
        <v>0</v>
      </c>
      <c r="AW547" s="10"/>
      <c r="AX547" s="10"/>
      <c r="AY547" s="11">
        <v>0</v>
      </c>
      <c r="AZ547" s="10"/>
      <c r="BA547" s="10"/>
      <c r="BB547" s="11">
        <v>0</v>
      </c>
      <c r="BC547" s="10"/>
      <c r="BD547" s="10"/>
      <c r="BE547" s="11">
        <v>0</v>
      </c>
      <c r="BF547" s="10"/>
      <c r="BG547" s="10"/>
      <c r="BH547" s="11">
        <v>0</v>
      </c>
      <c r="BI547" s="10"/>
      <c r="BJ547" s="10"/>
      <c r="BK547" s="11">
        <v>0</v>
      </c>
      <c r="BL547" s="10"/>
      <c r="BM547" s="10"/>
      <c r="BN547" s="11">
        <v>0</v>
      </c>
      <c r="BO547" s="10"/>
      <c r="BP547" s="10"/>
      <c r="BQ547" s="11">
        <v>0</v>
      </c>
      <c r="BR547" s="10"/>
      <c r="BS547" s="10"/>
      <c r="BT547" s="11">
        <v>0</v>
      </c>
      <c r="BU547" s="10"/>
      <c r="BV547" s="10"/>
      <c r="BW547" s="11">
        <v>0</v>
      </c>
      <c r="BX547" s="10"/>
      <c r="BY547" s="10"/>
      <c r="BZ547" s="11">
        <v>0</v>
      </c>
      <c r="CA547" s="10"/>
      <c r="CB547" s="10"/>
      <c r="CC547" s="11">
        <v>0</v>
      </c>
      <c r="CD547" s="10"/>
      <c r="CE547" s="10"/>
      <c r="CF547" s="11">
        <v>0</v>
      </c>
      <c r="CG547" s="10"/>
      <c r="CH547" s="10"/>
      <c r="CI547" s="11">
        <v>0</v>
      </c>
      <c r="CJ547" s="10"/>
      <c r="CK547" s="10"/>
      <c r="CL547" s="11">
        <v>0</v>
      </c>
      <c r="CM547" s="10"/>
      <c r="CN547" s="10"/>
      <c r="CO547" s="11">
        <v>0</v>
      </c>
      <c r="CP547" s="10"/>
      <c r="CQ547" s="10"/>
      <c r="CR547" s="11">
        <v>0</v>
      </c>
      <c r="CS547" s="10"/>
      <c r="CT547" s="10"/>
      <c r="CU547" s="11">
        <v>0</v>
      </c>
      <c r="CV547" s="10"/>
      <c r="CW547" s="10"/>
      <c r="CX547" s="11">
        <v>0</v>
      </c>
      <c r="CY547" s="10"/>
      <c r="CZ547" s="10"/>
      <c r="DA547" s="11">
        <v>0</v>
      </c>
      <c r="DB547" s="10"/>
      <c r="DC547" s="10"/>
      <c r="DD547" s="13">
        <v>0</v>
      </c>
      <c r="DE547" s="14"/>
    </row>
    <row r="548" spans="1:109" x14ac:dyDescent="0.35">
      <c r="A548" s="8" t="s">
        <v>1159</v>
      </c>
      <c r="B548" s="9" t="s">
        <v>77</v>
      </c>
      <c r="C548" s="9" t="s">
        <v>43</v>
      </c>
      <c r="D548" s="9" t="s">
        <v>1160</v>
      </c>
      <c r="E548" s="9" t="s">
        <v>61</v>
      </c>
      <c r="F548" s="9" t="s">
        <v>62</v>
      </c>
      <c r="G548" s="10"/>
      <c r="H548" s="10"/>
      <c r="I548" s="11">
        <v>0</v>
      </c>
      <c r="J548" s="10"/>
      <c r="K548" s="10"/>
      <c r="L548" s="12">
        <v>0</v>
      </c>
      <c r="M548" s="10"/>
      <c r="N548" s="10"/>
      <c r="O548" s="11">
        <v>0</v>
      </c>
      <c r="P548" s="10"/>
      <c r="Q548" s="10"/>
      <c r="R548" s="11">
        <v>0</v>
      </c>
      <c r="S548" s="10"/>
      <c r="T548" s="10"/>
      <c r="U548" s="11">
        <v>0</v>
      </c>
      <c r="V548" s="10"/>
      <c r="W548" s="10"/>
      <c r="X548" s="11">
        <v>0</v>
      </c>
      <c r="Y548" s="10"/>
      <c r="Z548" s="10"/>
      <c r="AA548" s="11"/>
      <c r="AB548" s="10"/>
      <c r="AC548" s="10"/>
      <c r="AD548" s="11">
        <v>0</v>
      </c>
      <c r="AE548" s="10"/>
      <c r="AF548" s="10"/>
      <c r="AG548" s="11">
        <v>0</v>
      </c>
      <c r="AH548" s="10"/>
      <c r="AI548" s="10"/>
      <c r="AJ548" s="11">
        <v>0</v>
      </c>
      <c r="AK548" s="10"/>
      <c r="AL548" s="10"/>
      <c r="AM548" s="11">
        <v>0</v>
      </c>
      <c r="AN548" s="10"/>
      <c r="AO548" s="10"/>
      <c r="AP548" s="11">
        <v>0</v>
      </c>
      <c r="AQ548" s="10"/>
      <c r="AR548" s="10"/>
      <c r="AS548" s="11">
        <v>0</v>
      </c>
      <c r="AT548" s="10"/>
      <c r="AU548" s="10"/>
      <c r="AV548" s="11">
        <v>0</v>
      </c>
      <c r="AW548" s="10"/>
      <c r="AX548" s="10"/>
      <c r="AY548" s="11">
        <v>0</v>
      </c>
      <c r="AZ548" s="10"/>
      <c r="BA548" s="10"/>
      <c r="BB548" s="11">
        <v>0</v>
      </c>
      <c r="BC548" s="10"/>
      <c r="BD548" s="10"/>
      <c r="BE548" s="11">
        <v>0</v>
      </c>
      <c r="BF548" s="10"/>
      <c r="BG548" s="10"/>
      <c r="BH548" s="11">
        <v>0</v>
      </c>
      <c r="BI548" s="10"/>
      <c r="BJ548" s="10"/>
      <c r="BK548" s="11">
        <v>0</v>
      </c>
      <c r="BL548" s="10"/>
      <c r="BM548" s="10"/>
      <c r="BN548" s="11">
        <v>0</v>
      </c>
      <c r="BO548" s="10"/>
      <c r="BP548" s="10"/>
      <c r="BQ548" s="11">
        <v>0</v>
      </c>
      <c r="BR548" s="10"/>
      <c r="BS548" s="10"/>
      <c r="BT548" s="11">
        <v>0</v>
      </c>
      <c r="BU548" s="10"/>
      <c r="BV548" s="10"/>
      <c r="BW548" s="11">
        <v>0</v>
      </c>
      <c r="BX548" s="10"/>
      <c r="BY548" s="10"/>
      <c r="BZ548" s="11">
        <v>0</v>
      </c>
      <c r="CA548" s="10"/>
      <c r="CB548" s="10"/>
      <c r="CC548" s="11">
        <v>0</v>
      </c>
      <c r="CD548" s="10"/>
      <c r="CE548" s="10"/>
      <c r="CF548" s="11">
        <v>0</v>
      </c>
      <c r="CG548" s="10"/>
      <c r="CH548" s="10"/>
      <c r="CI548" s="11">
        <v>0</v>
      </c>
      <c r="CJ548" s="10"/>
      <c r="CK548" s="10"/>
      <c r="CL548" s="11">
        <v>0</v>
      </c>
      <c r="CM548" s="10"/>
      <c r="CN548" s="10"/>
      <c r="CO548" s="11">
        <v>0</v>
      </c>
      <c r="CP548" s="10"/>
      <c r="CQ548" s="10"/>
      <c r="CR548" s="11">
        <v>0</v>
      </c>
      <c r="CS548" s="10"/>
      <c r="CT548" s="10"/>
      <c r="CU548" s="11">
        <v>0</v>
      </c>
      <c r="CV548" s="10"/>
      <c r="CW548" s="10"/>
      <c r="CX548" s="11">
        <v>0</v>
      </c>
      <c r="CY548" s="10"/>
      <c r="CZ548" s="10"/>
      <c r="DA548" s="11">
        <v>0</v>
      </c>
      <c r="DB548" s="10"/>
      <c r="DC548" s="10"/>
      <c r="DD548" s="13">
        <v>0</v>
      </c>
      <c r="DE548" s="14"/>
    </row>
    <row r="549" spans="1:109" x14ac:dyDescent="0.35">
      <c r="A549" s="8" t="s">
        <v>1161</v>
      </c>
      <c r="B549" s="9" t="s">
        <v>77</v>
      </c>
      <c r="C549" s="9" t="s">
        <v>43</v>
      </c>
      <c r="D549" s="9" t="s">
        <v>1162</v>
      </c>
      <c r="E549" s="9" t="s">
        <v>61</v>
      </c>
      <c r="F549" s="9" t="s">
        <v>62</v>
      </c>
      <c r="G549" s="10"/>
      <c r="H549" s="10"/>
      <c r="I549" s="11">
        <v>0</v>
      </c>
      <c r="J549" s="10"/>
      <c r="K549" s="10"/>
      <c r="L549" s="12">
        <v>0</v>
      </c>
      <c r="M549" s="10"/>
      <c r="N549" s="10"/>
      <c r="O549" s="11">
        <v>0</v>
      </c>
      <c r="P549" s="10"/>
      <c r="Q549" s="10"/>
      <c r="R549" s="11">
        <v>0</v>
      </c>
      <c r="S549" s="10"/>
      <c r="T549" s="10"/>
      <c r="U549" s="11">
        <v>0</v>
      </c>
      <c r="V549" s="10"/>
      <c r="W549" s="10"/>
      <c r="X549" s="11">
        <v>0</v>
      </c>
      <c r="Y549" s="10"/>
      <c r="Z549" s="10"/>
      <c r="AA549" s="11"/>
      <c r="AB549" s="10"/>
      <c r="AC549" s="10"/>
      <c r="AD549" s="11">
        <v>0</v>
      </c>
      <c r="AE549" s="10"/>
      <c r="AF549" s="10"/>
      <c r="AG549" s="11">
        <v>0</v>
      </c>
      <c r="AH549" s="10"/>
      <c r="AI549" s="10"/>
      <c r="AJ549" s="11">
        <v>0</v>
      </c>
      <c r="AK549" s="10"/>
      <c r="AL549" s="10"/>
      <c r="AM549" s="11">
        <v>0</v>
      </c>
      <c r="AN549" s="10"/>
      <c r="AO549" s="10"/>
      <c r="AP549" s="11">
        <v>0</v>
      </c>
      <c r="AQ549" s="10"/>
      <c r="AR549" s="10"/>
      <c r="AS549" s="11">
        <v>0</v>
      </c>
      <c r="AT549" s="10"/>
      <c r="AU549" s="10"/>
      <c r="AV549" s="11">
        <v>0</v>
      </c>
      <c r="AW549" s="10"/>
      <c r="AX549" s="10"/>
      <c r="AY549" s="11">
        <v>0</v>
      </c>
      <c r="AZ549" s="10"/>
      <c r="BA549" s="10"/>
      <c r="BB549" s="11">
        <v>0</v>
      </c>
      <c r="BC549" s="10"/>
      <c r="BD549" s="10"/>
      <c r="BE549" s="11">
        <v>0</v>
      </c>
      <c r="BF549" s="10"/>
      <c r="BG549" s="10"/>
      <c r="BH549" s="11">
        <v>0</v>
      </c>
      <c r="BI549" s="10"/>
      <c r="BJ549" s="10"/>
      <c r="BK549" s="11">
        <v>0</v>
      </c>
      <c r="BL549" s="10"/>
      <c r="BM549" s="10"/>
      <c r="BN549" s="11">
        <v>0</v>
      </c>
      <c r="BO549" s="10"/>
      <c r="BP549" s="10"/>
      <c r="BQ549" s="11">
        <v>0</v>
      </c>
      <c r="BR549" s="10"/>
      <c r="BS549" s="10"/>
      <c r="BT549" s="11">
        <v>0</v>
      </c>
      <c r="BU549" s="10"/>
      <c r="BV549" s="10"/>
      <c r="BW549" s="11">
        <v>0</v>
      </c>
      <c r="BX549" s="10"/>
      <c r="BY549" s="10"/>
      <c r="BZ549" s="11">
        <v>0</v>
      </c>
      <c r="CA549" s="10"/>
      <c r="CB549" s="10"/>
      <c r="CC549" s="11">
        <v>0</v>
      </c>
      <c r="CD549" s="10"/>
      <c r="CE549" s="10"/>
      <c r="CF549" s="11">
        <v>0</v>
      </c>
      <c r="CG549" s="10"/>
      <c r="CH549" s="10"/>
      <c r="CI549" s="11">
        <v>0</v>
      </c>
      <c r="CJ549" s="10"/>
      <c r="CK549" s="10"/>
      <c r="CL549" s="11">
        <v>0</v>
      </c>
      <c r="CM549" s="10"/>
      <c r="CN549" s="10"/>
      <c r="CO549" s="11">
        <v>0</v>
      </c>
      <c r="CP549" s="10"/>
      <c r="CQ549" s="10"/>
      <c r="CR549" s="11">
        <v>0</v>
      </c>
      <c r="CS549" s="10"/>
      <c r="CT549" s="10"/>
      <c r="CU549" s="11">
        <v>0</v>
      </c>
      <c r="CV549" s="10"/>
      <c r="CW549" s="10"/>
      <c r="CX549" s="11">
        <v>0</v>
      </c>
      <c r="CY549" s="10"/>
      <c r="CZ549" s="10"/>
      <c r="DA549" s="11">
        <v>0</v>
      </c>
      <c r="DB549" s="10"/>
      <c r="DC549" s="10"/>
      <c r="DD549" s="13">
        <v>0</v>
      </c>
      <c r="DE549" s="14"/>
    </row>
    <row r="550" spans="1:109" x14ac:dyDescent="0.35">
      <c r="A550" s="8" t="s">
        <v>1163</v>
      </c>
      <c r="B550" s="9" t="s">
        <v>59</v>
      </c>
      <c r="C550" s="9" t="s">
        <v>43</v>
      </c>
      <c r="D550" s="9" t="s">
        <v>1164</v>
      </c>
      <c r="E550" s="9" t="s">
        <v>61</v>
      </c>
      <c r="F550" s="9" t="s">
        <v>62</v>
      </c>
      <c r="G550" s="10"/>
      <c r="H550" s="10"/>
      <c r="I550" s="11">
        <v>0</v>
      </c>
      <c r="J550" s="10"/>
      <c r="K550" s="10"/>
      <c r="L550" s="12">
        <v>0</v>
      </c>
      <c r="M550" s="10"/>
      <c r="N550" s="10"/>
      <c r="O550" s="11">
        <v>0</v>
      </c>
      <c r="P550" s="10"/>
      <c r="Q550" s="10"/>
      <c r="R550" s="11">
        <v>0</v>
      </c>
      <c r="S550" s="10"/>
      <c r="T550" s="10"/>
      <c r="U550" s="11">
        <v>0</v>
      </c>
      <c r="V550" s="10"/>
      <c r="W550" s="10"/>
      <c r="X550" s="11">
        <v>0</v>
      </c>
      <c r="Y550" s="10"/>
      <c r="Z550" s="10"/>
      <c r="AA550" s="11"/>
      <c r="AB550" s="10"/>
      <c r="AC550" s="10"/>
      <c r="AD550" s="11">
        <v>0</v>
      </c>
      <c r="AE550" s="10"/>
      <c r="AF550" s="10"/>
      <c r="AG550" s="11">
        <v>0</v>
      </c>
      <c r="AH550" s="10"/>
      <c r="AI550" s="10"/>
      <c r="AJ550" s="11">
        <v>0</v>
      </c>
      <c r="AK550" s="10"/>
      <c r="AL550" s="10"/>
      <c r="AM550" s="11">
        <v>0</v>
      </c>
      <c r="AN550" s="10"/>
      <c r="AO550" s="10"/>
      <c r="AP550" s="11">
        <v>0</v>
      </c>
      <c r="AQ550" s="10"/>
      <c r="AR550" s="10"/>
      <c r="AS550" s="11">
        <v>0</v>
      </c>
      <c r="AT550" s="10"/>
      <c r="AU550" s="10"/>
      <c r="AV550" s="11">
        <v>0</v>
      </c>
      <c r="AW550" s="10"/>
      <c r="AX550" s="10"/>
      <c r="AY550" s="11">
        <v>0</v>
      </c>
      <c r="AZ550" s="10"/>
      <c r="BA550" s="10"/>
      <c r="BB550" s="11">
        <v>0</v>
      </c>
      <c r="BC550" s="10"/>
      <c r="BD550" s="10"/>
      <c r="BE550" s="11">
        <v>0</v>
      </c>
      <c r="BF550" s="10"/>
      <c r="BG550" s="10"/>
      <c r="BH550" s="11">
        <v>0</v>
      </c>
      <c r="BI550" s="10"/>
      <c r="BJ550" s="10"/>
      <c r="BK550" s="11">
        <v>0</v>
      </c>
      <c r="BL550" s="10"/>
      <c r="BM550" s="10"/>
      <c r="BN550" s="11">
        <v>0</v>
      </c>
      <c r="BO550" s="10"/>
      <c r="BP550" s="10"/>
      <c r="BQ550" s="11">
        <v>0</v>
      </c>
      <c r="BR550" s="10"/>
      <c r="BS550" s="10"/>
      <c r="BT550" s="11">
        <v>0</v>
      </c>
      <c r="BU550" s="10"/>
      <c r="BV550" s="10"/>
      <c r="BW550" s="11">
        <v>0</v>
      </c>
      <c r="BX550" s="10"/>
      <c r="BY550" s="10"/>
      <c r="BZ550" s="11">
        <v>0</v>
      </c>
      <c r="CA550" s="10"/>
      <c r="CB550" s="10"/>
      <c r="CC550" s="11">
        <v>0</v>
      </c>
      <c r="CD550" s="10"/>
      <c r="CE550" s="10"/>
      <c r="CF550" s="11">
        <v>0</v>
      </c>
      <c r="CG550" s="10"/>
      <c r="CH550" s="10"/>
      <c r="CI550" s="11">
        <v>0</v>
      </c>
      <c r="CJ550" s="10"/>
      <c r="CK550" s="10"/>
      <c r="CL550" s="11">
        <v>0</v>
      </c>
      <c r="CM550" s="10"/>
      <c r="CN550" s="10"/>
      <c r="CO550" s="11">
        <v>0</v>
      </c>
      <c r="CP550" s="10"/>
      <c r="CQ550" s="10"/>
      <c r="CR550" s="11">
        <v>0</v>
      </c>
      <c r="CS550" s="10"/>
      <c r="CT550" s="10"/>
      <c r="CU550" s="11">
        <v>0</v>
      </c>
      <c r="CV550" s="10"/>
      <c r="CW550" s="10"/>
      <c r="CX550" s="11">
        <v>0</v>
      </c>
      <c r="CY550" s="10"/>
      <c r="CZ550" s="10"/>
      <c r="DA550" s="11">
        <v>0</v>
      </c>
      <c r="DB550" s="10"/>
      <c r="DC550" s="10"/>
      <c r="DD550" s="13">
        <v>0</v>
      </c>
      <c r="DE550" s="14"/>
    </row>
    <row r="551" spans="1:109" x14ac:dyDescent="0.35">
      <c r="A551" s="8" t="s">
        <v>1165</v>
      </c>
      <c r="B551" s="9" t="s">
        <v>118</v>
      </c>
      <c r="C551" s="9" t="s">
        <v>43</v>
      </c>
      <c r="D551" s="9" t="s">
        <v>1166</v>
      </c>
      <c r="E551" s="9" t="s">
        <v>61</v>
      </c>
      <c r="F551" s="9" t="s">
        <v>62</v>
      </c>
      <c r="G551" s="10"/>
      <c r="H551" s="10"/>
      <c r="I551" s="11">
        <v>0</v>
      </c>
      <c r="J551" s="10"/>
      <c r="K551" s="10"/>
      <c r="L551" s="12">
        <v>0</v>
      </c>
      <c r="M551" s="10"/>
      <c r="N551" s="10"/>
      <c r="O551" s="11">
        <v>0</v>
      </c>
      <c r="P551" s="10"/>
      <c r="Q551" s="10"/>
      <c r="R551" s="11">
        <v>0</v>
      </c>
      <c r="S551" s="10"/>
      <c r="T551" s="10"/>
      <c r="U551" s="11">
        <v>0</v>
      </c>
      <c r="V551" s="10"/>
      <c r="W551" s="10"/>
      <c r="X551" s="11">
        <v>0</v>
      </c>
      <c r="Y551" s="10"/>
      <c r="Z551" s="10"/>
      <c r="AA551" s="11"/>
      <c r="AB551" s="10"/>
      <c r="AC551" s="10"/>
      <c r="AD551" s="11">
        <v>0</v>
      </c>
      <c r="AE551" s="10"/>
      <c r="AF551" s="10"/>
      <c r="AG551" s="11">
        <v>0</v>
      </c>
      <c r="AH551" s="10"/>
      <c r="AI551" s="10"/>
      <c r="AJ551" s="11">
        <v>0</v>
      </c>
      <c r="AK551" s="10"/>
      <c r="AL551" s="10"/>
      <c r="AM551" s="11">
        <v>0</v>
      </c>
      <c r="AN551" s="10"/>
      <c r="AO551" s="10"/>
      <c r="AP551" s="11">
        <v>0</v>
      </c>
      <c r="AQ551" s="10"/>
      <c r="AR551" s="10"/>
      <c r="AS551" s="11">
        <v>0</v>
      </c>
      <c r="AT551" s="10"/>
      <c r="AU551" s="10"/>
      <c r="AV551" s="11">
        <v>0</v>
      </c>
      <c r="AW551" s="10"/>
      <c r="AX551" s="10"/>
      <c r="AY551" s="11">
        <v>0</v>
      </c>
      <c r="AZ551" s="10"/>
      <c r="BA551" s="10"/>
      <c r="BB551" s="11">
        <v>0</v>
      </c>
      <c r="BC551" s="10"/>
      <c r="BD551" s="10"/>
      <c r="BE551" s="11">
        <v>0</v>
      </c>
      <c r="BF551" s="10"/>
      <c r="BG551" s="10"/>
      <c r="BH551" s="11">
        <v>0</v>
      </c>
      <c r="BI551" s="10"/>
      <c r="BJ551" s="10"/>
      <c r="BK551" s="11">
        <v>0</v>
      </c>
      <c r="BL551" s="10"/>
      <c r="BM551" s="10"/>
      <c r="BN551" s="11">
        <v>0</v>
      </c>
      <c r="BO551" s="10"/>
      <c r="BP551" s="10"/>
      <c r="BQ551" s="11">
        <v>0</v>
      </c>
      <c r="BR551" s="10"/>
      <c r="BS551" s="10"/>
      <c r="BT551" s="11">
        <v>0</v>
      </c>
      <c r="BU551" s="10"/>
      <c r="BV551" s="10"/>
      <c r="BW551" s="11">
        <v>0</v>
      </c>
      <c r="BX551" s="10"/>
      <c r="BY551" s="10"/>
      <c r="BZ551" s="11">
        <v>0</v>
      </c>
      <c r="CA551" s="10"/>
      <c r="CB551" s="10"/>
      <c r="CC551" s="11">
        <v>0</v>
      </c>
      <c r="CD551" s="10"/>
      <c r="CE551" s="10"/>
      <c r="CF551" s="11">
        <v>0</v>
      </c>
      <c r="CG551" s="10"/>
      <c r="CH551" s="10"/>
      <c r="CI551" s="11">
        <v>0</v>
      </c>
      <c r="CJ551" s="10"/>
      <c r="CK551" s="10"/>
      <c r="CL551" s="11">
        <v>0</v>
      </c>
      <c r="CM551" s="10"/>
      <c r="CN551" s="10"/>
      <c r="CO551" s="11">
        <v>0</v>
      </c>
      <c r="CP551" s="10"/>
      <c r="CQ551" s="10"/>
      <c r="CR551" s="11">
        <v>0</v>
      </c>
      <c r="CS551" s="10"/>
      <c r="CT551" s="10"/>
      <c r="CU551" s="11">
        <v>0</v>
      </c>
      <c r="CV551" s="10"/>
      <c r="CW551" s="10"/>
      <c r="CX551" s="11">
        <v>0</v>
      </c>
      <c r="CY551" s="10"/>
      <c r="CZ551" s="10"/>
      <c r="DA551" s="11">
        <v>0</v>
      </c>
      <c r="DB551" s="10"/>
      <c r="DC551" s="10"/>
      <c r="DD551" s="13">
        <v>0</v>
      </c>
      <c r="DE551" s="14"/>
    </row>
    <row r="552" spans="1:109" x14ac:dyDescent="0.35">
      <c r="A552" s="8" t="s">
        <v>1167</v>
      </c>
      <c r="B552" s="9" t="s">
        <v>118</v>
      </c>
      <c r="C552" s="9" t="s">
        <v>43</v>
      </c>
      <c r="D552" s="9" t="s">
        <v>1168</v>
      </c>
      <c r="E552" s="9" t="s">
        <v>61</v>
      </c>
      <c r="F552" s="9" t="s">
        <v>62</v>
      </c>
      <c r="G552" s="10"/>
      <c r="H552" s="10"/>
      <c r="I552" s="11">
        <v>0</v>
      </c>
      <c r="J552" s="10"/>
      <c r="K552" s="10"/>
      <c r="L552" s="12">
        <v>0</v>
      </c>
      <c r="M552" s="10"/>
      <c r="N552" s="10"/>
      <c r="O552" s="11">
        <v>0</v>
      </c>
      <c r="P552" s="10"/>
      <c r="Q552" s="10"/>
      <c r="R552" s="11">
        <v>0</v>
      </c>
      <c r="S552" s="10"/>
      <c r="T552" s="10"/>
      <c r="U552" s="11">
        <v>0</v>
      </c>
      <c r="V552" s="10"/>
      <c r="W552" s="10"/>
      <c r="X552" s="11">
        <v>0</v>
      </c>
      <c r="Y552" s="10"/>
      <c r="Z552" s="10"/>
      <c r="AA552" s="11"/>
      <c r="AB552" s="10"/>
      <c r="AC552" s="10"/>
      <c r="AD552" s="11">
        <v>0</v>
      </c>
      <c r="AE552" s="10"/>
      <c r="AF552" s="10"/>
      <c r="AG552" s="11">
        <v>0</v>
      </c>
      <c r="AH552" s="10"/>
      <c r="AI552" s="10"/>
      <c r="AJ552" s="11">
        <v>0</v>
      </c>
      <c r="AK552" s="10"/>
      <c r="AL552" s="10"/>
      <c r="AM552" s="11">
        <v>0</v>
      </c>
      <c r="AN552" s="10"/>
      <c r="AO552" s="10"/>
      <c r="AP552" s="11">
        <v>0</v>
      </c>
      <c r="AQ552" s="10"/>
      <c r="AR552" s="10"/>
      <c r="AS552" s="11">
        <v>0</v>
      </c>
      <c r="AT552" s="10"/>
      <c r="AU552" s="10"/>
      <c r="AV552" s="11">
        <v>0</v>
      </c>
      <c r="AW552" s="10"/>
      <c r="AX552" s="10"/>
      <c r="AY552" s="11">
        <v>0</v>
      </c>
      <c r="AZ552" s="10"/>
      <c r="BA552" s="10"/>
      <c r="BB552" s="11">
        <v>0</v>
      </c>
      <c r="BC552" s="10"/>
      <c r="BD552" s="10"/>
      <c r="BE552" s="11">
        <v>0</v>
      </c>
      <c r="BF552" s="10"/>
      <c r="BG552" s="10"/>
      <c r="BH552" s="11">
        <v>0</v>
      </c>
      <c r="BI552" s="10"/>
      <c r="BJ552" s="10"/>
      <c r="BK552" s="11">
        <v>0</v>
      </c>
      <c r="BL552" s="10"/>
      <c r="BM552" s="10"/>
      <c r="BN552" s="11">
        <v>0</v>
      </c>
      <c r="BO552" s="10"/>
      <c r="BP552" s="10"/>
      <c r="BQ552" s="11">
        <v>0</v>
      </c>
      <c r="BR552" s="10"/>
      <c r="BS552" s="10"/>
      <c r="BT552" s="11">
        <v>0</v>
      </c>
      <c r="BU552" s="10"/>
      <c r="BV552" s="10"/>
      <c r="BW552" s="11">
        <v>0</v>
      </c>
      <c r="BX552" s="10"/>
      <c r="BY552" s="10"/>
      <c r="BZ552" s="11">
        <v>0</v>
      </c>
      <c r="CA552" s="10"/>
      <c r="CB552" s="10"/>
      <c r="CC552" s="11">
        <v>0</v>
      </c>
      <c r="CD552" s="10"/>
      <c r="CE552" s="10"/>
      <c r="CF552" s="11">
        <v>0</v>
      </c>
      <c r="CG552" s="10"/>
      <c r="CH552" s="10"/>
      <c r="CI552" s="11">
        <v>0</v>
      </c>
      <c r="CJ552" s="10"/>
      <c r="CK552" s="10"/>
      <c r="CL552" s="11">
        <v>0</v>
      </c>
      <c r="CM552" s="10"/>
      <c r="CN552" s="10"/>
      <c r="CO552" s="11">
        <v>0</v>
      </c>
      <c r="CP552" s="10"/>
      <c r="CQ552" s="10"/>
      <c r="CR552" s="11">
        <v>0</v>
      </c>
      <c r="CS552" s="10"/>
      <c r="CT552" s="10"/>
      <c r="CU552" s="11">
        <v>0</v>
      </c>
      <c r="CV552" s="10"/>
      <c r="CW552" s="10"/>
      <c r="CX552" s="11">
        <v>0</v>
      </c>
      <c r="CY552" s="10"/>
      <c r="CZ552" s="10"/>
      <c r="DA552" s="11">
        <v>0</v>
      </c>
      <c r="DB552" s="10"/>
      <c r="DC552" s="10"/>
      <c r="DD552" s="13">
        <v>0</v>
      </c>
      <c r="DE552" s="14"/>
    </row>
    <row r="553" spans="1:109" x14ac:dyDescent="0.35">
      <c r="A553" s="8" t="s">
        <v>1169</v>
      </c>
      <c r="B553" s="9" t="s">
        <v>118</v>
      </c>
      <c r="C553" s="9" t="s">
        <v>43</v>
      </c>
      <c r="D553" s="9" t="s">
        <v>1170</v>
      </c>
      <c r="E553" s="9" t="s">
        <v>61</v>
      </c>
      <c r="F553" s="9" t="s">
        <v>62</v>
      </c>
      <c r="G553" s="10"/>
      <c r="H553" s="10"/>
      <c r="I553" s="11">
        <v>0</v>
      </c>
      <c r="J553" s="10"/>
      <c r="K553" s="10"/>
      <c r="L553" s="12">
        <v>0</v>
      </c>
      <c r="M553" s="10"/>
      <c r="N553" s="10"/>
      <c r="O553" s="11">
        <v>0</v>
      </c>
      <c r="P553" s="10"/>
      <c r="Q553" s="10"/>
      <c r="R553" s="11">
        <v>0</v>
      </c>
      <c r="S553" s="10"/>
      <c r="T553" s="10"/>
      <c r="U553" s="11">
        <v>0</v>
      </c>
      <c r="V553" s="10"/>
      <c r="W553" s="10"/>
      <c r="X553" s="11">
        <v>0</v>
      </c>
      <c r="Y553" s="10"/>
      <c r="Z553" s="10"/>
      <c r="AA553" s="11"/>
      <c r="AB553" s="10"/>
      <c r="AC553" s="10"/>
      <c r="AD553" s="11">
        <v>0</v>
      </c>
      <c r="AE553" s="10"/>
      <c r="AF553" s="10"/>
      <c r="AG553" s="11">
        <v>0</v>
      </c>
      <c r="AH553" s="10"/>
      <c r="AI553" s="10"/>
      <c r="AJ553" s="11">
        <v>0</v>
      </c>
      <c r="AK553" s="10"/>
      <c r="AL553" s="10"/>
      <c r="AM553" s="11">
        <v>0</v>
      </c>
      <c r="AN553" s="10"/>
      <c r="AO553" s="10"/>
      <c r="AP553" s="11">
        <v>0</v>
      </c>
      <c r="AQ553" s="10"/>
      <c r="AR553" s="10"/>
      <c r="AS553" s="11">
        <v>0</v>
      </c>
      <c r="AT553" s="10"/>
      <c r="AU553" s="10"/>
      <c r="AV553" s="11">
        <v>0</v>
      </c>
      <c r="AW553" s="10"/>
      <c r="AX553" s="10"/>
      <c r="AY553" s="11">
        <v>0</v>
      </c>
      <c r="AZ553" s="10"/>
      <c r="BA553" s="10"/>
      <c r="BB553" s="11">
        <v>0</v>
      </c>
      <c r="BC553" s="10"/>
      <c r="BD553" s="10"/>
      <c r="BE553" s="11">
        <v>0</v>
      </c>
      <c r="BF553" s="10"/>
      <c r="BG553" s="10"/>
      <c r="BH553" s="11">
        <v>0</v>
      </c>
      <c r="BI553" s="10"/>
      <c r="BJ553" s="10"/>
      <c r="BK553" s="11">
        <v>0</v>
      </c>
      <c r="BL553" s="10"/>
      <c r="BM553" s="10"/>
      <c r="BN553" s="11">
        <v>0</v>
      </c>
      <c r="BO553" s="10"/>
      <c r="BP553" s="10"/>
      <c r="BQ553" s="11">
        <v>0</v>
      </c>
      <c r="BR553" s="10"/>
      <c r="BS553" s="10"/>
      <c r="BT553" s="11">
        <v>0</v>
      </c>
      <c r="BU553" s="10"/>
      <c r="BV553" s="10"/>
      <c r="BW553" s="11">
        <v>0</v>
      </c>
      <c r="BX553" s="10"/>
      <c r="BY553" s="10"/>
      <c r="BZ553" s="11">
        <v>0</v>
      </c>
      <c r="CA553" s="10"/>
      <c r="CB553" s="10"/>
      <c r="CC553" s="11">
        <v>0</v>
      </c>
      <c r="CD553" s="10"/>
      <c r="CE553" s="10"/>
      <c r="CF553" s="11">
        <v>0</v>
      </c>
      <c r="CG553" s="10"/>
      <c r="CH553" s="10"/>
      <c r="CI553" s="11">
        <v>0</v>
      </c>
      <c r="CJ553" s="10"/>
      <c r="CK553" s="10"/>
      <c r="CL553" s="11">
        <v>0</v>
      </c>
      <c r="CM553" s="10"/>
      <c r="CN553" s="10"/>
      <c r="CO553" s="11">
        <v>0</v>
      </c>
      <c r="CP553" s="10"/>
      <c r="CQ553" s="10"/>
      <c r="CR553" s="11">
        <v>0</v>
      </c>
      <c r="CS553" s="10"/>
      <c r="CT553" s="10"/>
      <c r="CU553" s="11">
        <v>0</v>
      </c>
      <c r="CV553" s="10"/>
      <c r="CW553" s="10"/>
      <c r="CX553" s="11">
        <v>0</v>
      </c>
      <c r="CY553" s="10"/>
      <c r="CZ553" s="10"/>
      <c r="DA553" s="11">
        <v>0</v>
      </c>
      <c r="DB553" s="10"/>
      <c r="DC553" s="10"/>
      <c r="DD553" s="13">
        <v>0</v>
      </c>
      <c r="DE553" s="14"/>
    </row>
    <row r="554" spans="1:109" x14ac:dyDescent="0.35">
      <c r="A554" s="8" t="s">
        <v>1171</v>
      </c>
      <c r="B554" s="9" t="s">
        <v>59</v>
      </c>
      <c r="C554" s="9" t="s">
        <v>43</v>
      </c>
      <c r="D554" s="9" t="s">
        <v>1172</v>
      </c>
      <c r="E554" s="9" t="s">
        <v>61</v>
      </c>
      <c r="F554" s="9" t="s">
        <v>62</v>
      </c>
      <c r="G554" s="10"/>
      <c r="H554" s="10"/>
      <c r="I554" s="11">
        <v>0</v>
      </c>
      <c r="J554" s="10"/>
      <c r="K554" s="10"/>
      <c r="L554" s="12">
        <v>0</v>
      </c>
      <c r="M554" s="10"/>
      <c r="N554" s="10"/>
      <c r="O554" s="11">
        <v>0</v>
      </c>
      <c r="P554" s="10"/>
      <c r="Q554" s="10"/>
      <c r="R554" s="11">
        <v>0</v>
      </c>
      <c r="S554" s="10"/>
      <c r="T554" s="10"/>
      <c r="U554" s="11">
        <v>0</v>
      </c>
      <c r="V554" s="10"/>
      <c r="W554" s="10"/>
      <c r="X554" s="11">
        <v>0</v>
      </c>
      <c r="Y554" s="10"/>
      <c r="Z554" s="10"/>
      <c r="AA554" s="11"/>
      <c r="AB554" s="10"/>
      <c r="AC554" s="10"/>
      <c r="AD554" s="11">
        <v>0</v>
      </c>
      <c r="AE554" s="10"/>
      <c r="AF554" s="10"/>
      <c r="AG554" s="11">
        <v>0</v>
      </c>
      <c r="AH554" s="10"/>
      <c r="AI554" s="10"/>
      <c r="AJ554" s="11">
        <v>0</v>
      </c>
      <c r="AK554" s="10"/>
      <c r="AL554" s="10"/>
      <c r="AM554" s="11">
        <v>0</v>
      </c>
      <c r="AN554" s="10"/>
      <c r="AO554" s="10"/>
      <c r="AP554" s="11">
        <v>0</v>
      </c>
      <c r="AQ554" s="10"/>
      <c r="AR554" s="10"/>
      <c r="AS554" s="11">
        <v>0</v>
      </c>
      <c r="AT554" s="10"/>
      <c r="AU554" s="10"/>
      <c r="AV554" s="11">
        <v>0</v>
      </c>
      <c r="AW554" s="10"/>
      <c r="AX554" s="10"/>
      <c r="AY554" s="11">
        <v>0</v>
      </c>
      <c r="AZ554" s="10"/>
      <c r="BA554" s="10"/>
      <c r="BB554" s="11">
        <v>0</v>
      </c>
      <c r="BC554" s="10"/>
      <c r="BD554" s="10"/>
      <c r="BE554" s="11">
        <v>0</v>
      </c>
      <c r="BF554" s="10"/>
      <c r="BG554" s="10"/>
      <c r="BH554" s="11">
        <v>0</v>
      </c>
      <c r="BI554" s="10"/>
      <c r="BJ554" s="10"/>
      <c r="BK554" s="11">
        <v>0</v>
      </c>
      <c r="BL554" s="10"/>
      <c r="BM554" s="10"/>
      <c r="BN554" s="11">
        <v>0</v>
      </c>
      <c r="BO554" s="10"/>
      <c r="BP554" s="10"/>
      <c r="BQ554" s="11">
        <v>0</v>
      </c>
      <c r="BR554" s="10"/>
      <c r="BS554" s="10"/>
      <c r="BT554" s="11">
        <v>0</v>
      </c>
      <c r="BU554" s="10"/>
      <c r="BV554" s="10"/>
      <c r="BW554" s="11">
        <v>0</v>
      </c>
      <c r="BX554" s="10"/>
      <c r="BY554" s="10"/>
      <c r="BZ554" s="11">
        <v>0</v>
      </c>
      <c r="CA554" s="10"/>
      <c r="CB554" s="10"/>
      <c r="CC554" s="11">
        <v>0</v>
      </c>
      <c r="CD554" s="10"/>
      <c r="CE554" s="10"/>
      <c r="CF554" s="11">
        <v>0</v>
      </c>
      <c r="CG554" s="10"/>
      <c r="CH554" s="10"/>
      <c r="CI554" s="11">
        <v>0</v>
      </c>
      <c r="CJ554" s="10"/>
      <c r="CK554" s="10"/>
      <c r="CL554" s="11">
        <v>0</v>
      </c>
      <c r="CM554" s="10"/>
      <c r="CN554" s="10"/>
      <c r="CO554" s="11">
        <v>0</v>
      </c>
      <c r="CP554" s="10"/>
      <c r="CQ554" s="10"/>
      <c r="CR554" s="11">
        <v>0</v>
      </c>
      <c r="CS554" s="10"/>
      <c r="CT554" s="10"/>
      <c r="CU554" s="11">
        <v>0</v>
      </c>
      <c r="CV554" s="10"/>
      <c r="CW554" s="10"/>
      <c r="CX554" s="11">
        <v>0</v>
      </c>
      <c r="CY554" s="10"/>
      <c r="CZ554" s="10"/>
      <c r="DA554" s="11">
        <v>0</v>
      </c>
      <c r="DB554" s="10"/>
      <c r="DC554" s="10"/>
      <c r="DD554" s="13">
        <v>0</v>
      </c>
      <c r="DE554" s="14"/>
    </row>
    <row r="555" spans="1:109" x14ac:dyDescent="0.35">
      <c r="A555" s="8" t="s">
        <v>1173</v>
      </c>
      <c r="B555" s="9" t="s">
        <v>59</v>
      </c>
      <c r="C555" s="9" t="s">
        <v>43</v>
      </c>
      <c r="D555" s="9" t="s">
        <v>1174</v>
      </c>
      <c r="E555" s="9" t="s">
        <v>61</v>
      </c>
      <c r="F555" s="9" t="s">
        <v>62</v>
      </c>
      <c r="G555" s="10"/>
      <c r="H555" s="10"/>
      <c r="I555" s="11">
        <v>0</v>
      </c>
      <c r="J555" s="10"/>
      <c r="K555" s="10"/>
      <c r="L555" s="12">
        <v>0</v>
      </c>
      <c r="M555" s="10"/>
      <c r="N555" s="10"/>
      <c r="O555" s="11">
        <v>0</v>
      </c>
      <c r="P555" s="10"/>
      <c r="Q555" s="10"/>
      <c r="R555" s="11">
        <v>0</v>
      </c>
      <c r="S555" s="10"/>
      <c r="T555" s="10"/>
      <c r="U555" s="11">
        <v>0</v>
      </c>
      <c r="V555" s="10"/>
      <c r="W555" s="10"/>
      <c r="X555" s="11">
        <v>0</v>
      </c>
      <c r="Y555" s="10"/>
      <c r="Z555" s="10"/>
      <c r="AA555" s="11"/>
      <c r="AB555" s="10"/>
      <c r="AC555" s="10"/>
      <c r="AD555" s="11">
        <v>0</v>
      </c>
      <c r="AE555" s="10"/>
      <c r="AF555" s="10"/>
      <c r="AG555" s="11">
        <v>0</v>
      </c>
      <c r="AH555" s="10"/>
      <c r="AI555" s="10"/>
      <c r="AJ555" s="11">
        <v>0</v>
      </c>
      <c r="AK555" s="10"/>
      <c r="AL555" s="10"/>
      <c r="AM555" s="11">
        <v>0</v>
      </c>
      <c r="AN555" s="10"/>
      <c r="AO555" s="10"/>
      <c r="AP555" s="11">
        <v>0</v>
      </c>
      <c r="AQ555" s="10"/>
      <c r="AR555" s="10"/>
      <c r="AS555" s="11">
        <v>0</v>
      </c>
      <c r="AT555" s="10"/>
      <c r="AU555" s="10"/>
      <c r="AV555" s="11">
        <v>0</v>
      </c>
      <c r="AW555" s="10"/>
      <c r="AX555" s="10"/>
      <c r="AY555" s="11">
        <v>0</v>
      </c>
      <c r="AZ555" s="10"/>
      <c r="BA555" s="10"/>
      <c r="BB555" s="11">
        <v>0</v>
      </c>
      <c r="BC555" s="10"/>
      <c r="BD555" s="10"/>
      <c r="BE555" s="11">
        <v>0</v>
      </c>
      <c r="BF555" s="10"/>
      <c r="BG555" s="10"/>
      <c r="BH555" s="11">
        <v>0</v>
      </c>
      <c r="BI555" s="10"/>
      <c r="BJ555" s="10"/>
      <c r="BK555" s="11">
        <v>0</v>
      </c>
      <c r="BL555" s="10"/>
      <c r="BM555" s="10"/>
      <c r="BN555" s="11">
        <v>0</v>
      </c>
      <c r="BO555" s="10"/>
      <c r="BP555" s="10"/>
      <c r="BQ555" s="11">
        <v>0</v>
      </c>
      <c r="BR555" s="10"/>
      <c r="BS555" s="10"/>
      <c r="BT555" s="11">
        <v>0</v>
      </c>
      <c r="BU555" s="10"/>
      <c r="BV555" s="10"/>
      <c r="BW555" s="11">
        <v>0</v>
      </c>
      <c r="BX555" s="10"/>
      <c r="BY555" s="10"/>
      <c r="BZ555" s="11">
        <v>0</v>
      </c>
      <c r="CA555" s="10"/>
      <c r="CB555" s="10"/>
      <c r="CC555" s="11">
        <v>0</v>
      </c>
      <c r="CD555" s="10"/>
      <c r="CE555" s="10"/>
      <c r="CF555" s="11">
        <v>0</v>
      </c>
      <c r="CG555" s="10"/>
      <c r="CH555" s="10"/>
      <c r="CI555" s="11">
        <v>0</v>
      </c>
      <c r="CJ555" s="10"/>
      <c r="CK555" s="10"/>
      <c r="CL555" s="11">
        <v>0</v>
      </c>
      <c r="CM555" s="10"/>
      <c r="CN555" s="10"/>
      <c r="CO555" s="11">
        <v>0</v>
      </c>
      <c r="CP555" s="10"/>
      <c r="CQ555" s="10"/>
      <c r="CR555" s="11">
        <v>0</v>
      </c>
      <c r="CS555" s="10"/>
      <c r="CT555" s="10"/>
      <c r="CU555" s="11">
        <v>0</v>
      </c>
      <c r="CV555" s="10"/>
      <c r="CW555" s="10"/>
      <c r="CX555" s="11">
        <v>0</v>
      </c>
      <c r="CY555" s="10"/>
      <c r="CZ555" s="10"/>
      <c r="DA555" s="11">
        <v>0</v>
      </c>
      <c r="DB555" s="10"/>
      <c r="DC555" s="10"/>
      <c r="DD555" s="13">
        <v>0</v>
      </c>
      <c r="DE555" s="14"/>
    </row>
    <row r="556" spans="1:109" x14ac:dyDescent="0.35">
      <c r="A556" s="8" t="s">
        <v>1175</v>
      </c>
      <c r="B556" s="9" t="s">
        <v>59</v>
      </c>
      <c r="C556" s="9" t="s">
        <v>43</v>
      </c>
      <c r="D556" s="9" t="s">
        <v>1176</v>
      </c>
      <c r="E556" s="9" t="s">
        <v>61</v>
      </c>
      <c r="F556" s="9" t="s">
        <v>62</v>
      </c>
      <c r="G556" s="10"/>
      <c r="H556" s="10"/>
      <c r="I556" s="11">
        <v>0</v>
      </c>
      <c r="J556" s="10"/>
      <c r="K556" s="10"/>
      <c r="L556" s="12">
        <v>0</v>
      </c>
      <c r="M556" s="10"/>
      <c r="N556" s="10"/>
      <c r="O556" s="11">
        <v>0</v>
      </c>
      <c r="P556" s="10"/>
      <c r="Q556" s="10"/>
      <c r="R556" s="11">
        <v>0</v>
      </c>
      <c r="S556" s="10"/>
      <c r="T556" s="10"/>
      <c r="U556" s="11">
        <v>0</v>
      </c>
      <c r="V556" s="10"/>
      <c r="W556" s="10"/>
      <c r="X556" s="11">
        <v>0</v>
      </c>
      <c r="Y556" s="10"/>
      <c r="Z556" s="10"/>
      <c r="AA556" s="11"/>
      <c r="AB556" s="10"/>
      <c r="AC556" s="10"/>
      <c r="AD556" s="11">
        <v>0</v>
      </c>
      <c r="AE556" s="10"/>
      <c r="AF556" s="10"/>
      <c r="AG556" s="11">
        <v>0</v>
      </c>
      <c r="AH556" s="10"/>
      <c r="AI556" s="10"/>
      <c r="AJ556" s="11">
        <v>0</v>
      </c>
      <c r="AK556" s="10"/>
      <c r="AL556" s="10"/>
      <c r="AM556" s="11">
        <v>0</v>
      </c>
      <c r="AN556" s="10"/>
      <c r="AO556" s="10"/>
      <c r="AP556" s="11">
        <v>0</v>
      </c>
      <c r="AQ556" s="10"/>
      <c r="AR556" s="10"/>
      <c r="AS556" s="11">
        <v>0</v>
      </c>
      <c r="AT556" s="10"/>
      <c r="AU556" s="10"/>
      <c r="AV556" s="11">
        <v>0</v>
      </c>
      <c r="AW556" s="10"/>
      <c r="AX556" s="10"/>
      <c r="AY556" s="11">
        <v>0</v>
      </c>
      <c r="AZ556" s="10"/>
      <c r="BA556" s="10"/>
      <c r="BB556" s="11">
        <v>0</v>
      </c>
      <c r="BC556" s="10"/>
      <c r="BD556" s="10"/>
      <c r="BE556" s="11">
        <v>0</v>
      </c>
      <c r="BF556" s="10"/>
      <c r="BG556" s="10"/>
      <c r="BH556" s="11">
        <v>0</v>
      </c>
      <c r="BI556" s="10"/>
      <c r="BJ556" s="10"/>
      <c r="BK556" s="11">
        <v>0</v>
      </c>
      <c r="BL556" s="10"/>
      <c r="BM556" s="10"/>
      <c r="BN556" s="11">
        <v>0</v>
      </c>
      <c r="BO556" s="10"/>
      <c r="BP556" s="10"/>
      <c r="BQ556" s="11">
        <v>0</v>
      </c>
      <c r="BR556" s="10"/>
      <c r="BS556" s="10"/>
      <c r="BT556" s="11">
        <v>0</v>
      </c>
      <c r="BU556" s="10"/>
      <c r="BV556" s="10"/>
      <c r="BW556" s="11">
        <v>0</v>
      </c>
      <c r="BX556" s="10"/>
      <c r="BY556" s="10"/>
      <c r="BZ556" s="11">
        <v>0</v>
      </c>
      <c r="CA556" s="10"/>
      <c r="CB556" s="10"/>
      <c r="CC556" s="11">
        <v>0</v>
      </c>
      <c r="CD556" s="10"/>
      <c r="CE556" s="10"/>
      <c r="CF556" s="11">
        <v>0</v>
      </c>
      <c r="CG556" s="10"/>
      <c r="CH556" s="10"/>
      <c r="CI556" s="11">
        <v>0</v>
      </c>
      <c r="CJ556" s="10"/>
      <c r="CK556" s="10"/>
      <c r="CL556" s="11">
        <v>0</v>
      </c>
      <c r="CM556" s="10"/>
      <c r="CN556" s="10"/>
      <c r="CO556" s="11">
        <v>0</v>
      </c>
      <c r="CP556" s="10"/>
      <c r="CQ556" s="10"/>
      <c r="CR556" s="11">
        <v>0</v>
      </c>
      <c r="CS556" s="10"/>
      <c r="CT556" s="10"/>
      <c r="CU556" s="11">
        <v>0</v>
      </c>
      <c r="CV556" s="10"/>
      <c r="CW556" s="10"/>
      <c r="CX556" s="11">
        <v>0</v>
      </c>
      <c r="CY556" s="10"/>
      <c r="CZ556" s="10"/>
      <c r="DA556" s="11">
        <v>0</v>
      </c>
      <c r="DB556" s="10"/>
      <c r="DC556" s="10"/>
      <c r="DD556" s="13">
        <v>0</v>
      </c>
      <c r="DE556" s="14"/>
    </row>
    <row r="557" spans="1:109" x14ac:dyDescent="0.35">
      <c r="A557" s="8" t="s">
        <v>1177</v>
      </c>
      <c r="B557" s="9" t="s">
        <v>59</v>
      </c>
      <c r="C557" s="9" t="s">
        <v>43</v>
      </c>
      <c r="D557" s="9" t="s">
        <v>1178</v>
      </c>
      <c r="E557" s="9" t="s">
        <v>61</v>
      </c>
      <c r="F557" s="9" t="s">
        <v>62</v>
      </c>
      <c r="G557" s="10"/>
      <c r="H557" s="10"/>
      <c r="I557" s="11">
        <v>0</v>
      </c>
      <c r="J557" s="10"/>
      <c r="K557" s="10"/>
      <c r="L557" s="12">
        <v>0</v>
      </c>
      <c r="M557" s="10"/>
      <c r="N557" s="10"/>
      <c r="O557" s="11">
        <v>0</v>
      </c>
      <c r="P557" s="10"/>
      <c r="Q557" s="10"/>
      <c r="R557" s="11">
        <v>0</v>
      </c>
      <c r="S557" s="10"/>
      <c r="T557" s="10"/>
      <c r="U557" s="11">
        <v>0</v>
      </c>
      <c r="V557" s="10"/>
      <c r="W557" s="10"/>
      <c r="X557" s="11">
        <v>0</v>
      </c>
      <c r="Y557" s="10"/>
      <c r="Z557" s="10"/>
      <c r="AA557" s="11"/>
      <c r="AB557" s="10"/>
      <c r="AC557" s="10"/>
      <c r="AD557" s="11">
        <v>0</v>
      </c>
      <c r="AE557" s="10"/>
      <c r="AF557" s="10"/>
      <c r="AG557" s="11">
        <v>0</v>
      </c>
      <c r="AH557" s="10"/>
      <c r="AI557" s="10"/>
      <c r="AJ557" s="11">
        <v>0</v>
      </c>
      <c r="AK557" s="10"/>
      <c r="AL557" s="10"/>
      <c r="AM557" s="11">
        <v>0</v>
      </c>
      <c r="AN557" s="10"/>
      <c r="AO557" s="10"/>
      <c r="AP557" s="11">
        <v>0</v>
      </c>
      <c r="AQ557" s="10"/>
      <c r="AR557" s="10"/>
      <c r="AS557" s="11">
        <v>0</v>
      </c>
      <c r="AT557" s="10"/>
      <c r="AU557" s="10"/>
      <c r="AV557" s="11">
        <v>0</v>
      </c>
      <c r="AW557" s="10"/>
      <c r="AX557" s="10"/>
      <c r="AY557" s="11">
        <v>0</v>
      </c>
      <c r="AZ557" s="10"/>
      <c r="BA557" s="10"/>
      <c r="BB557" s="11">
        <v>0</v>
      </c>
      <c r="BC557" s="10"/>
      <c r="BD557" s="10"/>
      <c r="BE557" s="11">
        <v>0</v>
      </c>
      <c r="BF557" s="10"/>
      <c r="BG557" s="10"/>
      <c r="BH557" s="11">
        <v>0</v>
      </c>
      <c r="BI557" s="10"/>
      <c r="BJ557" s="10"/>
      <c r="BK557" s="11">
        <v>0</v>
      </c>
      <c r="BL557" s="10"/>
      <c r="BM557" s="10"/>
      <c r="BN557" s="11">
        <v>0</v>
      </c>
      <c r="BO557" s="10"/>
      <c r="BP557" s="10"/>
      <c r="BQ557" s="11">
        <v>0</v>
      </c>
      <c r="BR557" s="10"/>
      <c r="BS557" s="10"/>
      <c r="BT557" s="11">
        <v>0</v>
      </c>
      <c r="BU557" s="10"/>
      <c r="BV557" s="10"/>
      <c r="BW557" s="11">
        <v>0</v>
      </c>
      <c r="BX557" s="10"/>
      <c r="BY557" s="10"/>
      <c r="BZ557" s="11">
        <v>0</v>
      </c>
      <c r="CA557" s="10"/>
      <c r="CB557" s="10"/>
      <c r="CC557" s="11">
        <v>0</v>
      </c>
      <c r="CD557" s="10"/>
      <c r="CE557" s="10"/>
      <c r="CF557" s="11">
        <v>0</v>
      </c>
      <c r="CG557" s="10"/>
      <c r="CH557" s="10"/>
      <c r="CI557" s="11">
        <v>0</v>
      </c>
      <c r="CJ557" s="10"/>
      <c r="CK557" s="10"/>
      <c r="CL557" s="11">
        <v>0</v>
      </c>
      <c r="CM557" s="10"/>
      <c r="CN557" s="10"/>
      <c r="CO557" s="11">
        <v>0</v>
      </c>
      <c r="CP557" s="10"/>
      <c r="CQ557" s="10"/>
      <c r="CR557" s="11">
        <v>0</v>
      </c>
      <c r="CS557" s="10"/>
      <c r="CT557" s="10"/>
      <c r="CU557" s="11">
        <v>0</v>
      </c>
      <c r="CV557" s="10"/>
      <c r="CW557" s="10"/>
      <c r="CX557" s="11">
        <v>0</v>
      </c>
      <c r="CY557" s="10"/>
      <c r="CZ557" s="10"/>
      <c r="DA557" s="11">
        <v>0</v>
      </c>
      <c r="DB557" s="10"/>
      <c r="DC557" s="10"/>
      <c r="DD557" s="13">
        <v>0</v>
      </c>
      <c r="DE557" s="14"/>
    </row>
    <row r="558" spans="1:109" x14ac:dyDescent="0.35">
      <c r="A558" s="8" t="s">
        <v>1179</v>
      </c>
      <c r="B558" s="9" t="s">
        <v>59</v>
      </c>
      <c r="C558" s="9" t="s">
        <v>43</v>
      </c>
      <c r="D558" s="9" t="s">
        <v>1180</v>
      </c>
      <c r="E558" s="9" t="s">
        <v>61</v>
      </c>
      <c r="F558" s="9" t="s">
        <v>62</v>
      </c>
      <c r="G558" s="10"/>
      <c r="H558" s="10"/>
      <c r="I558" s="11">
        <v>0</v>
      </c>
      <c r="J558" s="10"/>
      <c r="K558" s="10"/>
      <c r="L558" s="12">
        <v>0</v>
      </c>
      <c r="M558" s="10"/>
      <c r="N558" s="10"/>
      <c r="O558" s="11">
        <v>0</v>
      </c>
      <c r="P558" s="10"/>
      <c r="Q558" s="10"/>
      <c r="R558" s="11">
        <v>0</v>
      </c>
      <c r="S558" s="10"/>
      <c r="T558" s="10"/>
      <c r="U558" s="11">
        <v>0</v>
      </c>
      <c r="V558" s="10"/>
      <c r="W558" s="10"/>
      <c r="X558" s="11">
        <v>0</v>
      </c>
      <c r="Y558" s="10"/>
      <c r="Z558" s="10"/>
      <c r="AA558" s="11"/>
      <c r="AB558" s="10"/>
      <c r="AC558" s="10"/>
      <c r="AD558" s="11">
        <v>0</v>
      </c>
      <c r="AE558" s="10"/>
      <c r="AF558" s="10"/>
      <c r="AG558" s="11">
        <v>0</v>
      </c>
      <c r="AH558" s="10"/>
      <c r="AI558" s="10"/>
      <c r="AJ558" s="11">
        <v>0</v>
      </c>
      <c r="AK558" s="10"/>
      <c r="AL558" s="10"/>
      <c r="AM558" s="11">
        <v>0</v>
      </c>
      <c r="AN558" s="10"/>
      <c r="AO558" s="10"/>
      <c r="AP558" s="11">
        <v>0</v>
      </c>
      <c r="AQ558" s="10"/>
      <c r="AR558" s="10"/>
      <c r="AS558" s="11">
        <v>0</v>
      </c>
      <c r="AT558" s="10"/>
      <c r="AU558" s="10"/>
      <c r="AV558" s="11">
        <v>0</v>
      </c>
      <c r="AW558" s="10"/>
      <c r="AX558" s="10"/>
      <c r="AY558" s="11">
        <v>0</v>
      </c>
      <c r="AZ558" s="10"/>
      <c r="BA558" s="10"/>
      <c r="BB558" s="11">
        <v>0</v>
      </c>
      <c r="BC558" s="10"/>
      <c r="BD558" s="10"/>
      <c r="BE558" s="11">
        <v>0</v>
      </c>
      <c r="BF558" s="10"/>
      <c r="BG558" s="10"/>
      <c r="BH558" s="11">
        <v>0</v>
      </c>
      <c r="BI558" s="10"/>
      <c r="BJ558" s="10"/>
      <c r="BK558" s="11">
        <v>0</v>
      </c>
      <c r="BL558" s="10"/>
      <c r="BM558" s="10"/>
      <c r="BN558" s="11">
        <v>0</v>
      </c>
      <c r="BO558" s="10"/>
      <c r="BP558" s="10"/>
      <c r="BQ558" s="11">
        <v>0</v>
      </c>
      <c r="BR558" s="10"/>
      <c r="BS558" s="10"/>
      <c r="BT558" s="11">
        <v>0</v>
      </c>
      <c r="BU558" s="10"/>
      <c r="BV558" s="10"/>
      <c r="BW558" s="11">
        <v>0</v>
      </c>
      <c r="BX558" s="10"/>
      <c r="BY558" s="10"/>
      <c r="BZ558" s="11">
        <v>0</v>
      </c>
      <c r="CA558" s="10"/>
      <c r="CB558" s="10"/>
      <c r="CC558" s="11">
        <v>0</v>
      </c>
      <c r="CD558" s="10"/>
      <c r="CE558" s="10"/>
      <c r="CF558" s="11">
        <v>0</v>
      </c>
      <c r="CG558" s="10"/>
      <c r="CH558" s="10"/>
      <c r="CI558" s="11">
        <v>0</v>
      </c>
      <c r="CJ558" s="10"/>
      <c r="CK558" s="10"/>
      <c r="CL558" s="11">
        <v>0</v>
      </c>
      <c r="CM558" s="10"/>
      <c r="CN558" s="10"/>
      <c r="CO558" s="11">
        <v>0</v>
      </c>
      <c r="CP558" s="10"/>
      <c r="CQ558" s="10"/>
      <c r="CR558" s="11">
        <v>0</v>
      </c>
      <c r="CS558" s="10"/>
      <c r="CT558" s="10"/>
      <c r="CU558" s="11">
        <v>0</v>
      </c>
      <c r="CV558" s="10"/>
      <c r="CW558" s="10"/>
      <c r="CX558" s="11">
        <v>0</v>
      </c>
      <c r="CY558" s="10"/>
      <c r="CZ558" s="10"/>
      <c r="DA558" s="11">
        <v>0</v>
      </c>
      <c r="DB558" s="10"/>
      <c r="DC558" s="10"/>
      <c r="DD558" s="13">
        <v>0</v>
      </c>
      <c r="DE558" s="14"/>
    </row>
    <row r="559" spans="1:109" x14ac:dyDescent="0.35">
      <c r="A559" s="8" t="s">
        <v>1181</v>
      </c>
      <c r="B559" s="9" t="s">
        <v>42</v>
      </c>
      <c r="C559" s="9" t="s">
        <v>43</v>
      </c>
      <c r="D559" s="9" t="s">
        <v>1182</v>
      </c>
      <c r="E559" s="9" t="s">
        <v>45</v>
      </c>
      <c r="F559" s="9" t="s">
        <v>46</v>
      </c>
      <c r="G559" s="10"/>
      <c r="H559" s="10"/>
      <c r="I559" s="11">
        <v>0</v>
      </c>
      <c r="J559" s="10"/>
      <c r="K559" s="10"/>
      <c r="L559" s="12">
        <v>0</v>
      </c>
      <c r="M559" s="10"/>
      <c r="N559" s="10"/>
      <c r="O559" s="11">
        <v>0</v>
      </c>
      <c r="P559" s="10"/>
      <c r="Q559" s="10"/>
      <c r="R559" s="11">
        <v>0</v>
      </c>
      <c r="S559" s="10"/>
      <c r="T559" s="10"/>
      <c r="U559" s="11">
        <v>0</v>
      </c>
      <c r="V559" s="10"/>
      <c r="W559" s="10"/>
      <c r="X559" s="11">
        <v>0</v>
      </c>
      <c r="Y559" s="10"/>
      <c r="Z559" s="10"/>
      <c r="AA559" s="11"/>
      <c r="AB559" s="10"/>
      <c r="AC559" s="10"/>
      <c r="AD559" s="11">
        <v>0</v>
      </c>
      <c r="AE559" s="10"/>
      <c r="AF559" s="10"/>
      <c r="AG559" s="11">
        <v>0</v>
      </c>
      <c r="AH559" s="10"/>
      <c r="AI559" s="10"/>
      <c r="AJ559" s="11">
        <v>0</v>
      </c>
      <c r="AK559" s="10"/>
      <c r="AL559" s="10"/>
      <c r="AM559" s="11">
        <v>0</v>
      </c>
      <c r="AN559" s="10"/>
      <c r="AO559" s="10"/>
      <c r="AP559" s="11">
        <v>0</v>
      </c>
      <c r="AQ559" s="10"/>
      <c r="AR559" s="10"/>
      <c r="AS559" s="11">
        <v>0</v>
      </c>
      <c r="AT559" s="10"/>
      <c r="AU559" s="10"/>
      <c r="AV559" s="11">
        <v>0</v>
      </c>
      <c r="AW559" s="10"/>
      <c r="AX559" s="10"/>
      <c r="AY559" s="11">
        <v>0</v>
      </c>
      <c r="AZ559" s="10"/>
      <c r="BA559" s="10"/>
      <c r="BB559" s="11">
        <v>0</v>
      </c>
      <c r="BC559" s="10"/>
      <c r="BD559" s="10"/>
      <c r="BE559" s="11">
        <v>0</v>
      </c>
      <c r="BF559" s="10"/>
      <c r="BG559" s="10"/>
      <c r="BH559" s="11">
        <v>0</v>
      </c>
      <c r="BI559" s="10"/>
      <c r="BJ559" s="10"/>
      <c r="BK559" s="11">
        <v>0</v>
      </c>
      <c r="BL559" s="10"/>
      <c r="BM559" s="10"/>
      <c r="BN559" s="11">
        <v>0</v>
      </c>
      <c r="BO559" s="10"/>
      <c r="BP559" s="10"/>
      <c r="BQ559" s="11">
        <v>0</v>
      </c>
      <c r="BR559" s="10"/>
      <c r="BS559" s="10"/>
      <c r="BT559" s="11">
        <v>0</v>
      </c>
      <c r="BU559" s="10"/>
      <c r="BV559" s="10"/>
      <c r="BW559" s="11">
        <v>0</v>
      </c>
      <c r="BX559" s="10"/>
      <c r="BY559" s="10"/>
      <c r="BZ559" s="11">
        <v>0</v>
      </c>
      <c r="CA559" s="10"/>
      <c r="CB559" s="10"/>
      <c r="CC559" s="11">
        <v>0</v>
      </c>
      <c r="CD559" s="10"/>
      <c r="CE559" s="10"/>
      <c r="CF559" s="11">
        <v>0</v>
      </c>
      <c r="CG559" s="10"/>
      <c r="CH559" s="10"/>
      <c r="CI559" s="11">
        <v>0</v>
      </c>
      <c r="CJ559" s="10"/>
      <c r="CK559" s="10"/>
      <c r="CL559" s="11">
        <v>0</v>
      </c>
      <c r="CM559" s="10"/>
      <c r="CN559" s="10"/>
      <c r="CO559" s="11">
        <v>0</v>
      </c>
      <c r="CP559" s="10"/>
      <c r="CQ559" s="10"/>
      <c r="CR559" s="11">
        <v>0</v>
      </c>
      <c r="CS559" s="10"/>
      <c r="CT559" s="10"/>
      <c r="CU559" s="11">
        <v>0</v>
      </c>
      <c r="CV559" s="10"/>
      <c r="CW559" s="10"/>
      <c r="CX559" s="11">
        <v>0</v>
      </c>
      <c r="CY559" s="10"/>
      <c r="CZ559" s="10"/>
      <c r="DA559" s="11">
        <v>0</v>
      </c>
      <c r="DB559" s="10"/>
      <c r="DC559" s="10"/>
      <c r="DD559" s="13">
        <v>0</v>
      </c>
      <c r="DE559" s="14"/>
    </row>
    <row r="560" spans="1:109" x14ac:dyDescent="0.35">
      <c r="A560" s="8" t="s">
        <v>1183</v>
      </c>
      <c r="B560" s="9" t="s">
        <v>48</v>
      </c>
      <c r="C560" s="9" t="s">
        <v>43</v>
      </c>
      <c r="D560" s="9" t="s">
        <v>1184</v>
      </c>
      <c r="E560" s="9" t="s">
        <v>45</v>
      </c>
      <c r="F560" s="9" t="s">
        <v>46</v>
      </c>
      <c r="G560" s="10"/>
      <c r="H560" s="10"/>
      <c r="I560" s="11">
        <v>0</v>
      </c>
      <c r="J560" s="10"/>
      <c r="K560" s="10"/>
      <c r="L560" s="12">
        <v>0</v>
      </c>
      <c r="M560" s="10"/>
      <c r="N560" s="10"/>
      <c r="O560" s="11">
        <v>0</v>
      </c>
      <c r="P560" s="10"/>
      <c r="Q560" s="10"/>
      <c r="R560" s="11">
        <v>0</v>
      </c>
      <c r="S560" s="10"/>
      <c r="T560" s="10"/>
      <c r="U560" s="11">
        <v>0</v>
      </c>
      <c r="V560" s="10"/>
      <c r="W560" s="10"/>
      <c r="X560" s="11">
        <v>0</v>
      </c>
      <c r="Y560" s="10"/>
      <c r="Z560" s="10"/>
      <c r="AA560" s="11"/>
      <c r="AB560" s="10"/>
      <c r="AC560" s="10"/>
      <c r="AD560" s="11">
        <v>0</v>
      </c>
      <c r="AE560" s="10"/>
      <c r="AF560" s="10"/>
      <c r="AG560" s="11">
        <v>0</v>
      </c>
      <c r="AH560" s="10"/>
      <c r="AI560" s="10"/>
      <c r="AJ560" s="11">
        <v>0</v>
      </c>
      <c r="AK560" s="10"/>
      <c r="AL560" s="10"/>
      <c r="AM560" s="11">
        <v>0</v>
      </c>
      <c r="AN560" s="10"/>
      <c r="AO560" s="10"/>
      <c r="AP560" s="11">
        <v>0</v>
      </c>
      <c r="AQ560" s="10"/>
      <c r="AR560" s="10"/>
      <c r="AS560" s="11">
        <v>0</v>
      </c>
      <c r="AT560" s="10"/>
      <c r="AU560" s="10"/>
      <c r="AV560" s="11">
        <v>0</v>
      </c>
      <c r="AW560" s="10"/>
      <c r="AX560" s="10"/>
      <c r="AY560" s="11">
        <v>0</v>
      </c>
      <c r="AZ560" s="10"/>
      <c r="BA560" s="10"/>
      <c r="BB560" s="11">
        <v>0</v>
      </c>
      <c r="BC560" s="10"/>
      <c r="BD560" s="10"/>
      <c r="BE560" s="11">
        <v>0</v>
      </c>
      <c r="BF560" s="10"/>
      <c r="BG560" s="10"/>
      <c r="BH560" s="11">
        <v>0</v>
      </c>
      <c r="BI560" s="10"/>
      <c r="BJ560" s="10"/>
      <c r="BK560" s="11">
        <v>0</v>
      </c>
      <c r="BL560" s="10"/>
      <c r="BM560" s="10"/>
      <c r="BN560" s="11">
        <v>0</v>
      </c>
      <c r="BO560" s="10"/>
      <c r="BP560" s="10"/>
      <c r="BQ560" s="11">
        <v>0</v>
      </c>
      <c r="BR560" s="10"/>
      <c r="BS560" s="10"/>
      <c r="BT560" s="11">
        <v>0</v>
      </c>
      <c r="BU560" s="10"/>
      <c r="BV560" s="10"/>
      <c r="BW560" s="11">
        <v>0</v>
      </c>
      <c r="BX560" s="10"/>
      <c r="BY560" s="10"/>
      <c r="BZ560" s="11">
        <v>0</v>
      </c>
      <c r="CA560" s="10"/>
      <c r="CB560" s="10"/>
      <c r="CC560" s="11">
        <v>0</v>
      </c>
      <c r="CD560" s="10"/>
      <c r="CE560" s="10"/>
      <c r="CF560" s="11">
        <v>0</v>
      </c>
      <c r="CG560" s="10"/>
      <c r="CH560" s="10"/>
      <c r="CI560" s="11">
        <v>0</v>
      </c>
      <c r="CJ560" s="10"/>
      <c r="CK560" s="10"/>
      <c r="CL560" s="11">
        <v>0</v>
      </c>
      <c r="CM560" s="10"/>
      <c r="CN560" s="10"/>
      <c r="CO560" s="11">
        <v>0</v>
      </c>
      <c r="CP560" s="10"/>
      <c r="CQ560" s="10"/>
      <c r="CR560" s="11">
        <v>0</v>
      </c>
      <c r="CS560" s="10"/>
      <c r="CT560" s="10"/>
      <c r="CU560" s="11">
        <v>0</v>
      </c>
      <c r="CV560" s="10"/>
      <c r="CW560" s="10"/>
      <c r="CX560" s="11">
        <v>0</v>
      </c>
      <c r="CY560" s="10"/>
      <c r="CZ560" s="10"/>
      <c r="DA560" s="11">
        <v>0</v>
      </c>
      <c r="DB560" s="10"/>
      <c r="DC560" s="10"/>
      <c r="DD560" s="13">
        <v>0</v>
      </c>
      <c r="DE560" s="14"/>
    </row>
    <row r="561" spans="1:109" x14ac:dyDescent="0.35">
      <c r="A561" s="8" t="s">
        <v>1185</v>
      </c>
      <c r="B561" s="9" t="s">
        <v>48</v>
      </c>
      <c r="C561" s="9" t="s">
        <v>43</v>
      </c>
      <c r="D561" s="9" t="s">
        <v>1186</v>
      </c>
      <c r="E561" s="9" t="s">
        <v>45</v>
      </c>
      <c r="F561" s="9" t="s">
        <v>46</v>
      </c>
      <c r="G561" s="10"/>
      <c r="H561" s="10"/>
      <c r="I561" s="11">
        <v>0</v>
      </c>
      <c r="J561" s="10"/>
      <c r="K561" s="10"/>
      <c r="L561" s="12">
        <v>0</v>
      </c>
      <c r="M561" s="10"/>
      <c r="N561" s="10"/>
      <c r="O561" s="11">
        <v>0</v>
      </c>
      <c r="P561" s="10"/>
      <c r="Q561" s="10"/>
      <c r="R561" s="11">
        <v>0</v>
      </c>
      <c r="S561" s="10"/>
      <c r="T561" s="10"/>
      <c r="U561" s="11">
        <v>0</v>
      </c>
      <c r="V561" s="10"/>
      <c r="W561" s="10"/>
      <c r="X561" s="11">
        <v>0</v>
      </c>
      <c r="Y561" s="10"/>
      <c r="Z561" s="10"/>
      <c r="AA561" s="11"/>
      <c r="AB561" s="10"/>
      <c r="AC561" s="10"/>
      <c r="AD561" s="11">
        <v>0</v>
      </c>
      <c r="AE561" s="10"/>
      <c r="AF561" s="10"/>
      <c r="AG561" s="11">
        <v>0</v>
      </c>
      <c r="AH561" s="10"/>
      <c r="AI561" s="10"/>
      <c r="AJ561" s="11">
        <v>0</v>
      </c>
      <c r="AK561" s="10"/>
      <c r="AL561" s="10"/>
      <c r="AM561" s="11">
        <v>0</v>
      </c>
      <c r="AN561" s="10"/>
      <c r="AO561" s="10"/>
      <c r="AP561" s="11">
        <v>0</v>
      </c>
      <c r="AQ561" s="10"/>
      <c r="AR561" s="10"/>
      <c r="AS561" s="11">
        <v>0</v>
      </c>
      <c r="AT561" s="10"/>
      <c r="AU561" s="10"/>
      <c r="AV561" s="11">
        <v>0</v>
      </c>
      <c r="AW561" s="10"/>
      <c r="AX561" s="10"/>
      <c r="AY561" s="11">
        <v>0</v>
      </c>
      <c r="AZ561" s="10"/>
      <c r="BA561" s="10"/>
      <c r="BB561" s="11">
        <v>0</v>
      </c>
      <c r="BC561" s="10"/>
      <c r="BD561" s="10"/>
      <c r="BE561" s="11">
        <v>0</v>
      </c>
      <c r="BF561" s="10"/>
      <c r="BG561" s="10"/>
      <c r="BH561" s="11">
        <v>0</v>
      </c>
      <c r="BI561" s="10"/>
      <c r="BJ561" s="10"/>
      <c r="BK561" s="11">
        <v>0</v>
      </c>
      <c r="BL561" s="10"/>
      <c r="BM561" s="10"/>
      <c r="BN561" s="11">
        <v>0</v>
      </c>
      <c r="BO561" s="10"/>
      <c r="BP561" s="10"/>
      <c r="BQ561" s="11">
        <v>0</v>
      </c>
      <c r="BR561" s="10"/>
      <c r="BS561" s="10"/>
      <c r="BT561" s="11">
        <v>0</v>
      </c>
      <c r="BU561" s="10"/>
      <c r="BV561" s="10"/>
      <c r="BW561" s="11">
        <v>0</v>
      </c>
      <c r="BX561" s="10"/>
      <c r="BY561" s="10"/>
      <c r="BZ561" s="11">
        <v>0</v>
      </c>
      <c r="CA561" s="10"/>
      <c r="CB561" s="10"/>
      <c r="CC561" s="11">
        <v>0</v>
      </c>
      <c r="CD561" s="10"/>
      <c r="CE561" s="10"/>
      <c r="CF561" s="11">
        <v>0</v>
      </c>
      <c r="CG561" s="10"/>
      <c r="CH561" s="10"/>
      <c r="CI561" s="11">
        <v>0</v>
      </c>
      <c r="CJ561" s="10"/>
      <c r="CK561" s="10"/>
      <c r="CL561" s="11">
        <v>0</v>
      </c>
      <c r="CM561" s="10"/>
      <c r="CN561" s="10"/>
      <c r="CO561" s="11">
        <v>0</v>
      </c>
      <c r="CP561" s="10"/>
      <c r="CQ561" s="10"/>
      <c r="CR561" s="11">
        <v>0</v>
      </c>
      <c r="CS561" s="10"/>
      <c r="CT561" s="10"/>
      <c r="CU561" s="11">
        <v>0</v>
      </c>
      <c r="CV561" s="10"/>
      <c r="CW561" s="10"/>
      <c r="CX561" s="11">
        <v>0</v>
      </c>
      <c r="CY561" s="10"/>
      <c r="CZ561" s="10"/>
      <c r="DA561" s="11">
        <v>0</v>
      </c>
      <c r="DB561" s="10"/>
      <c r="DC561" s="10"/>
      <c r="DD561" s="13">
        <v>0</v>
      </c>
      <c r="DE561" s="14"/>
    </row>
    <row r="562" spans="1:109" x14ac:dyDescent="0.35">
      <c r="A562" s="8" t="s">
        <v>1187</v>
      </c>
      <c r="B562" s="9" t="s">
        <v>442</v>
      </c>
      <c r="C562" s="9" t="s">
        <v>43</v>
      </c>
      <c r="D562" s="9" t="s">
        <v>1188</v>
      </c>
      <c r="E562" s="9" t="s">
        <v>45</v>
      </c>
      <c r="F562" s="9" t="s">
        <v>46</v>
      </c>
      <c r="G562" s="10"/>
      <c r="H562" s="10"/>
      <c r="I562" s="11">
        <v>0</v>
      </c>
      <c r="J562" s="10"/>
      <c r="K562" s="10"/>
      <c r="L562" s="12">
        <v>0</v>
      </c>
      <c r="M562" s="10"/>
      <c r="N562" s="10"/>
      <c r="O562" s="11">
        <v>0</v>
      </c>
      <c r="P562" s="10"/>
      <c r="Q562" s="10"/>
      <c r="R562" s="11">
        <v>0</v>
      </c>
      <c r="S562" s="10"/>
      <c r="T562" s="10"/>
      <c r="U562" s="11">
        <v>0</v>
      </c>
      <c r="V562" s="10"/>
      <c r="W562" s="10"/>
      <c r="X562" s="11">
        <v>0</v>
      </c>
      <c r="Y562" s="10"/>
      <c r="Z562" s="10"/>
      <c r="AA562" s="11"/>
      <c r="AB562" s="10"/>
      <c r="AC562" s="10"/>
      <c r="AD562" s="11">
        <v>0</v>
      </c>
      <c r="AE562" s="10"/>
      <c r="AF562" s="10"/>
      <c r="AG562" s="11">
        <v>0</v>
      </c>
      <c r="AH562" s="10"/>
      <c r="AI562" s="10"/>
      <c r="AJ562" s="11">
        <v>0</v>
      </c>
      <c r="AK562" s="10"/>
      <c r="AL562" s="10"/>
      <c r="AM562" s="11">
        <v>0</v>
      </c>
      <c r="AN562" s="10"/>
      <c r="AO562" s="10"/>
      <c r="AP562" s="11">
        <v>0</v>
      </c>
      <c r="AQ562" s="10"/>
      <c r="AR562" s="10"/>
      <c r="AS562" s="11">
        <v>0</v>
      </c>
      <c r="AT562" s="10"/>
      <c r="AU562" s="10"/>
      <c r="AV562" s="11">
        <v>0</v>
      </c>
      <c r="AW562" s="10"/>
      <c r="AX562" s="10"/>
      <c r="AY562" s="11">
        <v>0</v>
      </c>
      <c r="AZ562" s="10"/>
      <c r="BA562" s="10"/>
      <c r="BB562" s="11">
        <v>0</v>
      </c>
      <c r="BC562" s="10"/>
      <c r="BD562" s="10"/>
      <c r="BE562" s="11">
        <v>0</v>
      </c>
      <c r="BF562" s="10"/>
      <c r="BG562" s="10"/>
      <c r="BH562" s="11">
        <v>0</v>
      </c>
      <c r="BI562" s="10"/>
      <c r="BJ562" s="10"/>
      <c r="BK562" s="11">
        <v>0</v>
      </c>
      <c r="BL562" s="10"/>
      <c r="BM562" s="10"/>
      <c r="BN562" s="11">
        <v>0</v>
      </c>
      <c r="BO562" s="10"/>
      <c r="BP562" s="10"/>
      <c r="BQ562" s="11">
        <v>0</v>
      </c>
      <c r="BR562" s="10"/>
      <c r="BS562" s="10"/>
      <c r="BT562" s="11">
        <v>0</v>
      </c>
      <c r="BU562" s="10"/>
      <c r="BV562" s="10"/>
      <c r="BW562" s="11">
        <v>0</v>
      </c>
      <c r="BX562" s="10"/>
      <c r="BY562" s="10"/>
      <c r="BZ562" s="11">
        <v>0</v>
      </c>
      <c r="CA562" s="10"/>
      <c r="CB562" s="10"/>
      <c r="CC562" s="11">
        <v>0</v>
      </c>
      <c r="CD562" s="10"/>
      <c r="CE562" s="10"/>
      <c r="CF562" s="11">
        <v>0</v>
      </c>
      <c r="CG562" s="10"/>
      <c r="CH562" s="10"/>
      <c r="CI562" s="11">
        <v>0</v>
      </c>
      <c r="CJ562" s="10"/>
      <c r="CK562" s="10"/>
      <c r="CL562" s="11">
        <v>0</v>
      </c>
      <c r="CM562" s="10"/>
      <c r="CN562" s="10"/>
      <c r="CO562" s="11">
        <v>0</v>
      </c>
      <c r="CP562" s="10"/>
      <c r="CQ562" s="10"/>
      <c r="CR562" s="11">
        <v>0</v>
      </c>
      <c r="CS562" s="10"/>
      <c r="CT562" s="10"/>
      <c r="CU562" s="11">
        <v>0</v>
      </c>
      <c r="CV562" s="10"/>
      <c r="CW562" s="10"/>
      <c r="CX562" s="11">
        <v>0</v>
      </c>
      <c r="CY562" s="10"/>
      <c r="CZ562" s="10"/>
      <c r="DA562" s="11">
        <v>0</v>
      </c>
      <c r="DB562" s="10"/>
      <c r="DC562" s="10"/>
      <c r="DD562" s="13">
        <v>0</v>
      </c>
      <c r="DE562" s="14"/>
    </row>
    <row r="563" spans="1:109" x14ac:dyDescent="0.35">
      <c r="A563" s="8" t="s">
        <v>1189</v>
      </c>
      <c r="B563" s="9" t="s">
        <v>442</v>
      </c>
      <c r="C563" s="9" t="s">
        <v>43</v>
      </c>
      <c r="D563" s="9" t="s">
        <v>1190</v>
      </c>
      <c r="E563" s="9" t="s">
        <v>45</v>
      </c>
      <c r="F563" s="9" t="s">
        <v>46</v>
      </c>
      <c r="G563" s="10"/>
      <c r="H563" s="10"/>
      <c r="I563" s="11">
        <v>0</v>
      </c>
      <c r="J563" s="10"/>
      <c r="K563" s="10"/>
      <c r="L563" s="12">
        <v>0</v>
      </c>
      <c r="M563" s="10"/>
      <c r="N563" s="10"/>
      <c r="O563" s="11">
        <v>0</v>
      </c>
      <c r="P563" s="10"/>
      <c r="Q563" s="10"/>
      <c r="R563" s="11">
        <v>0</v>
      </c>
      <c r="S563" s="10"/>
      <c r="T563" s="10"/>
      <c r="U563" s="11">
        <v>0</v>
      </c>
      <c r="V563" s="10"/>
      <c r="W563" s="10"/>
      <c r="X563" s="11">
        <v>0</v>
      </c>
      <c r="Y563" s="10"/>
      <c r="Z563" s="10"/>
      <c r="AA563" s="11"/>
      <c r="AB563" s="10"/>
      <c r="AC563" s="10"/>
      <c r="AD563" s="11">
        <v>0</v>
      </c>
      <c r="AE563" s="10"/>
      <c r="AF563" s="10"/>
      <c r="AG563" s="11">
        <v>0</v>
      </c>
      <c r="AH563" s="10"/>
      <c r="AI563" s="10"/>
      <c r="AJ563" s="11">
        <v>0</v>
      </c>
      <c r="AK563" s="10"/>
      <c r="AL563" s="10"/>
      <c r="AM563" s="11">
        <v>0</v>
      </c>
      <c r="AN563" s="10"/>
      <c r="AO563" s="10"/>
      <c r="AP563" s="11">
        <v>0</v>
      </c>
      <c r="AQ563" s="10"/>
      <c r="AR563" s="10"/>
      <c r="AS563" s="11">
        <v>0</v>
      </c>
      <c r="AT563" s="10"/>
      <c r="AU563" s="10"/>
      <c r="AV563" s="11">
        <v>0</v>
      </c>
      <c r="AW563" s="10"/>
      <c r="AX563" s="10"/>
      <c r="AY563" s="11">
        <v>0</v>
      </c>
      <c r="AZ563" s="10"/>
      <c r="BA563" s="10"/>
      <c r="BB563" s="11">
        <v>0</v>
      </c>
      <c r="BC563" s="10"/>
      <c r="BD563" s="10"/>
      <c r="BE563" s="11">
        <v>0</v>
      </c>
      <c r="BF563" s="10"/>
      <c r="BG563" s="10"/>
      <c r="BH563" s="11">
        <v>0</v>
      </c>
      <c r="BI563" s="10"/>
      <c r="BJ563" s="10"/>
      <c r="BK563" s="11">
        <v>0</v>
      </c>
      <c r="BL563" s="10"/>
      <c r="BM563" s="10"/>
      <c r="BN563" s="11">
        <v>0</v>
      </c>
      <c r="BO563" s="10"/>
      <c r="BP563" s="10"/>
      <c r="BQ563" s="11">
        <v>0</v>
      </c>
      <c r="BR563" s="10"/>
      <c r="BS563" s="10"/>
      <c r="BT563" s="11">
        <v>0</v>
      </c>
      <c r="BU563" s="10"/>
      <c r="BV563" s="10"/>
      <c r="BW563" s="11">
        <v>0</v>
      </c>
      <c r="BX563" s="10"/>
      <c r="BY563" s="10"/>
      <c r="BZ563" s="11">
        <v>0</v>
      </c>
      <c r="CA563" s="10"/>
      <c r="CB563" s="10"/>
      <c r="CC563" s="11">
        <v>0</v>
      </c>
      <c r="CD563" s="10"/>
      <c r="CE563" s="10"/>
      <c r="CF563" s="11">
        <v>0</v>
      </c>
      <c r="CG563" s="10"/>
      <c r="CH563" s="10"/>
      <c r="CI563" s="11">
        <v>0</v>
      </c>
      <c r="CJ563" s="10"/>
      <c r="CK563" s="10"/>
      <c r="CL563" s="11">
        <v>0</v>
      </c>
      <c r="CM563" s="10"/>
      <c r="CN563" s="10"/>
      <c r="CO563" s="11">
        <v>0</v>
      </c>
      <c r="CP563" s="10"/>
      <c r="CQ563" s="10"/>
      <c r="CR563" s="11">
        <v>0</v>
      </c>
      <c r="CS563" s="10"/>
      <c r="CT563" s="10"/>
      <c r="CU563" s="11">
        <v>0</v>
      </c>
      <c r="CV563" s="10"/>
      <c r="CW563" s="10"/>
      <c r="CX563" s="11">
        <v>0</v>
      </c>
      <c r="CY563" s="10"/>
      <c r="CZ563" s="10"/>
      <c r="DA563" s="11">
        <v>0</v>
      </c>
      <c r="DB563" s="10"/>
      <c r="DC563" s="10"/>
      <c r="DD563" s="13">
        <v>0</v>
      </c>
      <c r="DE563" s="14"/>
    </row>
    <row r="564" spans="1:109" x14ac:dyDescent="0.35">
      <c r="A564" s="8" t="s">
        <v>1191</v>
      </c>
      <c r="B564" s="9" t="s">
        <v>140</v>
      </c>
      <c r="C564" s="9" t="s">
        <v>43</v>
      </c>
      <c r="D564" s="9" t="s">
        <v>1192</v>
      </c>
      <c r="E564" s="9" t="s">
        <v>45</v>
      </c>
      <c r="F564" s="9" t="s">
        <v>46</v>
      </c>
      <c r="G564" s="10"/>
      <c r="H564" s="10"/>
      <c r="I564" s="11">
        <v>0</v>
      </c>
      <c r="J564" s="10"/>
      <c r="K564" s="10"/>
      <c r="L564" s="12">
        <v>0</v>
      </c>
      <c r="M564" s="10"/>
      <c r="N564" s="10"/>
      <c r="O564" s="11">
        <v>0</v>
      </c>
      <c r="P564" s="10"/>
      <c r="Q564" s="10"/>
      <c r="R564" s="11">
        <v>0</v>
      </c>
      <c r="S564" s="10"/>
      <c r="T564" s="10"/>
      <c r="U564" s="11">
        <v>0</v>
      </c>
      <c r="V564" s="10"/>
      <c r="W564" s="10"/>
      <c r="X564" s="11">
        <v>0</v>
      </c>
      <c r="Y564" s="10"/>
      <c r="Z564" s="10"/>
      <c r="AA564" s="11"/>
      <c r="AB564" s="10"/>
      <c r="AC564" s="10"/>
      <c r="AD564" s="11">
        <v>0</v>
      </c>
      <c r="AE564" s="10"/>
      <c r="AF564" s="10"/>
      <c r="AG564" s="11">
        <v>0</v>
      </c>
      <c r="AH564" s="10"/>
      <c r="AI564" s="10"/>
      <c r="AJ564" s="11">
        <v>0</v>
      </c>
      <c r="AK564" s="10"/>
      <c r="AL564" s="10"/>
      <c r="AM564" s="11">
        <v>0</v>
      </c>
      <c r="AN564" s="10"/>
      <c r="AO564" s="10"/>
      <c r="AP564" s="11">
        <v>0</v>
      </c>
      <c r="AQ564" s="10"/>
      <c r="AR564" s="10"/>
      <c r="AS564" s="11">
        <v>0</v>
      </c>
      <c r="AT564" s="10"/>
      <c r="AU564" s="10"/>
      <c r="AV564" s="11">
        <v>0</v>
      </c>
      <c r="AW564" s="10"/>
      <c r="AX564" s="10"/>
      <c r="AY564" s="11">
        <v>0</v>
      </c>
      <c r="AZ564" s="10"/>
      <c r="BA564" s="10"/>
      <c r="BB564" s="11">
        <v>0</v>
      </c>
      <c r="BC564" s="10"/>
      <c r="BD564" s="10"/>
      <c r="BE564" s="11">
        <v>0</v>
      </c>
      <c r="BF564" s="10"/>
      <c r="BG564" s="10"/>
      <c r="BH564" s="11">
        <v>0</v>
      </c>
      <c r="BI564" s="10"/>
      <c r="BJ564" s="10"/>
      <c r="BK564" s="11">
        <v>0</v>
      </c>
      <c r="BL564" s="10"/>
      <c r="BM564" s="10"/>
      <c r="BN564" s="11">
        <v>0</v>
      </c>
      <c r="BO564" s="10"/>
      <c r="BP564" s="10"/>
      <c r="BQ564" s="11">
        <v>0</v>
      </c>
      <c r="BR564" s="10"/>
      <c r="BS564" s="10"/>
      <c r="BT564" s="11">
        <v>0</v>
      </c>
      <c r="BU564" s="10"/>
      <c r="BV564" s="10"/>
      <c r="BW564" s="11">
        <v>0</v>
      </c>
      <c r="BX564" s="10"/>
      <c r="BY564" s="10"/>
      <c r="BZ564" s="11">
        <v>0</v>
      </c>
      <c r="CA564" s="10"/>
      <c r="CB564" s="10"/>
      <c r="CC564" s="11">
        <v>0</v>
      </c>
      <c r="CD564" s="10"/>
      <c r="CE564" s="10"/>
      <c r="CF564" s="11">
        <v>0</v>
      </c>
      <c r="CG564" s="10"/>
      <c r="CH564" s="10"/>
      <c r="CI564" s="11">
        <v>0</v>
      </c>
      <c r="CJ564" s="10"/>
      <c r="CK564" s="10"/>
      <c r="CL564" s="11">
        <v>0</v>
      </c>
      <c r="CM564" s="10"/>
      <c r="CN564" s="10"/>
      <c r="CO564" s="11">
        <v>0</v>
      </c>
      <c r="CP564" s="10"/>
      <c r="CQ564" s="10"/>
      <c r="CR564" s="11">
        <v>0</v>
      </c>
      <c r="CS564" s="10"/>
      <c r="CT564" s="10"/>
      <c r="CU564" s="11">
        <v>0</v>
      </c>
      <c r="CV564" s="10"/>
      <c r="CW564" s="10"/>
      <c r="CX564" s="11">
        <v>0</v>
      </c>
      <c r="CY564" s="10"/>
      <c r="CZ564" s="10"/>
      <c r="DA564" s="11">
        <v>0</v>
      </c>
      <c r="DB564" s="10"/>
      <c r="DC564" s="10"/>
      <c r="DD564" s="13">
        <v>0</v>
      </c>
      <c r="DE564" s="14"/>
    </row>
    <row r="565" spans="1:109" x14ac:dyDescent="0.35">
      <c r="A565" s="8" t="s">
        <v>1193</v>
      </c>
      <c r="B565" s="9" t="s">
        <v>140</v>
      </c>
      <c r="C565" s="9" t="s">
        <v>43</v>
      </c>
      <c r="D565" s="9" t="s">
        <v>1194</v>
      </c>
      <c r="E565" s="9" t="s">
        <v>45</v>
      </c>
      <c r="F565" s="9" t="s">
        <v>46</v>
      </c>
      <c r="G565" s="10"/>
      <c r="H565" s="10"/>
      <c r="I565" s="11">
        <v>0</v>
      </c>
      <c r="J565" s="10"/>
      <c r="K565" s="10"/>
      <c r="L565" s="12">
        <v>0</v>
      </c>
      <c r="M565" s="10"/>
      <c r="N565" s="10"/>
      <c r="O565" s="11">
        <v>0</v>
      </c>
      <c r="P565" s="10"/>
      <c r="Q565" s="10"/>
      <c r="R565" s="11">
        <v>0</v>
      </c>
      <c r="S565" s="10"/>
      <c r="T565" s="10"/>
      <c r="U565" s="11">
        <v>0</v>
      </c>
      <c r="V565" s="10"/>
      <c r="W565" s="10"/>
      <c r="X565" s="11">
        <v>0</v>
      </c>
      <c r="Y565" s="10"/>
      <c r="Z565" s="10"/>
      <c r="AA565" s="11"/>
      <c r="AB565" s="10"/>
      <c r="AC565" s="10"/>
      <c r="AD565" s="11">
        <v>0</v>
      </c>
      <c r="AE565" s="10"/>
      <c r="AF565" s="10"/>
      <c r="AG565" s="11">
        <v>0</v>
      </c>
      <c r="AH565" s="10"/>
      <c r="AI565" s="10"/>
      <c r="AJ565" s="11">
        <v>0</v>
      </c>
      <c r="AK565" s="10"/>
      <c r="AL565" s="10"/>
      <c r="AM565" s="11">
        <v>0</v>
      </c>
      <c r="AN565" s="10"/>
      <c r="AO565" s="10"/>
      <c r="AP565" s="11">
        <v>0</v>
      </c>
      <c r="AQ565" s="10"/>
      <c r="AR565" s="10"/>
      <c r="AS565" s="11">
        <v>0</v>
      </c>
      <c r="AT565" s="10"/>
      <c r="AU565" s="10"/>
      <c r="AV565" s="11">
        <v>0</v>
      </c>
      <c r="AW565" s="10"/>
      <c r="AX565" s="10"/>
      <c r="AY565" s="11">
        <v>0</v>
      </c>
      <c r="AZ565" s="10"/>
      <c r="BA565" s="10"/>
      <c r="BB565" s="11">
        <v>0</v>
      </c>
      <c r="BC565" s="10"/>
      <c r="BD565" s="10"/>
      <c r="BE565" s="11">
        <v>0</v>
      </c>
      <c r="BF565" s="10"/>
      <c r="BG565" s="10"/>
      <c r="BH565" s="11">
        <v>0</v>
      </c>
      <c r="BI565" s="10"/>
      <c r="BJ565" s="10"/>
      <c r="BK565" s="11">
        <v>0</v>
      </c>
      <c r="BL565" s="10"/>
      <c r="BM565" s="10"/>
      <c r="BN565" s="11">
        <v>0</v>
      </c>
      <c r="BO565" s="10"/>
      <c r="BP565" s="10"/>
      <c r="BQ565" s="11">
        <v>0</v>
      </c>
      <c r="BR565" s="10"/>
      <c r="BS565" s="10"/>
      <c r="BT565" s="11">
        <v>0</v>
      </c>
      <c r="BU565" s="10"/>
      <c r="BV565" s="10"/>
      <c r="BW565" s="11">
        <v>0</v>
      </c>
      <c r="BX565" s="10"/>
      <c r="BY565" s="10"/>
      <c r="BZ565" s="11">
        <v>0</v>
      </c>
      <c r="CA565" s="10"/>
      <c r="CB565" s="10"/>
      <c r="CC565" s="11">
        <v>0</v>
      </c>
      <c r="CD565" s="10"/>
      <c r="CE565" s="10"/>
      <c r="CF565" s="11">
        <v>0</v>
      </c>
      <c r="CG565" s="10"/>
      <c r="CH565" s="10"/>
      <c r="CI565" s="11">
        <v>0</v>
      </c>
      <c r="CJ565" s="10"/>
      <c r="CK565" s="10"/>
      <c r="CL565" s="11">
        <v>0</v>
      </c>
      <c r="CM565" s="10"/>
      <c r="CN565" s="10"/>
      <c r="CO565" s="11">
        <v>0</v>
      </c>
      <c r="CP565" s="10"/>
      <c r="CQ565" s="10"/>
      <c r="CR565" s="11">
        <v>0</v>
      </c>
      <c r="CS565" s="10"/>
      <c r="CT565" s="10"/>
      <c r="CU565" s="11">
        <v>0</v>
      </c>
      <c r="CV565" s="10"/>
      <c r="CW565" s="10"/>
      <c r="CX565" s="11">
        <v>0</v>
      </c>
      <c r="CY565" s="10"/>
      <c r="CZ565" s="10"/>
      <c r="DA565" s="11">
        <v>0</v>
      </c>
      <c r="DB565" s="10"/>
      <c r="DC565" s="10"/>
      <c r="DD565" s="13">
        <v>0</v>
      </c>
      <c r="DE565" s="14"/>
    </row>
    <row r="566" spans="1:109" x14ac:dyDescent="0.35">
      <c r="A566" s="8" t="s">
        <v>1195</v>
      </c>
      <c r="B566" s="9" t="s">
        <v>140</v>
      </c>
      <c r="C566" s="9" t="s">
        <v>43</v>
      </c>
      <c r="D566" s="9" t="s">
        <v>1196</v>
      </c>
      <c r="E566" s="9" t="s">
        <v>45</v>
      </c>
      <c r="F566" s="9" t="s">
        <v>46</v>
      </c>
      <c r="G566" s="10"/>
      <c r="H566" s="10"/>
      <c r="I566" s="11">
        <v>0</v>
      </c>
      <c r="J566" s="10"/>
      <c r="K566" s="10"/>
      <c r="L566" s="12">
        <v>0</v>
      </c>
      <c r="M566" s="10"/>
      <c r="N566" s="10"/>
      <c r="O566" s="11">
        <v>0</v>
      </c>
      <c r="P566" s="10"/>
      <c r="Q566" s="10"/>
      <c r="R566" s="11">
        <v>0</v>
      </c>
      <c r="S566" s="10"/>
      <c r="T566" s="10"/>
      <c r="U566" s="11">
        <v>0</v>
      </c>
      <c r="V566" s="10"/>
      <c r="W566" s="10"/>
      <c r="X566" s="11">
        <v>0</v>
      </c>
      <c r="Y566" s="10"/>
      <c r="Z566" s="10"/>
      <c r="AA566" s="11"/>
      <c r="AB566" s="10"/>
      <c r="AC566" s="10"/>
      <c r="AD566" s="11">
        <v>0</v>
      </c>
      <c r="AE566" s="10"/>
      <c r="AF566" s="10"/>
      <c r="AG566" s="11">
        <v>0</v>
      </c>
      <c r="AH566" s="10"/>
      <c r="AI566" s="10"/>
      <c r="AJ566" s="11">
        <v>0</v>
      </c>
      <c r="AK566" s="10"/>
      <c r="AL566" s="10"/>
      <c r="AM566" s="11">
        <v>0</v>
      </c>
      <c r="AN566" s="10"/>
      <c r="AO566" s="10"/>
      <c r="AP566" s="11">
        <v>0</v>
      </c>
      <c r="AQ566" s="10"/>
      <c r="AR566" s="10"/>
      <c r="AS566" s="11">
        <v>0</v>
      </c>
      <c r="AT566" s="10"/>
      <c r="AU566" s="10"/>
      <c r="AV566" s="11">
        <v>0</v>
      </c>
      <c r="AW566" s="10"/>
      <c r="AX566" s="10"/>
      <c r="AY566" s="11">
        <v>0</v>
      </c>
      <c r="AZ566" s="10"/>
      <c r="BA566" s="10"/>
      <c r="BB566" s="11">
        <v>0</v>
      </c>
      <c r="BC566" s="10"/>
      <c r="BD566" s="10"/>
      <c r="BE566" s="11">
        <v>0</v>
      </c>
      <c r="BF566" s="10"/>
      <c r="BG566" s="10"/>
      <c r="BH566" s="11">
        <v>0</v>
      </c>
      <c r="BI566" s="10"/>
      <c r="BJ566" s="10"/>
      <c r="BK566" s="11">
        <v>0</v>
      </c>
      <c r="BL566" s="10"/>
      <c r="BM566" s="10"/>
      <c r="BN566" s="11">
        <v>0</v>
      </c>
      <c r="BO566" s="10"/>
      <c r="BP566" s="10"/>
      <c r="BQ566" s="11">
        <v>0</v>
      </c>
      <c r="BR566" s="10"/>
      <c r="BS566" s="10"/>
      <c r="BT566" s="11">
        <v>0</v>
      </c>
      <c r="BU566" s="10"/>
      <c r="BV566" s="10"/>
      <c r="BW566" s="11">
        <v>0</v>
      </c>
      <c r="BX566" s="10"/>
      <c r="BY566" s="10"/>
      <c r="BZ566" s="11">
        <v>0</v>
      </c>
      <c r="CA566" s="10"/>
      <c r="CB566" s="10"/>
      <c r="CC566" s="11">
        <v>0</v>
      </c>
      <c r="CD566" s="10"/>
      <c r="CE566" s="10"/>
      <c r="CF566" s="11">
        <v>0</v>
      </c>
      <c r="CG566" s="10"/>
      <c r="CH566" s="10"/>
      <c r="CI566" s="11">
        <v>0</v>
      </c>
      <c r="CJ566" s="10"/>
      <c r="CK566" s="10"/>
      <c r="CL566" s="11">
        <v>0</v>
      </c>
      <c r="CM566" s="10"/>
      <c r="CN566" s="10"/>
      <c r="CO566" s="11">
        <v>0</v>
      </c>
      <c r="CP566" s="10"/>
      <c r="CQ566" s="10"/>
      <c r="CR566" s="11">
        <v>0</v>
      </c>
      <c r="CS566" s="10"/>
      <c r="CT566" s="10"/>
      <c r="CU566" s="11">
        <v>0</v>
      </c>
      <c r="CV566" s="10"/>
      <c r="CW566" s="10"/>
      <c r="CX566" s="11">
        <v>0</v>
      </c>
      <c r="CY566" s="10"/>
      <c r="CZ566" s="10"/>
      <c r="DA566" s="11">
        <v>0</v>
      </c>
      <c r="DB566" s="10"/>
      <c r="DC566" s="10"/>
      <c r="DD566" s="13">
        <v>0</v>
      </c>
      <c r="DE566" s="14"/>
    </row>
    <row r="567" spans="1:109" x14ac:dyDescent="0.35">
      <c r="A567" s="8" t="s">
        <v>1197</v>
      </c>
      <c r="B567" s="9" t="s">
        <v>140</v>
      </c>
      <c r="C567" s="9" t="s">
        <v>43</v>
      </c>
      <c r="D567" s="9" t="s">
        <v>1198</v>
      </c>
      <c r="E567" s="9" t="s">
        <v>45</v>
      </c>
      <c r="F567" s="9" t="s">
        <v>46</v>
      </c>
      <c r="G567" s="10"/>
      <c r="H567" s="10"/>
      <c r="I567" s="11">
        <v>0</v>
      </c>
      <c r="J567" s="10"/>
      <c r="K567" s="10"/>
      <c r="L567" s="12">
        <v>0</v>
      </c>
      <c r="M567" s="10"/>
      <c r="N567" s="10"/>
      <c r="O567" s="11">
        <v>0</v>
      </c>
      <c r="P567" s="10"/>
      <c r="Q567" s="10"/>
      <c r="R567" s="11">
        <v>0</v>
      </c>
      <c r="S567" s="10"/>
      <c r="T567" s="10"/>
      <c r="U567" s="11">
        <v>0</v>
      </c>
      <c r="V567" s="10"/>
      <c r="W567" s="10"/>
      <c r="X567" s="11">
        <v>0</v>
      </c>
      <c r="Y567" s="10"/>
      <c r="Z567" s="10"/>
      <c r="AA567" s="11"/>
      <c r="AB567" s="10"/>
      <c r="AC567" s="10"/>
      <c r="AD567" s="11">
        <v>0</v>
      </c>
      <c r="AE567" s="10"/>
      <c r="AF567" s="10"/>
      <c r="AG567" s="11">
        <v>0</v>
      </c>
      <c r="AH567" s="10"/>
      <c r="AI567" s="10"/>
      <c r="AJ567" s="11">
        <v>0</v>
      </c>
      <c r="AK567" s="10"/>
      <c r="AL567" s="10"/>
      <c r="AM567" s="11">
        <v>0</v>
      </c>
      <c r="AN567" s="10"/>
      <c r="AO567" s="10"/>
      <c r="AP567" s="11">
        <v>0</v>
      </c>
      <c r="AQ567" s="10"/>
      <c r="AR567" s="10"/>
      <c r="AS567" s="11">
        <v>0</v>
      </c>
      <c r="AT567" s="10"/>
      <c r="AU567" s="10"/>
      <c r="AV567" s="11">
        <v>0</v>
      </c>
      <c r="AW567" s="10"/>
      <c r="AX567" s="10"/>
      <c r="AY567" s="11">
        <v>0</v>
      </c>
      <c r="AZ567" s="10"/>
      <c r="BA567" s="10"/>
      <c r="BB567" s="11">
        <v>0</v>
      </c>
      <c r="BC567" s="10"/>
      <c r="BD567" s="10"/>
      <c r="BE567" s="11">
        <v>0</v>
      </c>
      <c r="BF567" s="10"/>
      <c r="BG567" s="10"/>
      <c r="BH567" s="11">
        <v>0</v>
      </c>
      <c r="BI567" s="10"/>
      <c r="BJ567" s="10"/>
      <c r="BK567" s="11">
        <v>0</v>
      </c>
      <c r="BL567" s="10"/>
      <c r="BM567" s="10"/>
      <c r="BN567" s="11">
        <v>0</v>
      </c>
      <c r="BO567" s="10"/>
      <c r="BP567" s="10"/>
      <c r="BQ567" s="11">
        <v>0</v>
      </c>
      <c r="BR567" s="10"/>
      <c r="BS567" s="10"/>
      <c r="BT567" s="11">
        <v>0</v>
      </c>
      <c r="BU567" s="10"/>
      <c r="BV567" s="10"/>
      <c r="BW567" s="11">
        <v>0</v>
      </c>
      <c r="BX567" s="10"/>
      <c r="BY567" s="10"/>
      <c r="BZ567" s="11">
        <v>0</v>
      </c>
      <c r="CA567" s="10"/>
      <c r="CB567" s="10"/>
      <c r="CC567" s="11">
        <v>0</v>
      </c>
      <c r="CD567" s="10"/>
      <c r="CE567" s="10"/>
      <c r="CF567" s="11">
        <v>0</v>
      </c>
      <c r="CG567" s="10"/>
      <c r="CH567" s="10"/>
      <c r="CI567" s="11">
        <v>0</v>
      </c>
      <c r="CJ567" s="10"/>
      <c r="CK567" s="10"/>
      <c r="CL567" s="11">
        <v>0</v>
      </c>
      <c r="CM567" s="10"/>
      <c r="CN567" s="10"/>
      <c r="CO567" s="11">
        <v>0</v>
      </c>
      <c r="CP567" s="10"/>
      <c r="CQ567" s="10"/>
      <c r="CR567" s="11">
        <v>0</v>
      </c>
      <c r="CS567" s="10"/>
      <c r="CT567" s="10"/>
      <c r="CU567" s="11">
        <v>0</v>
      </c>
      <c r="CV567" s="10"/>
      <c r="CW567" s="10"/>
      <c r="CX567" s="11">
        <v>0</v>
      </c>
      <c r="CY567" s="10"/>
      <c r="CZ567" s="10"/>
      <c r="DA567" s="11">
        <v>0</v>
      </c>
      <c r="DB567" s="10"/>
      <c r="DC567" s="10"/>
      <c r="DD567" s="13">
        <v>0</v>
      </c>
      <c r="DE567" s="14"/>
    </row>
    <row r="568" spans="1:109" x14ac:dyDescent="0.35">
      <c r="A568" s="8" t="s">
        <v>1199</v>
      </c>
      <c r="B568" s="9" t="s">
        <v>140</v>
      </c>
      <c r="C568" s="9" t="s">
        <v>43</v>
      </c>
      <c r="D568" s="9" t="s">
        <v>1200</v>
      </c>
      <c r="E568" s="9" t="s">
        <v>45</v>
      </c>
      <c r="F568" s="9" t="s">
        <v>46</v>
      </c>
      <c r="G568" s="10"/>
      <c r="H568" s="10"/>
      <c r="I568" s="11">
        <v>0</v>
      </c>
      <c r="J568" s="10"/>
      <c r="K568" s="10"/>
      <c r="L568" s="12">
        <v>0</v>
      </c>
      <c r="M568" s="10"/>
      <c r="N568" s="10"/>
      <c r="O568" s="11">
        <v>0</v>
      </c>
      <c r="P568" s="10"/>
      <c r="Q568" s="10"/>
      <c r="R568" s="11">
        <v>0</v>
      </c>
      <c r="S568" s="10"/>
      <c r="T568" s="10"/>
      <c r="U568" s="11">
        <v>0</v>
      </c>
      <c r="V568" s="10"/>
      <c r="W568" s="10"/>
      <c r="X568" s="11">
        <v>0</v>
      </c>
      <c r="Y568" s="10"/>
      <c r="Z568" s="10"/>
      <c r="AA568" s="11"/>
      <c r="AB568" s="10"/>
      <c r="AC568" s="10"/>
      <c r="AD568" s="11">
        <v>0</v>
      </c>
      <c r="AE568" s="10"/>
      <c r="AF568" s="10"/>
      <c r="AG568" s="11">
        <v>0</v>
      </c>
      <c r="AH568" s="10"/>
      <c r="AI568" s="10"/>
      <c r="AJ568" s="11">
        <v>0</v>
      </c>
      <c r="AK568" s="10"/>
      <c r="AL568" s="10"/>
      <c r="AM568" s="11">
        <v>0</v>
      </c>
      <c r="AN568" s="10"/>
      <c r="AO568" s="10"/>
      <c r="AP568" s="11">
        <v>0</v>
      </c>
      <c r="AQ568" s="10"/>
      <c r="AR568" s="10"/>
      <c r="AS568" s="11">
        <v>0</v>
      </c>
      <c r="AT568" s="10"/>
      <c r="AU568" s="10"/>
      <c r="AV568" s="11">
        <v>0</v>
      </c>
      <c r="AW568" s="10"/>
      <c r="AX568" s="10"/>
      <c r="AY568" s="11">
        <v>0</v>
      </c>
      <c r="AZ568" s="10"/>
      <c r="BA568" s="10"/>
      <c r="BB568" s="11">
        <v>0</v>
      </c>
      <c r="BC568" s="10"/>
      <c r="BD568" s="10"/>
      <c r="BE568" s="11">
        <v>0</v>
      </c>
      <c r="BF568" s="10"/>
      <c r="BG568" s="10"/>
      <c r="BH568" s="11">
        <v>0</v>
      </c>
      <c r="BI568" s="10"/>
      <c r="BJ568" s="10"/>
      <c r="BK568" s="11">
        <v>0</v>
      </c>
      <c r="BL568" s="10"/>
      <c r="BM568" s="10"/>
      <c r="BN568" s="11">
        <v>0</v>
      </c>
      <c r="BO568" s="10"/>
      <c r="BP568" s="10"/>
      <c r="BQ568" s="11">
        <v>0</v>
      </c>
      <c r="BR568" s="10"/>
      <c r="BS568" s="10"/>
      <c r="BT568" s="11">
        <v>0</v>
      </c>
      <c r="BU568" s="10"/>
      <c r="BV568" s="10"/>
      <c r="BW568" s="11">
        <v>0</v>
      </c>
      <c r="BX568" s="10"/>
      <c r="BY568" s="10"/>
      <c r="BZ568" s="11">
        <v>0</v>
      </c>
      <c r="CA568" s="10"/>
      <c r="CB568" s="10"/>
      <c r="CC568" s="11">
        <v>0</v>
      </c>
      <c r="CD568" s="10"/>
      <c r="CE568" s="10"/>
      <c r="CF568" s="11">
        <v>0</v>
      </c>
      <c r="CG568" s="10"/>
      <c r="CH568" s="10"/>
      <c r="CI568" s="11">
        <v>0</v>
      </c>
      <c r="CJ568" s="10"/>
      <c r="CK568" s="10"/>
      <c r="CL568" s="11">
        <v>0</v>
      </c>
      <c r="CM568" s="10"/>
      <c r="CN568" s="10"/>
      <c r="CO568" s="11">
        <v>0</v>
      </c>
      <c r="CP568" s="10"/>
      <c r="CQ568" s="10"/>
      <c r="CR568" s="11">
        <v>0</v>
      </c>
      <c r="CS568" s="10"/>
      <c r="CT568" s="10"/>
      <c r="CU568" s="11">
        <v>0</v>
      </c>
      <c r="CV568" s="10"/>
      <c r="CW568" s="10"/>
      <c r="CX568" s="11">
        <v>0</v>
      </c>
      <c r="CY568" s="10"/>
      <c r="CZ568" s="10"/>
      <c r="DA568" s="11">
        <v>0</v>
      </c>
      <c r="DB568" s="10"/>
      <c r="DC568" s="10"/>
      <c r="DD568" s="13">
        <v>0</v>
      </c>
      <c r="DE568" s="14"/>
    </row>
    <row r="569" spans="1:109" x14ac:dyDescent="0.35">
      <c r="A569" s="8" t="s">
        <v>1201</v>
      </c>
      <c r="B569" s="9" t="s">
        <v>77</v>
      </c>
      <c r="C569" s="9" t="s">
        <v>43</v>
      </c>
      <c r="D569" s="9" t="s">
        <v>1202</v>
      </c>
      <c r="E569" s="9" t="s">
        <v>61</v>
      </c>
      <c r="F569" s="9" t="s">
        <v>62</v>
      </c>
      <c r="G569" s="10"/>
      <c r="H569" s="10"/>
      <c r="I569" s="11">
        <v>0</v>
      </c>
      <c r="J569" s="10"/>
      <c r="K569" s="10"/>
      <c r="L569" s="12">
        <v>0</v>
      </c>
      <c r="M569" s="10"/>
      <c r="N569" s="10"/>
      <c r="O569" s="11">
        <v>0</v>
      </c>
      <c r="P569" s="10"/>
      <c r="Q569" s="10"/>
      <c r="R569" s="11">
        <v>0</v>
      </c>
      <c r="S569" s="10"/>
      <c r="T569" s="10"/>
      <c r="U569" s="11">
        <v>0</v>
      </c>
      <c r="V569" s="10"/>
      <c r="W569" s="10"/>
      <c r="X569" s="11">
        <v>0</v>
      </c>
      <c r="Y569" s="10"/>
      <c r="Z569" s="10"/>
      <c r="AA569" s="11"/>
      <c r="AB569" s="10"/>
      <c r="AC569" s="10"/>
      <c r="AD569" s="11">
        <v>0</v>
      </c>
      <c r="AE569" s="10"/>
      <c r="AF569" s="10"/>
      <c r="AG569" s="11">
        <v>0</v>
      </c>
      <c r="AH569" s="10"/>
      <c r="AI569" s="10"/>
      <c r="AJ569" s="11">
        <v>0</v>
      </c>
      <c r="AK569" s="10"/>
      <c r="AL569" s="10"/>
      <c r="AM569" s="11">
        <v>0</v>
      </c>
      <c r="AN569" s="10"/>
      <c r="AO569" s="10"/>
      <c r="AP569" s="11">
        <v>0</v>
      </c>
      <c r="AQ569" s="10"/>
      <c r="AR569" s="10"/>
      <c r="AS569" s="11">
        <v>0</v>
      </c>
      <c r="AT569" s="10"/>
      <c r="AU569" s="10"/>
      <c r="AV569" s="11">
        <v>0</v>
      </c>
      <c r="AW569" s="10"/>
      <c r="AX569" s="10"/>
      <c r="AY569" s="11">
        <v>0</v>
      </c>
      <c r="AZ569" s="10"/>
      <c r="BA569" s="10"/>
      <c r="BB569" s="11">
        <v>0</v>
      </c>
      <c r="BC569" s="10"/>
      <c r="BD569" s="10"/>
      <c r="BE569" s="11">
        <v>0</v>
      </c>
      <c r="BF569" s="10"/>
      <c r="BG569" s="10"/>
      <c r="BH569" s="11">
        <v>0</v>
      </c>
      <c r="BI569" s="10"/>
      <c r="BJ569" s="10"/>
      <c r="BK569" s="11">
        <v>0</v>
      </c>
      <c r="BL569" s="10"/>
      <c r="BM569" s="10"/>
      <c r="BN569" s="11">
        <v>0</v>
      </c>
      <c r="BO569" s="10"/>
      <c r="BP569" s="10"/>
      <c r="BQ569" s="11">
        <v>0</v>
      </c>
      <c r="BR569" s="10"/>
      <c r="BS569" s="10"/>
      <c r="BT569" s="11">
        <v>0</v>
      </c>
      <c r="BU569" s="10"/>
      <c r="BV569" s="10"/>
      <c r="BW569" s="11">
        <v>0</v>
      </c>
      <c r="BX569" s="10"/>
      <c r="BY569" s="10"/>
      <c r="BZ569" s="11">
        <v>0</v>
      </c>
      <c r="CA569" s="10"/>
      <c r="CB569" s="10"/>
      <c r="CC569" s="11">
        <v>0</v>
      </c>
      <c r="CD569" s="10"/>
      <c r="CE569" s="10"/>
      <c r="CF569" s="11">
        <v>0</v>
      </c>
      <c r="CG569" s="10"/>
      <c r="CH569" s="10"/>
      <c r="CI569" s="11">
        <v>0</v>
      </c>
      <c r="CJ569" s="10"/>
      <c r="CK569" s="10"/>
      <c r="CL569" s="11">
        <v>0</v>
      </c>
      <c r="CM569" s="10"/>
      <c r="CN569" s="10"/>
      <c r="CO569" s="11">
        <v>0</v>
      </c>
      <c r="CP569" s="10"/>
      <c r="CQ569" s="10"/>
      <c r="CR569" s="11">
        <v>0</v>
      </c>
      <c r="CS569" s="10"/>
      <c r="CT569" s="10"/>
      <c r="CU569" s="11">
        <v>0</v>
      </c>
      <c r="CV569" s="10"/>
      <c r="CW569" s="10"/>
      <c r="CX569" s="11">
        <v>0</v>
      </c>
      <c r="CY569" s="10"/>
      <c r="CZ569" s="10"/>
      <c r="DA569" s="11">
        <v>0</v>
      </c>
      <c r="DB569" s="10"/>
      <c r="DC569" s="10"/>
      <c r="DD569" s="13">
        <v>0</v>
      </c>
      <c r="DE569" s="14"/>
    </row>
    <row r="570" spans="1:109" x14ac:dyDescent="0.35">
      <c r="A570" s="8" t="s">
        <v>1203</v>
      </c>
      <c r="B570" s="9" t="s">
        <v>118</v>
      </c>
      <c r="C570" s="9" t="s">
        <v>43</v>
      </c>
      <c r="D570" s="9" t="s">
        <v>1204</v>
      </c>
      <c r="E570" s="9" t="s">
        <v>61</v>
      </c>
      <c r="F570" s="9" t="s">
        <v>62</v>
      </c>
      <c r="G570" s="10"/>
      <c r="H570" s="10"/>
      <c r="I570" s="11">
        <v>0</v>
      </c>
      <c r="J570" s="10"/>
      <c r="K570" s="10"/>
      <c r="L570" s="12">
        <v>0</v>
      </c>
      <c r="M570" s="10"/>
      <c r="N570" s="10"/>
      <c r="O570" s="11">
        <v>0</v>
      </c>
      <c r="P570" s="10"/>
      <c r="Q570" s="10"/>
      <c r="R570" s="11">
        <v>0</v>
      </c>
      <c r="S570" s="10"/>
      <c r="T570" s="10"/>
      <c r="U570" s="11">
        <v>0</v>
      </c>
      <c r="V570" s="10"/>
      <c r="W570" s="10"/>
      <c r="X570" s="11">
        <v>0</v>
      </c>
      <c r="Y570" s="10"/>
      <c r="Z570" s="10"/>
      <c r="AA570" s="11"/>
      <c r="AB570" s="10"/>
      <c r="AC570" s="10"/>
      <c r="AD570" s="11">
        <v>0</v>
      </c>
      <c r="AE570" s="10"/>
      <c r="AF570" s="10"/>
      <c r="AG570" s="11">
        <v>0</v>
      </c>
      <c r="AH570" s="10"/>
      <c r="AI570" s="10"/>
      <c r="AJ570" s="11">
        <v>0</v>
      </c>
      <c r="AK570" s="10"/>
      <c r="AL570" s="10"/>
      <c r="AM570" s="11">
        <v>0</v>
      </c>
      <c r="AN570" s="10"/>
      <c r="AO570" s="10"/>
      <c r="AP570" s="11">
        <v>0</v>
      </c>
      <c r="AQ570" s="10"/>
      <c r="AR570" s="10"/>
      <c r="AS570" s="11">
        <v>0</v>
      </c>
      <c r="AT570" s="10"/>
      <c r="AU570" s="10"/>
      <c r="AV570" s="11">
        <v>0</v>
      </c>
      <c r="AW570" s="10"/>
      <c r="AX570" s="10"/>
      <c r="AY570" s="11">
        <v>0</v>
      </c>
      <c r="AZ570" s="10"/>
      <c r="BA570" s="10"/>
      <c r="BB570" s="11">
        <v>0</v>
      </c>
      <c r="BC570" s="10"/>
      <c r="BD570" s="10"/>
      <c r="BE570" s="11">
        <v>0</v>
      </c>
      <c r="BF570" s="10"/>
      <c r="BG570" s="10"/>
      <c r="BH570" s="11">
        <v>0</v>
      </c>
      <c r="BI570" s="10"/>
      <c r="BJ570" s="10"/>
      <c r="BK570" s="11">
        <v>0</v>
      </c>
      <c r="BL570" s="10"/>
      <c r="BM570" s="10"/>
      <c r="BN570" s="11">
        <v>0</v>
      </c>
      <c r="BO570" s="10"/>
      <c r="BP570" s="10"/>
      <c r="BQ570" s="11">
        <v>0</v>
      </c>
      <c r="BR570" s="10"/>
      <c r="BS570" s="10"/>
      <c r="BT570" s="11">
        <v>0</v>
      </c>
      <c r="BU570" s="10"/>
      <c r="BV570" s="10"/>
      <c r="BW570" s="11">
        <v>0</v>
      </c>
      <c r="BX570" s="10"/>
      <c r="BY570" s="10"/>
      <c r="BZ570" s="11">
        <v>0</v>
      </c>
      <c r="CA570" s="10"/>
      <c r="CB570" s="10"/>
      <c r="CC570" s="11">
        <v>0</v>
      </c>
      <c r="CD570" s="10"/>
      <c r="CE570" s="10"/>
      <c r="CF570" s="11">
        <v>0</v>
      </c>
      <c r="CG570" s="10"/>
      <c r="CH570" s="10"/>
      <c r="CI570" s="11">
        <v>0</v>
      </c>
      <c r="CJ570" s="10"/>
      <c r="CK570" s="10"/>
      <c r="CL570" s="11">
        <v>0</v>
      </c>
      <c r="CM570" s="10"/>
      <c r="CN570" s="10"/>
      <c r="CO570" s="11">
        <v>0</v>
      </c>
      <c r="CP570" s="10"/>
      <c r="CQ570" s="10"/>
      <c r="CR570" s="11">
        <v>0</v>
      </c>
      <c r="CS570" s="10"/>
      <c r="CT570" s="10"/>
      <c r="CU570" s="11">
        <v>0</v>
      </c>
      <c r="CV570" s="10"/>
      <c r="CW570" s="10"/>
      <c r="CX570" s="11">
        <v>0</v>
      </c>
      <c r="CY570" s="10"/>
      <c r="CZ570" s="10"/>
      <c r="DA570" s="11">
        <v>0</v>
      </c>
      <c r="DB570" s="10"/>
      <c r="DC570" s="10"/>
      <c r="DD570" s="13">
        <v>0</v>
      </c>
      <c r="DE570" s="14"/>
    </row>
    <row r="571" spans="1:109" x14ac:dyDescent="0.35">
      <c r="A571" s="8" t="s">
        <v>1205</v>
      </c>
      <c r="B571" s="9" t="s">
        <v>118</v>
      </c>
      <c r="C571" s="9" t="s">
        <v>43</v>
      </c>
      <c r="D571" s="9" t="s">
        <v>1206</v>
      </c>
      <c r="E571" s="9" t="s">
        <v>61</v>
      </c>
      <c r="F571" s="9" t="s">
        <v>62</v>
      </c>
      <c r="G571" s="10"/>
      <c r="H571" s="10"/>
      <c r="I571" s="11">
        <v>0</v>
      </c>
      <c r="J571" s="10"/>
      <c r="K571" s="10"/>
      <c r="L571" s="12">
        <v>0</v>
      </c>
      <c r="M571" s="10"/>
      <c r="N571" s="10"/>
      <c r="O571" s="11">
        <v>0</v>
      </c>
      <c r="P571" s="10"/>
      <c r="Q571" s="10"/>
      <c r="R571" s="11">
        <v>0</v>
      </c>
      <c r="S571" s="10"/>
      <c r="T571" s="10"/>
      <c r="U571" s="11">
        <v>0</v>
      </c>
      <c r="V571" s="10"/>
      <c r="W571" s="10"/>
      <c r="X571" s="11">
        <v>0</v>
      </c>
      <c r="Y571" s="10"/>
      <c r="Z571" s="10"/>
      <c r="AA571" s="11"/>
      <c r="AB571" s="10"/>
      <c r="AC571" s="10"/>
      <c r="AD571" s="11">
        <v>0</v>
      </c>
      <c r="AE571" s="10"/>
      <c r="AF571" s="10"/>
      <c r="AG571" s="11">
        <v>0</v>
      </c>
      <c r="AH571" s="10"/>
      <c r="AI571" s="10"/>
      <c r="AJ571" s="11">
        <v>0</v>
      </c>
      <c r="AK571" s="10"/>
      <c r="AL571" s="10"/>
      <c r="AM571" s="11">
        <v>0</v>
      </c>
      <c r="AN571" s="10"/>
      <c r="AO571" s="10"/>
      <c r="AP571" s="11">
        <v>0</v>
      </c>
      <c r="AQ571" s="10"/>
      <c r="AR571" s="10"/>
      <c r="AS571" s="11">
        <v>0</v>
      </c>
      <c r="AT571" s="10"/>
      <c r="AU571" s="10"/>
      <c r="AV571" s="11">
        <v>0</v>
      </c>
      <c r="AW571" s="10"/>
      <c r="AX571" s="10"/>
      <c r="AY571" s="11">
        <v>0</v>
      </c>
      <c r="AZ571" s="10"/>
      <c r="BA571" s="10"/>
      <c r="BB571" s="11">
        <v>0</v>
      </c>
      <c r="BC571" s="10"/>
      <c r="BD571" s="10"/>
      <c r="BE571" s="11">
        <v>0</v>
      </c>
      <c r="BF571" s="10"/>
      <c r="BG571" s="10"/>
      <c r="BH571" s="11">
        <v>0</v>
      </c>
      <c r="BI571" s="10"/>
      <c r="BJ571" s="10"/>
      <c r="BK571" s="11">
        <v>0</v>
      </c>
      <c r="BL571" s="10"/>
      <c r="BM571" s="10"/>
      <c r="BN571" s="11">
        <v>0</v>
      </c>
      <c r="BO571" s="10"/>
      <c r="BP571" s="10"/>
      <c r="BQ571" s="11">
        <v>0</v>
      </c>
      <c r="BR571" s="10"/>
      <c r="BS571" s="10"/>
      <c r="BT571" s="11">
        <v>0</v>
      </c>
      <c r="BU571" s="10"/>
      <c r="BV571" s="10"/>
      <c r="BW571" s="11">
        <v>0</v>
      </c>
      <c r="BX571" s="10"/>
      <c r="BY571" s="10"/>
      <c r="BZ571" s="11">
        <v>0</v>
      </c>
      <c r="CA571" s="10"/>
      <c r="CB571" s="10"/>
      <c r="CC571" s="11">
        <v>0</v>
      </c>
      <c r="CD571" s="10"/>
      <c r="CE571" s="10"/>
      <c r="CF571" s="11">
        <v>0</v>
      </c>
      <c r="CG571" s="10"/>
      <c r="CH571" s="10"/>
      <c r="CI571" s="11">
        <v>0</v>
      </c>
      <c r="CJ571" s="10"/>
      <c r="CK571" s="10"/>
      <c r="CL571" s="11">
        <v>0</v>
      </c>
      <c r="CM571" s="10"/>
      <c r="CN571" s="10"/>
      <c r="CO571" s="11">
        <v>0</v>
      </c>
      <c r="CP571" s="10"/>
      <c r="CQ571" s="10"/>
      <c r="CR571" s="11">
        <v>0</v>
      </c>
      <c r="CS571" s="10"/>
      <c r="CT571" s="10"/>
      <c r="CU571" s="11">
        <v>0</v>
      </c>
      <c r="CV571" s="10"/>
      <c r="CW571" s="10"/>
      <c r="CX571" s="11">
        <v>0</v>
      </c>
      <c r="CY571" s="10"/>
      <c r="CZ571" s="10"/>
      <c r="DA571" s="11">
        <v>0</v>
      </c>
      <c r="DB571" s="10"/>
      <c r="DC571" s="10"/>
      <c r="DD571" s="13">
        <v>0</v>
      </c>
      <c r="DE571" s="14"/>
    </row>
    <row r="572" spans="1:109" x14ac:dyDescent="0.35">
      <c r="A572" s="8" t="s">
        <v>1207</v>
      </c>
      <c r="B572" s="9" t="s">
        <v>118</v>
      </c>
      <c r="C572" s="9" t="s">
        <v>43</v>
      </c>
      <c r="D572" s="9" t="s">
        <v>1208</v>
      </c>
      <c r="E572" s="9" t="s">
        <v>61</v>
      </c>
      <c r="F572" s="9" t="s">
        <v>62</v>
      </c>
      <c r="G572" s="10"/>
      <c r="H572" s="10"/>
      <c r="I572" s="11">
        <v>0</v>
      </c>
      <c r="J572" s="10"/>
      <c r="K572" s="10"/>
      <c r="L572" s="12">
        <v>0</v>
      </c>
      <c r="M572" s="10"/>
      <c r="N572" s="10"/>
      <c r="O572" s="11">
        <v>0</v>
      </c>
      <c r="P572" s="10"/>
      <c r="Q572" s="10"/>
      <c r="R572" s="11">
        <v>0</v>
      </c>
      <c r="S572" s="10"/>
      <c r="T572" s="10"/>
      <c r="U572" s="11">
        <v>0</v>
      </c>
      <c r="V572" s="10"/>
      <c r="W572" s="10"/>
      <c r="X572" s="11">
        <v>0</v>
      </c>
      <c r="Y572" s="10"/>
      <c r="Z572" s="10"/>
      <c r="AA572" s="11"/>
      <c r="AB572" s="10"/>
      <c r="AC572" s="10"/>
      <c r="AD572" s="11">
        <v>0</v>
      </c>
      <c r="AE572" s="10"/>
      <c r="AF572" s="10"/>
      <c r="AG572" s="11">
        <v>0</v>
      </c>
      <c r="AH572" s="10"/>
      <c r="AI572" s="10"/>
      <c r="AJ572" s="11">
        <v>0</v>
      </c>
      <c r="AK572" s="10"/>
      <c r="AL572" s="10"/>
      <c r="AM572" s="11">
        <v>0</v>
      </c>
      <c r="AN572" s="10"/>
      <c r="AO572" s="10"/>
      <c r="AP572" s="11">
        <v>0</v>
      </c>
      <c r="AQ572" s="10"/>
      <c r="AR572" s="10"/>
      <c r="AS572" s="11">
        <v>0</v>
      </c>
      <c r="AT572" s="10"/>
      <c r="AU572" s="10"/>
      <c r="AV572" s="11">
        <v>0</v>
      </c>
      <c r="AW572" s="10"/>
      <c r="AX572" s="10"/>
      <c r="AY572" s="11">
        <v>0</v>
      </c>
      <c r="AZ572" s="10"/>
      <c r="BA572" s="10"/>
      <c r="BB572" s="11">
        <v>0</v>
      </c>
      <c r="BC572" s="10"/>
      <c r="BD572" s="10"/>
      <c r="BE572" s="11">
        <v>0</v>
      </c>
      <c r="BF572" s="10"/>
      <c r="BG572" s="10"/>
      <c r="BH572" s="11">
        <v>0</v>
      </c>
      <c r="BI572" s="10"/>
      <c r="BJ572" s="10"/>
      <c r="BK572" s="11">
        <v>0</v>
      </c>
      <c r="BL572" s="10"/>
      <c r="BM572" s="10"/>
      <c r="BN572" s="11">
        <v>0</v>
      </c>
      <c r="BO572" s="10"/>
      <c r="BP572" s="10"/>
      <c r="BQ572" s="11">
        <v>0</v>
      </c>
      <c r="BR572" s="10"/>
      <c r="BS572" s="10"/>
      <c r="BT572" s="11">
        <v>0</v>
      </c>
      <c r="BU572" s="10"/>
      <c r="BV572" s="10"/>
      <c r="BW572" s="11">
        <v>0</v>
      </c>
      <c r="BX572" s="10"/>
      <c r="BY572" s="10"/>
      <c r="BZ572" s="11">
        <v>0</v>
      </c>
      <c r="CA572" s="10"/>
      <c r="CB572" s="10"/>
      <c r="CC572" s="11">
        <v>0</v>
      </c>
      <c r="CD572" s="10"/>
      <c r="CE572" s="10"/>
      <c r="CF572" s="11">
        <v>0</v>
      </c>
      <c r="CG572" s="10"/>
      <c r="CH572" s="10"/>
      <c r="CI572" s="11">
        <v>0</v>
      </c>
      <c r="CJ572" s="10"/>
      <c r="CK572" s="10"/>
      <c r="CL572" s="11">
        <v>0</v>
      </c>
      <c r="CM572" s="10"/>
      <c r="CN572" s="10"/>
      <c r="CO572" s="11">
        <v>0</v>
      </c>
      <c r="CP572" s="10"/>
      <c r="CQ572" s="10"/>
      <c r="CR572" s="11">
        <v>0</v>
      </c>
      <c r="CS572" s="10"/>
      <c r="CT572" s="10"/>
      <c r="CU572" s="11">
        <v>0</v>
      </c>
      <c r="CV572" s="10"/>
      <c r="CW572" s="10"/>
      <c r="CX572" s="11">
        <v>0</v>
      </c>
      <c r="CY572" s="10"/>
      <c r="CZ572" s="10"/>
      <c r="DA572" s="11">
        <v>0</v>
      </c>
      <c r="DB572" s="10"/>
      <c r="DC572" s="10"/>
      <c r="DD572" s="13">
        <v>0</v>
      </c>
      <c r="DE572" s="14"/>
    </row>
    <row r="573" spans="1:109" x14ac:dyDescent="0.35">
      <c r="A573" s="8" t="s">
        <v>1209</v>
      </c>
      <c r="B573" s="9" t="s">
        <v>118</v>
      </c>
      <c r="C573" s="9" t="s">
        <v>43</v>
      </c>
      <c r="D573" s="9" t="s">
        <v>1210</v>
      </c>
      <c r="E573" s="9" t="s">
        <v>61</v>
      </c>
      <c r="F573" s="9" t="s">
        <v>62</v>
      </c>
      <c r="G573" s="10"/>
      <c r="H573" s="10"/>
      <c r="I573" s="11">
        <v>0</v>
      </c>
      <c r="J573" s="10"/>
      <c r="K573" s="10"/>
      <c r="L573" s="12">
        <v>0</v>
      </c>
      <c r="M573" s="10"/>
      <c r="N573" s="10"/>
      <c r="O573" s="11">
        <v>0</v>
      </c>
      <c r="P573" s="10"/>
      <c r="Q573" s="10"/>
      <c r="R573" s="11">
        <v>0</v>
      </c>
      <c r="S573" s="10"/>
      <c r="T573" s="10"/>
      <c r="U573" s="11">
        <v>0</v>
      </c>
      <c r="V573" s="10"/>
      <c r="W573" s="10"/>
      <c r="X573" s="11">
        <v>0</v>
      </c>
      <c r="Y573" s="10"/>
      <c r="Z573" s="10"/>
      <c r="AA573" s="11"/>
      <c r="AB573" s="10"/>
      <c r="AC573" s="10"/>
      <c r="AD573" s="11">
        <v>0</v>
      </c>
      <c r="AE573" s="10"/>
      <c r="AF573" s="10"/>
      <c r="AG573" s="11">
        <v>0</v>
      </c>
      <c r="AH573" s="10"/>
      <c r="AI573" s="10"/>
      <c r="AJ573" s="11">
        <v>0</v>
      </c>
      <c r="AK573" s="10"/>
      <c r="AL573" s="10"/>
      <c r="AM573" s="11">
        <v>0</v>
      </c>
      <c r="AN573" s="10"/>
      <c r="AO573" s="10"/>
      <c r="AP573" s="11">
        <v>0</v>
      </c>
      <c r="AQ573" s="10"/>
      <c r="AR573" s="10"/>
      <c r="AS573" s="11">
        <v>0</v>
      </c>
      <c r="AT573" s="10"/>
      <c r="AU573" s="10"/>
      <c r="AV573" s="11">
        <v>0</v>
      </c>
      <c r="AW573" s="10"/>
      <c r="AX573" s="10"/>
      <c r="AY573" s="11">
        <v>0</v>
      </c>
      <c r="AZ573" s="10"/>
      <c r="BA573" s="10"/>
      <c r="BB573" s="11">
        <v>0</v>
      </c>
      <c r="BC573" s="10"/>
      <c r="BD573" s="10"/>
      <c r="BE573" s="11">
        <v>0</v>
      </c>
      <c r="BF573" s="10"/>
      <c r="BG573" s="10"/>
      <c r="BH573" s="11">
        <v>0</v>
      </c>
      <c r="BI573" s="10"/>
      <c r="BJ573" s="10"/>
      <c r="BK573" s="11">
        <v>0</v>
      </c>
      <c r="BL573" s="10"/>
      <c r="BM573" s="10"/>
      <c r="BN573" s="11">
        <v>0</v>
      </c>
      <c r="BO573" s="10"/>
      <c r="BP573" s="10"/>
      <c r="BQ573" s="11">
        <v>0</v>
      </c>
      <c r="BR573" s="10"/>
      <c r="BS573" s="10"/>
      <c r="BT573" s="11">
        <v>0</v>
      </c>
      <c r="BU573" s="10"/>
      <c r="BV573" s="10"/>
      <c r="BW573" s="11">
        <v>0</v>
      </c>
      <c r="BX573" s="10"/>
      <c r="BY573" s="10"/>
      <c r="BZ573" s="11">
        <v>0</v>
      </c>
      <c r="CA573" s="10"/>
      <c r="CB573" s="10"/>
      <c r="CC573" s="11">
        <v>0</v>
      </c>
      <c r="CD573" s="10"/>
      <c r="CE573" s="10"/>
      <c r="CF573" s="11">
        <v>0</v>
      </c>
      <c r="CG573" s="10"/>
      <c r="CH573" s="10"/>
      <c r="CI573" s="11">
        <v>0</v>
      </c>
      <c r="CJ573" s="10"/>
      <c r="CK573" s="10"/>
      <c r="CL573" s="11">
        <v>0</v>
      </c>
      <c r="CM573" s="10"/>
      <c r="CN573" s="10"/>
      <c r="CO573" s="11">
        <v>0</v>
      </c>
      <c r="CP573" s="10"/>
      <c r="CQ573" s="10"/>
      <c r="CR573" s="11">
        <v>0</v>
      </c>
      <c r="CS573" s="10"/>
      <c r="CT573" s="10"/>
      <c r="CU573" s="11">
        <v>0</v>
      </c>
      <c r="CV573" s="10"/>
      <c r="CW573" s="10"/>
      <c r="CX573" s="11">
        <v>0</v>
      </c>
      <c r="CY573" s="10"/>
      <c r="CZ573" s="10"/>
      <c r="DA573" s="11">
        <v>0</v>
      </c>
      <c r="DB573" s="10"/>
      <c r="DC573" s="10"/>
      <c r="DD573" s="13">
        <v>0</v>
      </c>
      <c r="DE573" s="14"/>
    </row>
    <row r="574" spans="1:109" x14ac:dyDescent="0.35">
      <c r="A574" s="8" t="s">
        <v>1211</v>
      </c>
      <c r="B574" s="9" t="s">
        <v>118</v>
      </c>
      <c r="C574" s="9" t="s">
        <v>43</v>
      </c>
      <c r="D574" s="9" t="s">
        <v>1212</v>
      </c>
      <c r="E574" s="9" t="s">
        <v>61</v>
      </c>
      <c r="F574" s="9" t="s">
        <v>62</v>
      </c>
      <c r="G574" s="10"/>
      <c r="H574" s="10"/>
      <c r="I574" s="11">
        <v>0</v>
      </c>
      <c r="J574" s="10"/>
      <c r="K574" s="10"/>
      <c r="L574" s="12">
        <v>0</v>
      </c>
      <c r="M574" s="10"/>
      <c r="N574" s="10"/>
      <c r="O574" s="11">
        <v>0</v>
      </c>
      <c r="P574" s="10"/>
      <c r="Q574" s="10"/>
      <c r="R574" s="11">
        <v>0</v>
      </c>
      <c r="S574" s="10"/>
      <c r="T574" s="10"/>
      <c r="U574" s="11">
        <v>0</v>
      </c>
      <c r="V574" s="10"/>
      <c r="W574" s="10"/>
      <c r="X574" s="11">
        <v>0</v>
      </c>
      <c r="Y574" s="10"/>
      <c r="Z574" s="10"/>
      <c r="AA574" s="11"/>
      <c r="AB574" s="10"/>
      <c r="AC574" s="10"/>
      <c r="AD574" s="11">
        <v>0</v>
      </c>
      <c r="AE574" s="10"/>
      <c r="AF574" s="10"/>
      <c r="AG574" s="11">
        <v>0</v>
      </c>
      <c r="AH574" s="10"/>
      <c r="AI574" s="10"/>
      <c r="AJ574" s="11">
        <v>0</v>
      </c>
      <c r="AK574" s="10"/>
      <c r="AL574" s="10"/>
      <c r="AM574" s="11">
        <v>0</v>
      </c>
      <c r="AN574" s="10"/>
      <c r="AO574" s="10"/>
      <c r="AP574" s="11">
        <v>0</v>
      </c>
      <c r="AQ574" s="10"/>
      <c r="AR574" s="10"/>
      <c r="AS574" s="11">
        <v>0</v>
      </c>
      <c r="AT574" s="10"/>
      <c r="AU574" s="10"/>
      <c r="AV574" s="11">
        <v>0</v>
      </c>
      <c r="AW574" s="10"/>
      <c r="AX574" s="10"/>
      <c r="AY574" s="11">
        <v>0</v>
      </c>
      <c r="AZ574" s="10"/>
      <c r="BA574" s="10"/>
      <c r="BB574" s="11">
        <v>0</v>
      </c>
      <c r="BC574" s="10"/>
      <c r="BD574" s="10"/>
      <c r="BE574" s="11">
        <v>0</v>
      </c>
      <c r="BF574" s="10"/>
      <c r="BG574" s="10"/>
      <c r="BH574" s="11">
        <v>0</v>
      </c>
      <c r="BI574" s="10"/>
      <c r="BJ574" s="10"/>
      <c r="BK574" s="11">
        <v>0</v>
      </c>
      <c r="BL574" s="10"/>
      <c r="BM574" s="10"/>
      <c r="BN574" s="11">
        <v>0</v>
      </c>
      <c r="BO574" s="10"/>
      <c r="BP574" s="10"/>
      <c r="BQ574" s="11">
        <v>0</v>
      </c>
      <c r="BR574" s="10"/>
      <c r="BS574" s="10"/>
      <c r="BT574" s="11">
        <v>0</v>
      </c>
      <c r="BU574" s="10"/>
      <c r="BV574" s="10"/>
      <c r="BW574" s="11">
        <v>0</v>
      </c>
      <c r="BX574" s="10"/>
      <c r="BY574" s="10"/>
      <c r="BZ574" s="11">
        <v>0</v>
      </c>
      <c r="CA574" s="10"/>
      <c r="CB574" s="10"/>
      <c r="CC574" s="11">
        <v>0</v>
      </c>
      <c r="CD574" s="10"/>
      <c r="CE574" s="10"/>
      <c r="CF574" s="11">
        <v>0</v>
      </c>
      <c r="CG574" s="10"/>
      <c r="CH574" s="10"/>
      <c r="CI574" s="11">
        <v>0</v>
      </c>
      <c r="CJ574" s="10"/>
      <c r="CK574" s="10"/>
      <c r="CL574" s="11">
        <v>0</v>
      </c>
      <c r="CM574" s="10"/>
      <c r="CN574" s="10"/>
      <c r="CO574" s="11">
        <v>0</v>
      </c>
      <c r="CP574" s="10"/>
      <c r="CQ574" s="10"/>
      <c r="CR574" s="11">
        <v>0</v>
      </c>
      <c r="CS574" s="10"/>
      <c r="CT574" s="10"/>
      <c r="CU574" s="11">
        <v>0</v>
      </c>
      <c r="CV574" s="10"/>
      <c r="CW574" s="10"/>
      <c r="CX574" s="11">
        <v>0</v>
      </c>
      <c r="CY574" s="10"/>
      <c r="CZ574" s="10"/>
      <c r="DA574" s="11">
        <v>0</v>
      </c>
      <c r="DB574" s="10"/>
      <c r="DC574" s="10"/>
      <c r="DD574" s="13">
        <v>0</v>
      </c>
      <c r="DE574" s="14"/>
    </row>
    <row r="575" spans="1:109" x14ac:dyDescent="0.35">
      <c r="A575" s="8" t="s">
        <v>1213</v>
      </c>
      <c r="B575" s="9" t="s">
        <v>118</v>
      </c>
      <c r="C575" s="9" t="s">
        <v>43</v>
      </c>
      <c r="D575" s="9" t="s">
        <v>1214</v>
      </c>
      <c r="E575" s="9" t="s">
        <v>61</v>
      </c>
      <c r="F575" s="9" t="s">
        <v>62</v>
      </c>
      <c r="G575" s="10"/>
      <c r="H575" s="10"/>
      <c r="I575" s="11">
        <v>0</v>
      </c>
      <c r="J575" s="10"/>
      <c r="K575" s="10"/>
      <c r="L575" s="12">
        <v>0</v>
      </c>
      <c r="M575" s="10"/>
      <c r="N575" s="10"/>
      <c r="O575" s="11">
        <v>0</v>
      </c>
      <c r="P575" s="10"/>
      <c r="Q575" s="10"/>
      <c r="R575" s="11">
        <v>0</v>
      </c>
      <c r="S575" s="10"/>
      <c r="T575" s="10"/>
      <c r="U575" s="11">
        <v>0</v>
      </c>
      <c r="V575" s="10"/>
      <c r="W575" s="10"/>
      <c r="X575" s="11">
        <v>0</v>
      </c>
      <c r="Y575" s="10"/>
      <c r="Z575" s="10"/>
      <c r="AA575" s="11"/>
      <c r="AB575" s="10"/>
      <c r="AC575" s="10"/>
      <c r="AD575" s="11">
        <v>0</v>
      </c>
      <c r="AE575" s="10"/>
      <c r="AF575" s="10"/>
      <c r="AG575" s="11">
        <v>0</v>
      </c>
      <c r="AH575" s="10"/>
      <c r="AI575" s="10"/>
      <c r="AJ575" s="11">
        <v>0</v>
      </c>
      <c r="AK575" s="10"/>
      <c r="AL575" s="10"/>
      <c r="AM575" s="11">
        <v>0</v>
      </c>
      <c r="AN575" s="10"/>
      <c r="AO575" s="10"/>
      <c r="AP575" s="11">
        <v>0</v>
      </c>
      <c r="AQ575" s="10"/>
      <c r="AR575" s="10"/>
      <c r="AS575" s="11">
        <v>0</v>
      </c>
      <c r="AT575" s="10"/>
      <c r="AU575" s="10"/>
      <c r="AV575" s="11">
        <v>0</v>
      </c>
      <c r="AW575" s="10"/>
      <c r="AX575" s="10"/>
      <c r="AY575" s="11">
        <v>0</v>
      </c>
      <c r="AZ575" s="10"/>
      <c r="BA575" s="10"/>
      <c r="BB575" s="11">
        <v>0</v>
      </c>
      <c r="BC575" s="10"/>
      <c r="BD575" s="10"/>
      <c r="BE575" s="11">
        <v>0</v>
      </c>
      <c r="BF575" s="10"/>
      <c r="BG575" s="10"/>
      <c r="BH575" s="11">
        <v>0</v>
      </c>
      <c r="BI575" s="10"/>
      <c r="BJ575" s="10"/>
      <c r="BK575" s="11">
        <v>0</v>
      </c>
      <c r="BL575" s="10"/>
      <c r="BM575" s="10"/>
      <c r="BN575" s="11">
        <v>0</v>
      </c>
      <c r="BO575" s="10"/>
      <c r="BP575" s="10"/>
      <c r="BQ575" s="11">
        <v>0</v>
      </c>
      <c r="BR575" s="10"/>
      <c r="BS575" s="10"/>
      <c r="BT575" s="11">
        <v>0</v>
      </c>
      <c r="BU575" s="10"/>
      <c r="BV575" s="10"/>
      <c r="BW575" s="11">
        <v>0</v>
      </c>
      <c r="BX575" s="10"/>
      <c r="BY575" s="10"/>
      <c r="BZ575" s="11">
        <v>0</v>
      </c>
      <c r="CA575" s="10"/>
      <c r="CB575" s="10"/>
      <c r="CC575" s="11">
        <v>0</v>
      </c>
      <c r="CD575" s="10"/>
      <c r="CE575" s="10"/>
      <c r="CF575" s="11">
        <v>0</v>
      </c>
      <c r="CG575" s="10"/>
      <c r="CH575" s="10"/>
      <c r="CI575" s="11">
        <v>0</v>
      </c>
      <c r="CJ575" s="10"/>
      <c r="CK575" s="10"/>
      <c r="CL575" s="11">
        <v>0</v>
      </c>
      <c r="CM575" s="10"/>
      <c r="CN575" s="10"/>
      <c r="CO575" s="11">
        <v>0</v>
      </c>
      <c r="CP575" s="10"/>
      <c r="CQ575" s="10"/>
      <c r="CR575" s="11">
        <v>0</v>
      </c>
      <c r="CS575" s="10"/>
      <c r="CT575" s="10"/>
      <c r="CU575" s="11">
        <v>0</v>
      </c>
      <c r="CV575" s="10"/>
      <c r="CW575" s="10"/>
      <c r="CX575" s="11">
        <v>0</v>
      </c>
      <c r="CY575" s="10"/>
      <c r="CZ575" s="10"/>
      <c r="DA575" s="11">
        <v>0</v>
      </c>
      <c r="DB575" s="10"/>
      <c r="DC575" s="10"/>
      <c r="DD575" s="13">
        <v>0</v>
      </c>
      <c r="DE575" s="14"/>
    </row>
    <row r="576" spans="1:109" x14ac:dyDescent="0.35">
      <c r="A576" s="8" t="s">
        <v>1215</v>
      </c>
      <c r="B576" s="9" t="s">
        <v>42</v>
      </c>
      <c r="C576" s="9" t="s">
        <v>43</v>
      </c>
      <c r="D576" s="9" t="s">
        <v>1216</v>
      </c>
      <c r="E576" s="9" t="s">
        <v>45</v>
      </c>
      <c r="F576" s="9" t="s">
        <v>46</v>
      </c>
      <c r="G576" s="10"/>
      <c r="H576" s="10"/>
      <c r="I576" s="11">
        <v>0</v>
      </c>
      <c r="J576" s="10"/>
      <c r="K576" s="10"/>
      <c r="L576" s="12">
        <v>0</v>
      </c>
      <c r="M576" s="10"/>
      <c r="N576" s="10"/>
      <c r="O576" s="11">
        <v>0</v>
      </c>
      <c r="P576" s="10"/>
      <c r="Q576" s="10"/>
      <c r="R576" s="11">
        <v>0</v>
      </c>
      <c r="S576" s="10"/>
      <c r="T576" s="10"/>
      <c r="U576" s="11">
        <v>0</v>
      </c>
      <c r="V576" s="10"/>
      <c r="W576" s="10"/>
      <c r="X576" s="11">
        <v>0</v>
      </c>
      <c r="Y576" s="10"/>
      <c r="Z576" s="10"/>
      <c r="AA576" s="11"/>
      <c r="AB576" s="10"/>
      <c r="AC576" s="10"/>
      <c r="AD576" s="11">
        <v>0</v>
      </c>
      <c r="AE576" s="10"/>
      <c r="AF576" s="10"/>
      <c r="AG576" s="11">
        <v>0</v>
      </c>
      <c r="AH576" s="10"/>
      <c r="AI576" s="10"/>
      <c r="AJ576" s="11">
        <v>0</v>
      </c>
      <c r="AK576" s="10"/>
      <c r="AL576" s="10"/>
      <c r="AM576" s="11">
        <v>0</v>
      </c>
      <c r="AN576" s="10"/>
      <c r="AO576" s="10"/>
      <c r="AP576" s="11">
        <v>0</v>
      </c>
      <c r="AQ576" s="10"/>
      <c r="AR576" s="10"/>
      <c r="AS576" s="11">
        <v>0</v>
      </c>
      <c r="AT576" s="10"/>
      <c r="AU576" s="10"/>
      <c r="AV576" s="11">
        <v>0</v>
      </c>
      <c r="AW576" s="10"/>
      <c r="AX576" s="10"/>
      <c r="AY576" s="11">
        <v>0</v>
      </c>
      <c r="AZ576" s="10"/>
      <c r="BA576" s="10"/>
      <c r="BB576" s="11">
        <v>0</v>
      </c>
      <c r="BC576" s="10"/>
      <c r="BD576" s="10"/>
      <c r="BE576" s="11">
        <v>0</v>
      </c>
      <c r="BF576" s="10"/>
      <c r="BG576" s="10"/>
      <c r="BH576" s="11">
        <v>0</v>
      </c>
      <c r="BI576" s="10"/>
      <c r="BJ576" s="10"/>
      <c r="BK576" s="11">
        <v>0</v>
      </c>
      <c r="BL576" s="10"/>
      <c r="BM576" s="10"/>
      <c r="BN576" s="11">
        <v>0</v>
      </c>
      <c r="BO576" s="10"/>
      <c r="BP576" s="10"/>
      <c r="BQ576" s="11">
        <v>0</v>
      </c>
      <c r="BR576" s="10"/>
      <c r="BS576" s="10"/>
      <c r="BT576" s="11">
        <v>0</v>
      </c>
      <c r="BU576" s="10"/>
      <c r="BV576" s="10"/>
      <c r="BW576" s="11">
        <v>0</v>
      </c>
      <c r="BX576" s="10"/>
      <c r="BY576" s="10"/>
      <c r="BZ576" s="11">
        <v>0</v>
      </c>
      <c r="CA576" s="10"/>
      <c r="CB576" s="10"/>
      <c r="CC576" s="11">
        <v>0</v>
      </c>
      <c r="CD576" s="10"/>
      <c r="CE576" s="10"/>
      <c r="CF576" s="11">
        <v>0</v>
      </c>
      <c r="CG576" s="10"/>
      <c r="CH576" s="10"/>
      <c r="CI576" s="11">
        <v>0</v>
      </c>
      <c r="CJ576" s="10"/>
      <c r="CK576" s="10"/>
      <c r="CL576" s="11">
        <v>0</v>
      </c>
      <c r="CM576" s="10"/>
      <c r="CN576" s="10"/>
      <c r="CO576" s="11">
        <v>0</v>
      </c>
      <c r="CP576" s="10"/>
      <c r="CQ576" s="10"/>
      <c r="CR576" s="11">
        <v>0</v>
      </c>
      <c r="CS576" s="10"/>
      <c r="CT576" s="10"/>
      <c r="CU576" s="11">
        <v>0</v>
      </c>
      <c r="CV576" s="10"/>
      <c r="CW576" s="10"/>
      <c r="CX576" s="11">
        <v>0</v>
      </c>
      <c r="CY576" s="10"/>
      <c r="CZ576" s="10"/>
      <c r="DA576" s="11">
        <v>0</v>
      </c>
      <c r="DB576" s="10"/>
      <c r="DC576" s="10"/>
      <c r="DD576" s="13">
        <v>0</v>
      </c>
      <c r="DE576" s="14"/>
    </row>
    <row r="577" spans="1:109" x14ac:dyDescent="0.35">
      <c r="A577" s="8" t="s">
        <v>1217</v>
      </c>
      <c r="B577" s="9" t="s">
        <v>860</v>
      </c>
      <c r="C577" s="9" t="s">
        <v>43</v>
      </c>
      <c r="D577" s="9" t="s">
        <v>1218</v>
      </c>
      <c r="E577" s="9" t="s">
        <v>61</v>
      </c>
      <c r="F577" s="9" t="s">
        <v>62</v>
      </c>
      <c r="G577" s="10"/>
      <c r="H577" s="10"/>
      <c r="I577" s="11">
        <v>0</v>
      </c>
      <c r="J577" s="10"/>
      <c r="K577" s="10"/>
      <c r="L577" s="12">
        <v>0</v>
      </c>
      <c r="M577" s="10"/>
      <c r="N577" s="10"/>
      <c r="O577" s="11">
        <v>0</v>
      </c>
      <c r="P577" s="10"/>
      <c r="Q577" s="10"/>
      <c r="R577" s="11">
        <v>0</v>
      </c>
      <c r="S577" s="10"/>
      <c r="T577" s="10"/>
      <c r="U577" s="11">
        <v>0</v>
      </c>
      <c r="V577" s="10"/>
      <c r="W577" s="10"/>
      <c r="X577" s="11">
        <v>0</v>
      </c>
      <c r="Y577" s="10"/>
      <c r="Z577" s="10"/>
      <c r="AA577" s="11"/>
      <c r="AB577" s="10"/>
      <c r="AC577" s="10"/>
      <c r="AD577" s="11">
        <v>0</v>
      </c>
      <c r="AE577" s="10"/>
      <c r="AF577" s="10"/>
      <c r="AG577" s="11">
        <v>0</v>
      </c>
      <c r="AH577" s="10"/>
      <c r="AI577" s="10"/>
      <c r="AJ577" s="11">
        <v>0</v>
      </c>
      <c r="AK577" s="10"/>
      <c r="AL577" s="10"/>
      <c r="AM577" s="11">
        <v>0</v>
      </c>
      <c r="AN577" s="10"/>
      <c r="AO577" s="10"/>
      <c r="AP577" s="11">
        <v>0</v>
      </c>
      <c r="AQ577" s="10"/>
      <c r="AR577" s="10"/>
      <c r="AS577" s="11">
        <v>0</v>
      </c>
      <c r="AT577" s="10"/>
      <c r="AU577" s="10"/>
      <c r="AV577" s="11">
        <v>0</v>
      </c>
      <c r="AW577" s="10"/>
      <c r="AX577" s="10"/>
      <c r="AY577" s="11">
        <v>0</v>
      </c>
      <c r="AZ577" s="10"/>
      <c r="BA577" s="10"/>
      <c r="BB577" s="11">
        <v>0</v>
      </c>
      <c r="BC577" s="10"/>
      <c r="BD577" s="10"/>
      <c r="BE577" s="11">
        <v>0</v>
      </c>
      <c r="BF577" s="10"/>
      <c r="BG577" s="10"/>
      <c r="BH577" s="11">
        <v>0</v>
      </c>
      <c r="BI577" s="10"/>
      <c r="BJ577" s="10"/>
      <c r="BK577" s="11">
        <v>0</v>
      </c>
      <c r="BL577" s="10"/>
      <c r="BM577" s="10"/>
      <c r="BN577" s="11">
        <v>0</v>
      </c>
      <c r="BO577" s="10"/>
      <c r="BP577" s="10"/>
      <c r="BQ577" s="11">
        <v>0</v>
      </c>
      <c r="BR577" s="10"/>
      <c r="BS577" s="10"/>
      <c r="BT577" s="11">
        <v>0</v>
      </c>
      <c r="BU577" s="10"/>
      <c r="BV577" s="10"/>
      <c r="BW577" s="11">
        <v>0</v>
      </c>
      <c r="BX577" s="10"/>
      <c r="BY577" s="10"/>
      <c r="BZ577" s="11">
        <v>0</v>
      </c>
      <c r="CA577" s="10"/>
      <c r="CB577" s="10"/>
      <c r="CC577" s="11">
        <v>0</v>
      </c>
      <c r="CD577" s="10"/>
      <c r="CE577" s="10"/>
      <c r="CF577" s="11">
        <v>0</v>
      </c>
      <c r="CG577" s="10"/>
      <c r="CH577" s="10"/>
      <c r="CI577" s="11">
        <v>0</v>
      </c>
      <c r="CJ577" s="10"/>
      <c r="CK577" s="10"/>
      <c r="CL577" s="11">
        <v>0</v>
      </c>
      <c r="CM577" s="10"/>
      <c r="CN577" s="10"/>
      <c r="CO577" s="11">
        <v>0</v>
      </c>
      <c r="CP577" s="10"/>
      <c r="CQ577" s="10"/>
      <c r="CR577" s="11">
        <v>0</v>
      </c>
      <c r="CS577" s="10"/>
      <c r="CT577" s="10"/>
      <c r="CU577" s="11">
        <v>0</v>
      </c>
      <c r="CV577" s="10"/>
      <c r="CW577" s="10"/>
      <c r="CX577" s="11">
        <v>0</v>
      </c>
      <c r="CY577" s="10"/>
      <c r="CZ577" s="10"/>
      <c r="DA577" s="11">
        <v>0</v>
      </c>
      <c r="DB577" s="10"/>
      <c r="DC577" s="10"/>
      <c r="DD577" s="13">
        <v>0</v>
      </c>
      <c r="DE577" s="14"/>
    </row>
    <row r="578" spans="1:109" x14ac:dyDescent="0.35">
      <c r="A578" s="8" t="s">
        <v>1219</v>
      </c>
      <c r="B578" s="9" t="s">
        <v>860</v>
      </c>
      <c r="C578" s="9" t="s">
        <v>43</v>
      </c>
      <c r="D578" s="9" t="s">
        <v>1220</v>
      </c>
      <c r="E578" s="9" t="s">
        <v>61</v>
      </c>
      <c r="F578" s="9" t="s">
        <v>62</v>
      </c>
      <c r="G578" s="10"/>
      <c r="H578" s="10"/>
      <c r="I578" s="11">
        <v>0</v>
      </c>
      <c r="J578" s="10"/>
      <c r="K578" s="10"/>
      <c r="L578" s="12">
        <v>0</v>
      </c>
      <c r="M578" s="10"/>
      <c r="N578" s="10"/>
      <c r="O578" s="11">
        <v>0</v>
      </c>
      <c r="P578" s="10"/>
      <c r="Q578" s="10"/>
      <c r="R578" s="11">
        <v>0</v>
      </c>
      <c r="S578" s="10"/>
      <c r="T578" s="10"/>
      <c r="U578" s="11">
        <v>0</v>
      </c>
      <c r="V578" s="10"/>
      <c r="W578" s="10"/>
      <c r="X578" s="11">
        <v>0</v>
      </c>
      <c r="Y578" s="10"/>
      <c r="Z578" s="10"/>
      <c r="AA578" s="11"/>
      <c r="AB578" s="10"/>
      <c r="AC578" s="10"/>
      <c r="AD578" s="11">
        <v>0</v>
      </c>
      <c r="AE578" s="10"/>
      <c r="AF578" s="10"/>
      <c r="AG578" s="11">
        <v>0</v>
      </c>
      <c r="AH578" s="10"/>
      <c r="AI578" s="10"/>
      <c r="AJ578" s="11">
        <v>0</v>
      </c>
      <c r="AK578" s="10"/>
      <c r="AL578" s="10"/>
      <c r="AM578" s="11">
        <v>0</v>
      </c>
      <c r="AN578" s="10"/>
      <c r="AO578" s="10"/>
      <c r="AP578" s="11">
        <v>0</v>
      </c>
      <c r="AQ578" s="10"/>
      <c r="AR578" s="10"/>
      <c r="AS578" s="11">
        <v>0</v>
      </c>
      <c r="AT578" s="10"/>
      <c r="AU578" s="10"/>
      <c r="AV578" s="11">
        <v>0</v>
      </c>
      <c r="AW578" s="10"/>
      <c r="AX578" s="10"/>
      <c r="AY578" s="11">
        <v>0</v>
      </c>
      <c r="AZ578" s="10"/>
      <c r="BA578" s="10"/>
      <c r="BB578" s="11">
        <v>0</v>
      </c>
      <c r="BC578" s="10"/>
      <c r="BD578" s="10"/>
      <c r="BE578" s="11">
        <v>0</v>
      </c>
      <c r="BF578" s="10"/>
      <c r="BG578" s="10"/>
      <c r="BH578" s="11">
        <v>0</v>
      </c>
      <c r="BI578" s="10"/>
      <c r="BJ578" s="10"/>
      <c r="BK578" s="11">
        <v>0</v>
      </c>
      <c r="BL578" s="10"/>
      <c r="BM578" s="10"/>
      <c r="BN578" s="11">
        <v>0</v>
      </c>
      <c r="BO578" s="10"/>
      <c r="BP578" s="10"/>
      <c r="BQ578" s="11">
        <v>0</v>
      </c>
      <c r="BR578" s="10"/>
      <c r="BS578" s="10"/>
      <c r="BT578" s="11">
        <v>0</v>
      </c>
      <c r="BU578" s="10"/>
      <c r="BV578" s="10"/>
      <c r="BW578" s="11">
        <v>0</v>
      </c>
      <c r="BX578" s="10"/>
      <c r="BY578" s="10"/>
      <c r="BZ578" s="11">
        <v>0</v>
      </c>
      <c r="CA578" s="10"/>
      <c r="CB578" s="10"/>
      <c r="CC578" s="11">
        <v>0</v>
      </c>
      <c r="CD578" s="10"/>
      <c r="CE578" s="10"/>
      <c r="CF578" s="11">
        <v>0</v>
      </c>
      <c r="CG578" s="10"/>
      <c r="CH578" s="10"/>
      <c r="CI578" s="11">
        <v>0</v>
      </c>
      <c r="CJ578" s="10"/>
      <c r="CK578" s="10"/>
      <c r="CL578" s="11">
        <v>0</v>
      </c>
      <c r="CM578" s="10"/>
      <c r="CN578" s="10"/>
      <c r="CO578" s="11">
        <v>0</v>
      </c>
      <c r="CP578" s="10"/>
      <c r="CQ578" s="10"/>
      <c r="CR578" s="11">
        <v>0</v>
      </c>
      <c r="CS578" s="10"/>
      <c r="CT578" s="10"/>
      <c r="CU578" s="11">
        <v>0</v>
      </c>
      <c r="CV578" s="10"/>
      <c r="CW578" s="10"/>
      <c r="CX578" s="11">
        <v>0</v>
      </c>
      <c r="CY578" s="10"/>
      <c r="CZ578" s="10"/>
      <c r="DA578" s="11">
        <v>0</v>
      </c>
      <c r="DB578" s="10"/>
      <c r="DC578" s="10"/>
      <c r="DD578" s="13">
        <v>0</v>
      </c>
      <c r="DE578" s="14"/>
    </row>
    <row r="579" spans="1:109" x14ac:dyDescent="0.35">
      <c r="A579" s="8" t="s">
        <v>1221</v>
      </c>
      <c r="B579" s="9" t="s">
        <v>42</v>
      </c>
      <c r="C579" s="9" t="s">
        <v>43</v>
      </c>
      <c r="D579" s="9" t="s">
        <v>1222</v>
      </c>
      <c r="E579" s="9" t="s">
        <v>45</v>
      </c>
      <c r="F579" s="9" t="s">
        <v>46</v>
      </c>
      <c r="G579" s="10"/>
      <c r="H579" s="10"/>
      <c r="I579" s="11">
        <v>0</v>
      </c>
      <c r="J579" s="10"/>
      <c r="K579" s="10"/>
      <c r="L579" s="12">
        <v>0</v>
      </c>
      <c r="M579" s="10"/>
      <c r="N579" s="10"/>
      <c r="O579" s="11">
        <v>0</v>
      </c>
      <c r="P579" s="10"/>
      <c r="Q579" s="10"/>
      <c r="R579" s="11">
        <v>0</v>
      </c>
      <c r="S579" s="10"/>
      <c r="T579" s="10"/>
      <c r="U579" s="11">
        <v>0</v>
      </c>
      <c r="V579" s="10"/>
      <c r="W579" s="10"/>
      <c r="X579" s="11">
        <v>0</v>
      </c>
      <c r="Y579" s="10"/>
      <c r="Z579" s="10"/>
      <c r="AA579" s="11"/>
      <c r="AB579" s="10"/>
      <c r="AC579" s="10"/>
      <c r="AD579" s="11">
        <v>0</v>
      </c>
      <c r="AE579" s="10"/>
      <c r="AF579" s="10"/>
      <c r="AG579" s="11">
        <v>0</v>
      </c>
      <c r="AH579" s="10"/>
      <c r="AI579" s="10"/>
      <c r="AJ579" s="11">
        <v>0</v>
      </c>
      <c r="AK579" s="10"/>
      <c r="AL579" s="10"/>
      <c r="AM579" s="11">
        <v>0</v>
      </c>
      <c r="AN579" s="10"/>
      <c r="AO579" s="10"/>
      <c r="AP579" s="11">
        <v>0</v>
      </c>
      <c r="AQ579" s="10"/>
      <c r="AR579" s="10"/>
      <c r="AS579" s="11">
        <v>0</v>
      </c>
      <c r="AT579" s="10"/>
      <c r="AU579" s="10"/>
      <c r="AV579" s="11">
        <v>0</v>
      </c>
      <c r="AW579" s="10"/>
      <c r="AX579" s="10"/>
      <c r="AY579" s="11">
        <v>0</v>
      </c>
      <c r="AZ579" s="10"/>
      <c r="BA579" s="10"/>
      <c r="BB579" s="11">
        <v>0</v>
      </c>
      <c r="BC579" s="10"/>
      <c r="BD579" s="10"/>
      <c r="BE579" s="11">
        <v>0</v>
      </c>
      <c r="BF579" s="10"/>
      <c r="BG579" s="10"/>
      <c r="BH579" s="11">
        <v>0</v>
      </c>
      <c r="BI579" s="10"/>
      <c r="BJ579" s="10"/>
      <c r="BK579" s="11">
        <v>0</v>
      </c>
      <c r="BL579" s="10"/>
      <c r="BM579" s="10"/>
      <c r="BN579" s="11">
        <v>0</v>
      </c>
      <c r="BO579" s="10"/>
      <c r="BP579" s="10"/>
      <c r="BQ579" s="11">
        <v>0</v>
      </c>
      <c r="BR579" s="10"/>
      <c r="BS579" s="10"/>
      <c r="BT579" s="11">
        <v>0</v>
      </c>
      <c r="BU579" s="10"/>
      <c r="BV579" s="10"/>
      <c r="BW579" s="11">
        <v>0</v>
      </c>
      <c r="BX579" s="10"/>
      <c r="BY579" s="10"/>
      <c r="BZ579" s="11">
        <v>0</v>
      </c>
      <c r="CA579" s="10"/>
      <c r="CB579" s="10"/>
      <c r="CC579" s="11">
        <v>0</v>
      </c>
      <c r="CD579" s="10"/>
      <c r="CE579" s="10"/>
      <c r="CF579" s="11">
        <v>0</v>
      </c>
      <c r="CG579" s="10"/>
      <c r="CH579" s="10"/>
      <c r="CI579" s="11">
        <v>0</v>
      </c>
      <c r="CJ579" s="10"/>
      <c r="CK579" s="10"/>
      <c r="CL579" s="11">
        <v>0</v>
      </c>
      <c r="CM579" s="10"/>
      <c r="CN579" s="10"/>
      <c r="CO579" s="11">
        <v>0</v>
      </c>
      <c r="CP579" s="10"/>
      <c r="CQ579" s="10"/>
      <c r="CR579" s="11">
        <v>0</v>
      </c>
      <c r="CS579" s="10"/>
      <c r="CT579" s="10"/>
      <c r="CU579" s="11">
        <v>0</v>
      </c>
      <c r="CV579" s="10"/>
      <c r="CW579" s="10"/>
      <c r="CX579" s="11">
        <v>0</v>
      </c>
      <c r="CY579" s="10"/>
      <c r="CZ579" s="10"/>
      <c r="DA579" s="11">
        <v>0</v>
      </c>
      <c r="DB579" s="10"/>
      <c r="DC579" s="10"/>
      <c r="DD579" s="13">
        <v>0</v>
      </c>
      <c r="DE579" s="14"/>
    </row>
    <row r="580" spans="1:109" x14ac:dyDescent="0.35">
      <c r="A580" s="8" t="s">
        <v>1223</v>
      </c>
      <c r="B580" s="9" t="s">
        <v>42</v>
      </c>
      <c r="C580" s="9" t="s">
        <v>43</v>
      </c>
      <c r="D580" s="9" t="s">
        <v>1224</v>
      </c>
      <c r="E580" s="9" t="s">
        <v>45</v>
      </c>
      <c r="F580" s="9" t="s">
        <v>46</v>
      </c>
      <c r="G580" s="10"/>
      <c r="H580" s="10"/>
      <c r="I580" s="11">
        <v>0</v>
      </c>
      <c r="J580" s="10"/>
      <c r="K580" s="10"/>
      <c r="L580" s="12">
        <v>0</v>
      </c>
      <c r="M580" s="10"/>
      <c r="N580" s="10"/>
      <c r="O580" s="11">
        <v>0</v>
      </c>
      <c r="P580" s="10"/>
      <c r="Q580" s="10"/>
      <c r="R580" s="11">
        <v>0</v>
      </c>
      <c r="S580" s="10"/>
      <c r="T580" s="10"/>
      <c r="U580" s="11">
        <v>0</v>
      </c>
      <c r="V580" s="10"/>
      <c r="W580" s="10"/>
      <c r="X580" s="11">
        <v>0</v>
      </c>
      <c r="Y580" s="10"/>
      <c r="Z580" s="10"/>
      <c r="AA580" s="11"/>
      <c r="AB580" s="10"/>
      <c r="AC580" s="10"/>
      <c r="AD580" s="11">
        <v>0</v>
      </c>
      <c r="AE580" s="10"/>
      <c r="AF580" s="10"/>
      <c r="AG580" s="11">
        <v>0</v>
      </c>
      <c r="AH580" s="10"/>
      <c r="AI580" s="10"/>
      <c r="AJ580" s="11">
        <v>0</v>
      </c>
      <c r="AK580" s="10"/>
      <c r="AL580" s="10"/>
      <c r="AM580" s="11">
        <v>0</v>
      </c>
      <c r="AN580" s="10"/>
      <c r="AO580" s="10"/>
      <c r="AP580" s="11">
        <v>0</v>
      </c>
      <c r="AQ580" s="10"/>
      <c r="AR580" s="10"/>
      <c r="AS580" s="11">
        <v>0</v>
      </c>
      <c r="AT580" s="10"/>
      <c r="AU580" s="10"/>
      <c r="AV580" s="11">
        <v>0</v>
      </c>
      <c r="AW580" s="10"/>
      <c r="AX580" s="10"/>
      <c r="AY580" s="11">
        <v>0</v>
      </c>
      <c r="AZ580" s="10"/>
      <c r="BA580" s="10"/>
      <c r="BB580" s="11">
        <v>0</v>
      </c>
      <c r="BC580" s="10"/>
      <c r="BD580" s="10"/>
      <c r="BE580" s="11">
        <v>0</v>
      </c>
      <c r="BF580" s="10"/>
      <c r="BG580" s="10"/>
      <c r="BH580" s="11">
        <v>0</v>
      </c>
      <c r="BI580" s="10"/>
      <c r="BJ580" s="10"/>
      <c r="BK580" s="11">
        <v>0</v>
      </c>
      <c r="BL580" s="10"/>
      <c r="BM580" s="10"/>
      <c r="BN580" s="11">
        <v>0</v>
      </c>
      <c r="BO580" s="10"/>
      <c r="BP580" s="10"/>
      <c r="BQ580" s="11">
        <v>0</v>
      </c>
      <c r="BR580" s="10"/>
      <c r="BS580" s="10"/>
      <c r="BT580" s="11">
        <v>0</v>
      </c>
      <c r="BU580" s="10"/>
      <c r="BV580" s="10"/>
      <c r="BW580" s="11">
        <v>0</v>
      </c>
      <c r="BX580" s="10"/>
      <c r="BY580" s="10"/>
      <c r="BZ580" s="11">
        <v>0</v>
      </c>
      <c r="CA580" s="10"/>
      <c r="CB580" s="10"/>
      <c r="CC580" s="11">
        <v>0</v>
      </c>
      <c r="CD580" s="10"/>
      <c r="CE580" s="10"/>
      <c r="CF580" s="11">
        <v>0</v>
      </c>
      <c r="CG580" s="10"/>
      <c r="CH580" s="10"/>
      <c r="CI580" s="11">
        <v>0</v>
      </c>
      <c r="CJ580" s="10"/>
      <c r="CK580" s="10"/>
      <c r="CL580" s="11">
        <v>0</v>
      </c>
      <c r="CM580" s="10"/>
      <c r="CN580" s="10"/>
      <c r="CO580" s="11">
        <v>0</v>
      </c>
      <c r="CP580" s="10"/>
      <c r="CQ580" s="10"/>
      <c r="CR580" s="11">
        <v>0</v>
      </c>
      <c r="CS580" s="10"/>
      <c r="CT580" s="10"/>
      <c r="CU580" s="11">
        <v>0</v>
      </c>
      <c r="CV580" s="10"/>
      <c r="CW580" s="10"/>
      <c r="CX580" s="11">
        <v>0</v>
      </c>
      <c r="CY580" s="10"/>
      <c r="CZ580" s="10"/>
      <c r="DA580" s="11">
        <v>0</v>
      </c>
      <c r="DB580" s="10"/>
      <c r="DC580" s="10"/>
      <c r="DD580" s="13">
        <v>0</v>
      </c>
      <c r="DE580" s="14"/>
    </row>
    <row r="581" spans="1:109" x14ac:dyDescent="0.35">
      <c r="A581" s="8" t="s">
        <v>1225</v>
      </c>
      <c r="B581" s="9" t="s">
        <v>42</v>
      </c>
      <c r="C581" s="9" t="s">
        <v>43</v>
      </c>
      <c r="D581" s="9" t="s">
        <v>1226</v>
      </c>
      <c r="E581" s="9" t="s">
        <v>45</v>
      </c>
      <c r="F581" s="9" t="s">
        <v>46</v>
      </c>
      <c r="G581" s="10"/>
      <c r="H581" s="10"/>
      <c r="I581" s="11">
        <v>0</v>
      </c>
      <c r="J581" s="10"/>
      <c r="K581" s="10"/>
      <c r="L581" s="12">
        <v>0</v>
      </c>
      <c r="M581" s="10"/>
      <c r="N581" s="10"/>
      <c r="O581" s="11">
        <v>0</v>
      </c>
      <c r="P581" s="10"/>
      <c r="Q581" s="10"/>
      <c r="R581" s="11">
        <v>0</v>
      </c>
      <c r="S581" s="10"/>
      <c r="T581" s="10"/>
      <c r="U581" s="11">
        <v>0</v>
      </c>
      <c r="V581" s="10"/>
      <c r="W581" s="10"/>
      <c r="X581" s="11">
        <v>0</v>
      </c>
      <c r="Y581" s="10"/>
      <c r="Z581" s="10"/>
      <c r="AA581" s="11"/>
      <c r="AB581" s="10"/>
      <c r="AC581" s="10"/>
      <c r="AD581" s="11">
        <v>0</v>
      </c>
      <c r="AE581" s="10"/>
      <c r="AF581" s="10"/>
      <c r="AG581" s="11">
        <v>0</v>
      </c>
      <c r="AH581" s="10"/>
      <c r="AI581" s="10"/>
      <c r="AJ581" s="11">
        <v>0</v>
      </c>
      <c r="AK581" s="10"/>
      <c r="AL581" s="10"/>
      <c r="AM581" s="11">
        <v>0</v>
      </c>
      <c r="AN581" s="10"/>
      <c r="AO581" s="10"/>
      <c r="AP581" s="11">
        <v>0</v>
      </c>
      <c r="AQ581" s="10"/>
      <c r="AR581" s="10"/>
      <c r="AS581" s="11">
        <v>0</v>
      </c>
      <c r="AT581" s="10"/>
      <c r="AU581" s="10"/>
      <c r="AV581" s="11">
        <v>0</v>
      </c>
      <c r="AW581" s="10"/>
      <c r="AX581" s="10"/>
      <c r="AY581" s="11">
        <v>0</v>
      </c>
      <c r="AZ581" s="10"/>
      <c r="BA581" s="10"/>
      <c r="BB581" s="11">
        <v>0</v>
      </c>
      <c r="BC581" s="10"/>
      <c r="BD581" s="10"/>
      <c r="BE581" s="11">
        <v>0</v>
      </c>
      <c r="BF581" s="10"/>
      <c r="BG581" s="10"/>
      <c r="BH581" s="11">
        <v>0</v>
      </c>
      <c r="BI581" s="10"/>
      <c r="BJ581" s="10"/>
      <c r="BK581" s="11">
        <v>0</v>
      </c>
      <c r="BL581" s="10"/>
      <c r="BM581" s="10"/>
      <c r="BN581" s="11">
        <v>0</v>
      </c>
      <c r="BO581" s="10"/>
      <c r="BP581" s="10"/>
      <c r="BQ581" s="11">
        <v>0</v>
      </c>
      <c r="BR581" s="10"/>
      <c r="BS581" s="10"/>
      <c r="BT581" s="11">
        <v>0</v>
      </c>
      <c r="BU581" s="10"/>
      <c r="BV581" s="10"/>
      <c r="BW581" s="11">
        <v>0</v>
      </c>
      <c r="BX581" s="10"/>
      <c r="BY581" s="10"/>
      <c r="BZ581" s="11">
        <v>0</v>
      </c>
      <c r="CA581" s="10"/>
      <c r="CB581" s="10"/>
      <c r="CC581" s="11">
        <v>0</v>
      </c>
      <c r="CD581" s="10"/>
      <c r="CE581" s="10"/>
      <c r="CF581" s="11">
        <v>0</v>
      </c>
      <c r="CG581" s="10"/>
      <c r="CH581" s="10"/>
      <c r="CI581" s="11">
        <v>0</v>
      </c>
      <c r="CJ581" s="10"/>
      <c r="CK581" s="10"/>
      <c r="CL581" s="11">
        <v>0</v>
      </c>
      <c r="CM581" s="10"/>
      <c r="CN581" s="10"/>
      <c r="CO581" s="11">
        <v>0</v>
      </c>
      <c r="CP581" s="10"/>
      <c r="CQ581" s="10"/>
      <c r="CR581" s="11">
        <v>0</v>
      </c>
      <c r="CS581" s="10"/>
      <c r="CT581" s="10"/>
      <c r="CU581" s="11">
        <v>0</v>
      </c>
      <c r="CV581" s="10"/>
      <c r="CW581" s="10"/>
      <c r="CX581" s="11">
        <v>0</v>
      </c>
      <c r="CY581" s="10"/>
      <c r="CZ581" s="10"/>
      <c r="DA581" s="11">
        <v>0</v>
      </c>
      <c r="DB581" s="10"/>
      <c r="DC581" s="10"/>
      <c r="DD581" s="13">
        <v>0</v>
      </c>
      <c r="DE581" s="14"/>
    </row>
    <row r="582" spans="1:109" x14ac:dyDescent="0.35">
      <c r="A582" s="8" t="s">
        <v>1227</v>
      </c>
      <c r="B582" s="9" t="s">
        <v>42</v>
      </c>
      <c r="C582" s="9" t="s">
        <v>43</v>
      </c>
      <c r="D582" s="9" t="s">
        <v>1228</v>
      </c>
      <c r="E582" s="9" t="s">
        <v>45</v>
      </c>
      <c r="F582" s="9" t="s">
        <v>46</v>
      </c>
      <c r="G582" s="10"/>
      <c r="H582" s="10"/>
      <c r="I582" s="11">
        <v>0</v>
      </c>
      <c r="J582" s="10"/>
      <c r="K582" s="10"/>
      <c r="L582" s="12">
        <v>0</v>
      </c>
      <c r="M582" s="10"/>
      <c r="N582" s="10"/>
      <c r="O582" s="11">
        <v>0</v>
      </c>
      <c r="P582" s="10"/>
      <c r="Q582" s="10"/>
      <c r="R582" s="11">
        <v>0</v>
      </c>
      <c r="S582" s="10"/>
      <c r="T582" s="10"/>
      <c r="U582" s="11">
        <v>0</v>
      </c>
      <c r="V582" s="10"/>
      <c r="W582" s="10"/>
      <c r="X582" s="11">
        <v>0</v>
      </c>
      <c r="Y582" s="10"/>
      <c r="Z582" s="10"/>
      <c r="AA582" s="11"/>
      <c r="AB582" s="10"/>
      <c r="AC582" s="10"/>
      <c r="AD582" s="11">
        <v>0</v>
      </c>
      <c r="AE582" s="10"/>
      <c r="AF582" s="10"/>
      <c r="AG582" s="11">
        <v>0</v>
      </c>
      <c r="AH582" s="10"/>
      <c r="AI582" s="10"/>
      <c r="AJ582" s="11">
        <v>0</v>
      </c>
      <c r="AK582" s="10"/>
      <c r="AL582" s="10"/>
      <c r="AM582" s="11">
        <v>0</v>
      </c>
      <c r="AN582" s="10"/>
      <c r="AO582" s="10"/>
      <c r="AP582" s="11">
        <v>0</v>
      </c>
      <c r="AQ582" s="10"/>
      <c r="AR582" s="10"/>
      <c r="AS582" s="11">
        <v>0</v>
      </c>
      <c r="AT582" s="10"/>
      <c r="AU582" s="10"/>
      <c r="AV582" s="11">
        <v>0</v>
      </c>
      <c r="AW582" s="10"/>
      <c r="AX582" s="10"/>
      <c r="AY582" s="11">
        <v>0</v>
      </c>
      <c r="AZ582" s="10"/>
      <c r="BA582" s="10"/>
      <c r="BB582" s="11">
        <v>0</v>
      </c>
      <c r="BC582" s="10"/>
      <c r="BD582" s="10"/>
      <c r="BE582" s="11">
        <v>0</v>
      </c>
      <c r="BF582" s="10"/>
      <c r="BG582" s="10"/>
      <c r="BH582" s="11">
        <v>0</v>
      </c>
      <c r="BI582" s="10"/>
      <c r="BJ582" s="10"/>
      <c r="BK582" s="11">
        <v>0</v>
      </c>
      <c r="BL582" s="10"/>
      <c r="BM582" s="10"/>
      <c r="BN582" s="11">
        <v>0</v>
      </c>
      <c r="BO582" s="10"/>
      <c r="BP582" s="10"/>
      <c r="BQ582" s="11">
        <v>0</v>
      </c>
      <c r="BR582" s="10"/>
      <c r="BS582" s="10"/>
      <c r="BT582" s="11">
        <v>0</v>
      </c>
      <c r="BU582" s="10"/>
      <c r="BV582" s="10"/>
      <c r="BW582" s="11">
        <v>0</v>
      </c>
      <c r="BX582" s="10"/>
      <c r="BY582" s="10"/>
      <c r="BZ582" s="11">
        <v>0</v>
      </c>
      <c r="CA582" s="10"/>
      <c r="CB582" s="10"/>
      <c r="CC582" s="11">
        <v>0</v>
      </c>
      <c r="CD582" s="10"/>
      <c r="CE582" s="10"/>
      <c r="CF582" s="11">
        <v>0</v>
      </c>
      <c r="CG582" s="10"/>
      <c r="CH582" s="10"/>
      <c r="CI582" s="11">
        <v>0</v>
      </c>
      <c r="CJ582" s="10"/>
      <c r="CK582" s="10"/>
      <c r="CL582" s="11">
        <v>0</v>
      </c>
      <c r="CM582" s="10"/>
      <c r="CN582" s="10"/>
      <c r="CO582" s="11">
        <v>0</v>
      </c>
      <c r="CP582" s="10"/>
      <c r="CQ582" s="10"/>
      <c r="CR582" s="11">
        <v>0</v>
      </c>
      <c r="CS582" s="10"/>
      <c r="CT582" s="10"/>
      <c r="CU582" s="11">
        <v>0</v>
      </c>
      <c r="CV582" s="10"/>
      <c r="CW582" s="10"/>
      <c r="CX582" s="11">
        <v>0</v>
      </c>
      <c r="CY582" s="10"/>
      <c r="CZ582" s="10"/>
      <c r="DA582" s="11">
        <v>0</v>
      </c>
      <c r="DB582" s="10"/>
      <c r="DC582" s="10"/>
      <c r="DD582" s="13">
        <v>0</v>
      </c>
      <c r="DE582" s="14"/>
    </row>
    <row r="583" spans="1:109" x14ac:dyDescent="0.35">
      <c r="A583" s="8" t="s">
        <v>1229</v>
      </c>
      <c r="B583" s="9" t="s">
        <v>860</v>
      </c>
      <c r="C583" s="9" t="s">
        <v>43</v>
      </c>
      <c r="D583" s="9" t="s">
        <v>448</v>
      </c>
      <c r="E583" s="9" t="s">
        <v>45</v>
      </c>
      <c r="F583" s="9" t="s">
        <v>46</v>
      </c>
      <c r="G583" s="10"/>
      <c r="H583" s="10"/>
      <c r="I583" s="11">
        <v>0</v>
      </c>
      <c r="J583" s="10"/>
      <c r="K583" s="10"/>
      <c r="L583" s="12">
        <v>0</v>
      </c>
      <c r="M583" s="10"/>
      <c r="N583" s="10"/>
      <c r="O583" s="11">
        <v>0</v>
      </c>
      <c r="P583" s="10"/>
      <c r="Q583" s="10"/>
      <c r="R583" s="11">
        <v>0</v>
      </c>
      <c r="S583" s="10"/>
      <c r="T583" s="10"/>
      <c r="U583" s="11">
        <v>0</v>
      </c>
      <c r="V583" s="10"/>
      <c r="W583" s="10"/>
      <c r="X583" s="11">
        <v>0</v>
      </c>
      <c r="Y583" s="10"/>
      <c r="Z583" s="10"/>
      <c r="AA583" s="11"/>
      <c r="AB583" s="10"/>
      <c r="AC583" s="10"/>
      <c r="AD583" s="11">
        <v>0</v>
      </c>
      <c r="AE583" s="10"/>
      <c r="AF583" s="10"/>
      <c r="AG583" s="11">
        <v>0</v>
      </c>
      <c r="AH583" s="10"/>
      <c r="AI583" s="10"/>
      <c r="AJ583" s="11">
        <v>0</v>
      </c>
      <c r="AK583" s="10"/>
      <c r="AL583" s="10"/>
      <c r="AM583" s="11">
        <v>0</v>
      </c>
      <c r="AN583" s="10"/>
      <c r="AO583" s="10"/>
      <c r="AP583" s="11">
        <v>0</v>
      </c>
      <c r="AQ583" s="10"/>
      <c r="AR583" s="10"/>
      <c r="AS583" s="11">
        <v>0</v>
      </c>
      <c r="AT583" s="10"/>
      <c r="AU583" s="10"/>
      <c r="AV583" s="11">
        <v>0</v>
      </c>
      <c r="AW583" s="10"/>
      <c r="AX583" s="10"/>
      <c r="AY583" s="11">
        <v>0</v>
      </c>
      <c r="AZ583" s="10"/>
      <c r="BA583" s="10"/>
      <c r="BB583" s="11">
        <v>0</v>
      </c>
      <c r="BC583" s="10"/>
      <c r="BD583" s="10"/>
      <c r="BE583" s="11">
        <v>0</v>
      </c>
      <c r="BF583" s="10"/>
      <c r="BG583" s="10"/>
      <c r="BH583" s="11">
        <v>0</v>
      </c>
      <c r="BI583" s="10"/>
      <c r="BJ583" s="10"/>
      <c r="BK583" s="11">
        <v>0</v>
      </c>
      <c r="BL583" s="10"/>
      <c r="BM583" s="10"/>
      <c r="BN583" s="11">
        <v>0</v>
      </c>
      <c r="BO583" s="10"/>
      <c r="BP583" s="10"/>
      <c r="BQ583" s="11">
        <v>0</v>
      </c>
      <c r="BR583" s="10"/>
      <c r="BS583" s="10"/>
      <c r="BT583" s="11">
        <v>0</v>
      </c>
      <c r="BU583" s="10"/>
      <c r="BV583" s="10"/>
      <c r="BW583" s="11">
        <v>0</v>
      </c>
      <c r="BX583" s="10"/>
      <c r="BY583" s="10"/>
      <c r="BZ583" s="11">
        <v>0</v>
      </c>
      <c r="CA583" s="10"/>
      <c r="CB583" s="10"/>
      <c r="CC583" s="11">
        <v>0</v>
      </c>
      <c r="CD583" s="10"/>
      <c r="CE583" s="10"/>
      <c r="CF583" s="11">
        <v>0</v>
      </c>
      <c r="CG583" s="10"/>
      <c r="CH583" s="10"/>
      <c r="CI583" s="11">
        <v>0</v>
      </c>
      <c r="CJ583" s="10"/>
      <c r="CK583" s="10"/>
      <c r="CL583" s="11">
        <v>0</v>
      </c>
      <c r="CM583" s="10"/>
      <c r="CN583" s="10"/>
      <c r="CO583" s="11">
        <v>0</v>
      </c>
      <c r="CP583" s="10"/>
      <c r="CQ583" s="10"/>
      <c r="CR583" s="11">
        <v>0</v>
      </c>
      <c r="CS583" s="10"/>
      <c r="CT583" s="10"/>
      <c r="CU583" s="11">
        <v>0</v>
      </c>
      <c r="CV583" s="10"/>
      <c r="CW583" s="10"/>
      <c r="CX583" s="11">
        <v>0</v>
      </c>
      <c r="CY583" s="10"/>
      <c r="CZ583" s="10"/>
      <c r="DA583" s="11">
        <v>0</v>
      </c>
      <c r="DB583" s="10"/>
      <c r="DC583" s="10"/>
      <c r="DD583" s="13">
        <v>0</v>
      </c>
      <c r="DE583" s="14"/>
    </row>
    <row r="584" spans="1:109" x14ac:dyDescent="0.35">
      <c r="A584" s="8" t="s">
        <v>1230</v>
      </c>
      <c r="B584" s="9" t="s">
        <v>42</v>
      </c>
      <c r="C584" s="9" t="s">
        <v>43</v>
      </c>
      <c r="D584" s="9" t="s">
        <v>1231</v>
      </c>
      <c r="E584" s="9" t="s">
        <v>45</v>
      </c>
      <c r="F584" s="9" t="s">
        <v>46</v>
      </c>
      <c r="G584" s="10"/>
      <c r="H584" s="10"/>
      <c r="I584" s="11">
        <v>0</v>
      </c>
      <c r="J584" s="10"/>
      <c r="K584" s="10"/>
      <c r="L584" s="12">
        <v>0</v>
      </c>
      <c r="M584" s="10"/>
      <c r="N584" s="10"/>
      <c r="O584" s="11">
        <v>0</v>
      </c>
      <c r="P584" s="10"/>
      <c r="Q584" s="10"/>
      <c r="R584" s="11">
        <v>0</v>
      </c>
      <c r="S584" s="10"/>
      <c r="T584" s="10"/>
      <c r="U584" s="11">
        <v>0</v>
      </c>
      <c r="V584" s="10"/>
      <c r="W584" s="10"/>
      <c r="X584" s="11">
        <v>0</v>
      </c>
      <c r="Y584" s="10"/>
      <c r="Z584" s="10"/>
      <c r="AA584" s="11"/>
      <c r="AB584" s="10"/>
      <c r="AC584" s="10"/>
      <c r="AD584" s="11">
        <v>0</v>
      </c>
      <c r="AE584" s="10"/>
      <c r="AF584" s="10"/>
      <c r="AG584" s="11">
        <v>0</v>
      </c>
      <c r="AH584" s="10"/>
      <c r="AI584" s="10"/>
      <c r="AJ584" s="11">
        <v>0</v>
      </c>
      <c r="AK584" s="10"/>
      <c r="AL584" s="10"/>
      <c r="AM584" s="11">
        <v>0</v>
      </c>
      <c r="AN584" s="10"/>
      <c r="AO584" s="10"/>
      <c r="AP584" s="11">
        <v>0</v>
      </c>
      <c r="AQ584" s="10"/>
      <c r="AR584" s="10"/>
      <c r="AS584" s="11">
        <v>0</v>
      </c>
      <c r="AT584" s="10"/>
      <c r="AU584" s="10"/>
      <c r="AV584" s="11">
        <v>0</v>
      </c>
      <c r="AW584" s="10"/>
      <c r="AX584" s="10"/>
      <c r="AY584" s="11">
        <v>0</v>
      </c>
      <c r="AZ584" s="10"/>
      <c r="BA584" s="10"/>
      <c r="BB584" s="11">
        <v>0</v>
      </c>
      <c r="BC584" s="10"/>
      <c r="BD584" s="10"/>
      <c r="BE584" s="11">
        <v>0</v>
      </c>
      <c r="BF584" s="10"/>
      <c r="BG584" s="10"/>
      <c r="BH584" s="11">
        <v>0</v>
      </c>
      <c r="BI584" s="10"/>
      <c r="BJ584" s="10"/>
      <c r="BK584" s="11">
        <v>0</v>
      </c>
      <c r="BL584" s="10"/>
      <c r="BM584" s="10"/>
      <c r="BN584" s="11">
        <v>0</v>
      </c>
      <c r="BO584" s="10"/>
      <c r="BP584" s="10"/>
      <c r="BQ584" s="11">
        <v>0</v>
      </c>
      <c r="BR584" s="10"/>
      <c r="BS584" s="10"/>
      <c r="BT584" s="11">
        <v>0</v>
      </c>
      <c r="BU584" s="10"/>
      <c r="BV584" s="10"/>
      <c r="BW584" s="11">
        <v>0</v>
      </c>
      <c r="BX584" s="10"/>
      <c r="BY584" s="10"/>
      <c r="BZ584" s="11">
        <v>0</v>
      </c>
      <c r="CA584" s="10"/>
      <c r="CB584" s="10"/>
      <c r="CC584" s="11">
        <v>0</v>
      </c>
      <c r="CD584" s="10"/>
      <c r="CE584" s="10"/>
      <c r="CF584" s="11">
        <v>0</v>
      </c>
      <c r="CG584" s="10"/>
      <c r="CH584" s="10"/>
      <c r="CI584" s="11">
        <v>0</v>
      </c>
      <c r="CJ584" s="10"/>
      <c r="CK584" s="10"/>
      <c r="CL584" s="11">
        <v>0</v>
      </c>
      <c r="CM584" s="10"/>
      <c r="CN584" s="10"/>
      <c r="CO584" s="11">
        <v>0</v>
      </c>
      <c r="CP584" s="10"/>
      <c r="CQ584" s="10"/>
      <c r="CR584" s="11">
        <v>0</v>
      </c>
      <c r="CS584" s="10"/>
      <c r="CT584" s="10"/>
      <c r="CU584" s="11">
        <v>0</v>
      </c>
      <c r="CV584" s="10"/>
      <c r="CW584" s="10"/>
      <c r="CX584" s="11">
        <v>0</v>
      </c>
      <c r="CY584" s="10"/>
      <c r="CZ584" s="10"/>
      <c r="DA584" s="11">
        <v>0</v>
      </c>
      <c r="DB584" s="10"/>
      <c r="DC584" s="10"/>
      <c r="DD584" s="13">
        <v>0</v>
      </c>
      <c r="DE584" s="14"/>
    </row>
    <row r="585" spans="1:109" x14ac:dyDescent="0.35">
      <c r="A585" s="8" t="s">
        <v>1232</v>
      </c>
      <c r="B585" s="9" t="s">
        <v>48</v>
      </c>
      <c r="C585" s="9" t="s">
        <v>43</v>
      </c>
      <c r="D585" s="9" t="s">
        <v>1233</v>
      </c>
      <c r="E585" s="9" t="s">
        <v>45</v>
      </c>
      <c r="F585" s="9" t="s">
        <v>46</v>
      </c>
      <c r="G585" s="10"/>
      <c r="H585" s="10"/>
      <c r="I585" s="11">
        <v>0</v>
      </c>
      <c r="J585" s="10"/>
      <c r="K585" s="10"/>
      <c r="L585" s="12">
        <v>0</v>
      </c>
      <c r="M585" s="10"/>
      <c r="N585" s="10"/>
      <c r="O585" s="11">
        <v>0</v>
      </c>
      <c r="P585" s="10"/>
      <c r="Q585" s="10"/>
      <c r="R585" s="11">
        <v>0</v>
      </c>
      <c r="S585" s="10"/>
      <c r="T585" s="10"/>
      <c r="U585" s="11">
        <v>0</v>
      </c>
      <c r="V585" s="10"/>
      <c r="W585" s="10"/>
      <c r="X585" s="11">
        <v>0</v>
      </c>
      <c r="Y585" s="10"/>
      <c r="Z585" s="10"/>
      <c r="AA585" s="11"/>
      <c r="AB585" s="10"/>
      <c r="AC585" s="10"/>
      <c r="AD585" s="11">
        <v>0</v>
      </c>
      <c r="AE585" s="10"/>
      <c r="AF585" s="10"/>
      <c r="AG585" s="11">
        <v>0</v>
      </c>
      <c r="AH585" s="10"/>
      <c r="AI585" s="10"/>
      <c r="AJ585" s="11">
        <v>0</v>
      </c>
      <c r="AK585" s="10"/>
      <c r="AL585" s="10"/>
      <c r="AM585" s="11">
        <v>0</v>
      </c>
      <c r="AN585" s="10"/>
      <c r="AO585" s="10"/>
      <c r="AP585" s="11">
        <v>0</v>
      </c>
      <c r="AQ585" s="10"/>
      <c r="AR585" s="10"/>
      <c r="AS585" s="11">
        <v>0</v>
      </c>
      <c r="AT585" s="10"/>
      <c r="AU585" s="10"/>
      <c r="AV585" s="11">
        <v>0</v>
      </c>
      <c r="AW585" s="10"/>
      <c r="AX585" s="10"/>
      <c r="AY585" s="11">
        <v>0</v>
      </c>
      <c r="AZ585" s="10"/>
      <c r="BA585" s="10"/>
      <c r="BB585" s="11">
        <v>0</v>
      </c>
      <c r="BC585" s="10"/>
      <c r="BD585" s="10"/>
      <c r="BE585" s="11">
        <v>0</v>
      </c>
      <c r="BF585" s="10"/>
      <c r="BG585" s="10"/>
      <c r="BH585" s="11">
        <v>0</v>
      </c>
      <c r="BI585" s="10"/>
      <c r="BJ585" s="10"/>
      <c r="BK585" s="11">
        <v>0</v>
      </c>
      <c r="BL585" s="10"/>
      <c r="BM585" s="10"/>
      <c r="BN585" s="11">
        <v>0</v>
      </c>
      <c r="BO585" s="10"/>
      <c r="BP585" s="10"/>
      <c r="BQ585" s="11">
        <v>0</v>
      </c>
      <c r="BR585" s="10"/>
      <c r="BS585" s="10"/>
      <c r="BT585" s="11">
        <v>0</v>
      </c>
      <c r="BU585" s="10"/>
      <c r="BV585" s="10"/>
      <c r="BW585" s="11">
        <v>0</v>
      </c>
      <c r="BX585" s="10"/>
      <c r="BY585" s="10"/>
      <c r="BZ585" s="11">
        <v>0</v>
      </c>
      <c r="CA585" s="10"/>
      <c r="CB585" s="10"/>
      <c r="CC585" s="11">
        <v>0</v>
      </c>
      <c r="CD585" s="10"/>
      <c r="CE585" s="10"/>
      <c r="CF585" s="11">
        <v>0</v>
      </c>
      <c r="CG585" s="10"/>
      <c r="CH585" s="10"/>
      <c r="CI585" s="11">
        <v>0</v>
      </c>
      <c r="CJ585" s="10"/>
      <c r="CK585" s="10"/>
      <c r="CL585" s="11">
        <v>0</v>
      </c>
      <c r="CM585" s="10"/>
      <c r="CN585" s="10"/>
      <c r="CO585" s="11">
        <v>0</v>
      </c>
      <c r="CP585" s="10"/>
      <c r="CQ585" s="10"/>
      <c r="CR585" s="11">
        <v>0</v>
      </c>
      <c r="CS585" s="10"/>
      <c r="CT585" s="10"/>
      <c r="CU585" s="11">
        <v>0</v>
      </c>
      <c r="CV585" s="10"/>
      <c r="CW585" s="10"/>
      <c r="CX585" s="11">
        <v>0</v>
      </c>
      <c r="CY585" s="10"/>
      <c r="CZ585" s="10"/>
      <c r="DA585" s="11">
        <v>0</v>
      </c>
      <c r="DB585" s="10"/>
      <c r="DC585" s="10"/>
      <c r="DD585" s="13">
        <v>0</v>
      </c>
      <c r="DE585" s="14"/>
    </row>
    <row r="586" spans="1:109" x14ac:dyDescent="0.35">
      <c r="A586" s="8" t="s">
        <v>1234</v>
      </c>
      <c r="B586" s="9" t="s">
        <v>140</v>
      </c>
      <c r="C586" s="9" t="s">
        <v>43</v>
      </c>
      <c r="D586" s="9" t="s">
        <v>1235</v>
      </c>
      <c r="E586" s="9" t="s">
        <v>45</v>
      </c>
      <c r="F586" s="9" t="s">
        <v>46</v>
      </c>
      <c r="G586" s="10"/>
      <c r="H586" s="10"/>
      <c r="I586" s="11">
        <v>0</v>
      </c>
      <c r="J586" s="10"/>
      <c r="K586" s="10"/>
      <c r="L586" s="12">
        <v>0</v>
      </c>
      <c r="M586" s="10"/>
      <c r="N586" s="10"/>
      <c r="O586" s="11">
        <v>0</v>
      </c>
      <c r="P586" s="10"/>
      <c r="Q586" s="10"/>
      <c r="R586" s="11">
        <v>0</v>
      </c>
      <c r="S586" s="10"/>
      <c r="T586" s="10"/>
      <c r="U586" s="11">
        <v>0</v>
      </c>
      <c r="V586" s="10"/>
      <c r="W586" s="10"/>
      <c r="X586" s="11">
        <v>0</v>
      </c>
      <c r="Y586" s="10"/>
      <c r="Z586" s="10"/>
      <c r="AA586" s="11"/>
      <c r="AB586" s="10"/>
      <c r="AC586" s="10"/>
      <c r="AD586" s="11">
        <v>0</v>
      </c>
      <c r="AE586" s="10"/>
      <c r="AF586" s="10"/>
      <c r="AG586" s="11">
        <v>0</v>
      </c>
      <c r="AH586" s="10"/>
      <c r="AI586" s="10"/>
      <c r="AJ586" s="11">
        <v>0</v>
      </c>
      <c r="AK586" s="10"/>
      <c r="AL586" s="10"/>
      <c r="AM586" s="11">
        <v>0</v>
      </c>
      <c r="AN586" s="10"/>
      <c r="AO586" s="10"/>
      <c r="AP586" s="11">
        <v>0</v>
      </c>
      <c r="AQ586" s="10"/>
      <c r="AR586" s="10"/>
      <c r="AS586" s="11">
        <v>0</v>
      </c>
      <c r="AT586" s="10"/>
      <c r="AU586" s="10"/>
      <c r="AV586" s="11">
        <v>0</v>
      </c>
      <c r="AW586" s="10"/>
      <c r="AX586" s="10"/>
      <c r="AY586" s="11">
        <v>0</v>
      </c>
      <c r="AZ586" s="10"/>
      <c r="BA586" s="10"/>
      <c r="BB586" s="11">
        <v>0</v>
      </c>
      <c r="BC586" s="10"/>
      <c r="BD586" s="10"/>
      <c r="BE586" s="11">
        <v>0</v>
      </c>
      <c r="BF586" s="10"/>
      <c r="BG586" s="10"/>
      <c r="BH586" s="11">
        <v>0</v>
      </c>
      <c r="BI586" s="10"/>
      <c r="BJ586" s="10"/>
      <c r="BK586" s="11">
        <v>0</v>
      </c>
      <c r="BL586" s="10"/>
      <c r="BM586" s="10"/>
      <c r="BN586" s="11">
        <v>0</v>
      </c>
      <c r="BO586" s="10"/>
      <c r="BP586" s="10"/>
      <c r="BQ586" s="11">
        <v>0</v>
      </c>
      <c r="BR586" s="10"/>
      <c r="BS586" s="10"/>
      <c r="BT586" s="11">
        <v>0</v>
      </c>
      <c r="BU586" s="10"/>
      <c r="BV586" s="10"/>
      <c r="BW586" s="11">
        <v>0</v>
      </c>
      <c r="BX586" s="10"/>
      <c r="BY586" s="10"/>
      <c r="BZ586" s="11">
        <v>0</v>
      </c>
      <c r="CA586" s="10"/>
      <c r="CB586" s="10"/>
      <c r="CC586" s="11">
        <v>0</v>
      </c>
      <c r="CD586" s="10"/>
      <c r="CE586" s="10"/>
      <c r="CF586" s="11">
        <v>0</v>
      </c>
      <c r="CG586" s="10"/>
      <c r="CH586" s="10"/>
      <c r="CI586" s="11">
        <v>0</v>
      </c>
      <c r="CJ586" s="10"/>
      <c r="CK586" s="10"/>
      <c r="CL586" s="11">
        <v>0</v>
      </c>
      <c r="CM586" s="10"/>
      <c r="CN586" s="10"/>
      <c r="CO586" s="11">
        <v>0</v>
      </c>
      <c r="CP586" s="10"/>
      <c r="CQ586" s="10"/>
      <c r="CR586" s="11">
        <v>0</v>
      </c>
      <c r="CS586" s="10"/>
      <c r="CT586" s="10"/>
      <c r="CU586" s="11">
        <v>0</v>
      </c>
      <c r="CV586" s="10"/>
      <c r="CW586" s="10"/>
      <c r="CX586" s="11">
        <v>0</v>
      </c>
      <c r="CY586" s="10"/>
      <c r="CZ586" s="10"/>
      <c r="DA586" s="11">
        <v>0</v>
      </c>
      <c r="DB586" s="10"/>
      <c r="DC586" s="10"/>
      <c r="DD586" s="13">
        <v>0</v>
      </c>
      <c r="DE586" s="14"/>
    </row>
    <row r="587" spans="1:109" x14ac:dyDescent="0.35">
      <c r="A587" s="8" t="s">
        <v>1236</v>
      </c>
      <c r="B587" s="9" t="s">
        <v>48</v>
      </c>
      <c r="C587" s="9" t="s">
        <v>43</v>
      </c>
      <c r="D587" s="9" t="s">
        <v>1237</v>
      </c>
      <c r="E587" s="9" t="s">
        <v>45</v>
      </c>
      <c r="F587" s="9" t="s">
        <v>46</v>
      </c>
      <c r="G587" s="10"/>
      <c r="H587" s="10"/>
      <c r="I587" s="11">
        <v>0</v>
      </c>
      <c r="J587" s="10"/>
      <c r="K587" s="10"/>
      <c r="L587" s="12">
        <v>0</v>
      </c>
      <c r="M587" s="10"/>
      <c r="N587" s="10"/>
      <c r="O587" s="11">
        <v>0</v>
      </c>
      <c r="P587" s="10"/>
      <c r="Q587" s="10"/>
      <c r="R587" s="11">
        <v>0</v>
      </c>
      <c r="S587" s="10"/>
      <c r="T587" s="10"/>
      <c r="U587" s="11">
        <v>0</v>
      </c>
      <c r="V587" s="10"/>
      <c r="W587" s="10"/>
      <c r="X587" s="11">
        <v>0</v>
      </c>
      <c r="Y587" s="10"/>
      <c r="Z587" s="10"/>
      <c r="AA587" s="11"/>
      <c r="AB587" s="10"/>
      <c r="AC587" s="10"/>
      <c r="AD587" s="11">
        <v>0</v>
      </c>
      <c r="AE587" s="10"/>
      <c r="AF587" s="10"/>
      <c r="AG587" s="11">
        <v>0</v>
      </c>
      <c r="AH587" s="10"/>
      <c r="AI587" s="10"/>
      <c r="AJ587" s="11">
        <v>0</v>
      </c>
      <c r="AK587" s="10"/>
      <c r="AL587" s="10"/>
      <c r="AM587" s="11">
        <v>0</v>
      </c>
      <c r="AN587" s="10"/>
      <c r="AO587" s="10"/>
      <c r="AP587" s="11">
        <v>0</v>
      </c>
      <c r="AQ587" s="10"/>
      <c r="AR587" s="10"/>
      <c r="AS587" s="11">
        <v>0</v>
      </c>
      <c r="AT587" s="10"/>
      <c r="AU587" s="10"/>
      <c r="AV587" s="11">
        <v>0</v>
      </c>
      <c r="AW587" s="10"/>
      <c r="AX587" s="10"/>
      <c r="AY587" s="11">
        <v>0</v>
      </c>
      <c r="AZ587" s="10"/>
      <c r="BA587" s="10"/>
      <c r="BB587" s="11">
        <v>0</v>
      </c>
      <c r="BC587" s="10"/>
      <c r="BD587" s="10"/>
      <c r="BE587" s="11">
        <v>0</v>
      </c>
      <c r="BF587" s="10"/>
      <c r="BG587" s="10"/>
      <c r="BH587" s="11">
        <v>0</v>
      </c>
      <c r="BI587" s="10"/>
      <c r="BJ587" s="10"/>
      <c r="BK587" s="11">
        <v>0</v>
      </c>
      <c r="BL587" s="10"/>
      <c r="BM587" s="10"/>
      <c r="BN587" s="11">
        <v>0</v>
      </c>
      <c r="BO587" s="10"/>
      <c r="BP587" s="10"/>
      <c r="BQ587" s="11">
        <v>0</v>
      </c>
      <c r="BR587" s="10"/>
      <c r="BS587" s="10"/>
      <c r="BT587" s="11">
        <v>0</v>
      </c>
      <c r="BU587" s="10"/>
      <c r="BV587" s="10"/>
      <c r="BW587" s="11">
        <v>0</v>
      </c>
      <c r="BX587" s="10"/>
      <c r="BY587" s="10"/>
      <c r="BZ587" s="11">
        <v>0</v>
      </c>
      <c r="CA587" s="10"/>
      <c r="CB587" s="10"/>
      <c r="CC587" s="11">
        <v>0</v>
      </c>
      <c r="CD587" s="10"/>
      <c r="CE587" s="10"/>
      <c r="CF587" s="11">
        <v>0</v>
      </c>
      <c r="CG587" s="10"/>
      <c r="CH587" s="10"/>
      <c r="CI587" s="11">
        <v>0</v>
      </c>
      <c r="CJ587" s="10"/>
      <c r="CK587" s="10"/>
      <c r="CL587" s="11">
        <v>0</v>
      </c>
      <c r="CM587" s="10"/>
      <c r="CN587" s="10"/>
      <c r="CO587" s="11">
        <v>0</v>
      </c>
      <c r="CP587" s="10"/>
      <c r="CQ587" s="10"/>
      <c r="CR587" s="11">
        <v>0</v>
      </c>
      <c r="CS587" s="10"/>
      <c r="CT587" s="10"/>
      <c r="CU587" s="11">
        <v>0</v>
      </c>
      <c r="CV587" s="10"/>
      <c r="CW587" s="10"/>
      <c r="CX587" s="11">
        <v>0</v>
      </c>
      <c r="CY587" s="10"/>
      <c r="CZ587" s="10"/>
      <c r="DA587" s="11">
        <v>0</v>
      </c>
      <c r="DB587" s="10"/>
      <c r="DC587" s="10"/>
      <c r="DD587" s="13">
        <v>0</v>
      </c>
      <c r="DE587" s="14"/>
    </row>
    <row r="588" spans="1:109" x14ac:dyDescent="0.35">
      <c r="A588" s="8" t="s">
        <v>1238</v>
      </c>
      <c r="B588" s="9" t="s">
        <v>140</v>
      </c>
      <c r="C588" s="9" t="s">
        <v>43</v>
      </c>
      <c r="D588" s="9" t="s">
        <v>1239</v>
      </c>
      <c r="E588" s="9" t="s">
        <v>45</v>
      </c>
      <c r="F588" s="9" t="s">
        <v>46</v>
      </c>
      <c r="G588" s="10"/>
      <c r="H588" s="10"/>
      <c r="I588" s="11">
        <v>0</v>
      </c>
      <c r="J588" s="10"/>
      <c r="K588" s="10"/>
      <c r="L588" s="12">
        <v>0</v>
      </c>
      <c r="M588" s="10"/>
      <c r="N588" s="10"/>
      <c r="O588" s="11">
        <v>0</v>
      </c>
      <c r="P588" s="10"/>
      <c r="Q588" s="10"/>
      <c r="R588" s="11">
        <v>0</v>
      </c>
      <c r="S588" s="10"/>
      <c r="T588" s="10"/>
      <c r="U588" s="11">
        <v>0</v>
      </c>
      <c r="V588" s="10"/>
      <c r="W588" s="10"/>
      <c r="X588" s="11">
        <v>0</v>
      </c>
      <c r="Y588" s="10"/>
      <c r="Z588" s="10"/>
      <c r="AA588" s="11"/>
      <c r="AB588" s="10"/>
      <c r="AC588" s="10"/>
      <c r="AD588" s="11">
        <v>0</v>
      </c>
      <c r="AE588" s="10"/>
      <c r="AF588" s="10"/>
      <c r="AG588" s="11">
        <v>0</v>
      </c>
      <c r="AH588" s="10"/>
      <c r="AI588" s="10"/>
      <c r="AJ588" s="11">
        <v>0</v>
      </c>
      <c r="AK588" s="10"/>
      <c r="AL588" s="10"/>
      <c r="AM588" s="11">
        <v>0</v>
      </c>
      <c r="AN588" s="10"/>
      <c r="AO588" s="10"/>
      <c r="AP588" s="11">
        <v>0</v>
      </c>
      <c r="AQ588" s="10"/>
      <c r="AR588" s="10"/>
      <c r="AS588" s="11">
        <v>0</v>
      </c>
      <c r="AT588" s="10"/>
      <c r="AU588" s="10"/>
      <c r="AV588" s="11">
        <v>0</v>
      </c>
      <c r="AW588" s="10"/>
      <c r="AX588" s="10"/>
      <c r="AY588" s="11">
        <v>0</v>
      </c>
      <c r="AZ588" s="10"/>
      <c r="BA588" s="10"/>
      <c r="BB588" s="11">
        <v>0</v>
      </c>
      <c r="BC588" s="10"/>
      <c r="BD588" s="10"/>
      <c r="BE588" s="11">
        <v>0</v>
      </c>
      <c r="BF588" s="10"/>
      <c r="BG588" s="10"/>
      <c r="BH588" s="11">
        <v>0</v>
      </c>
      <c r="BI588" s="10"/>
      <c r="BJ588" s="10"/>
      <c r="BK588" s="11">
        <v>0</v>
      </c>
      <c r="BL588" s="10"/>
      <c r="BM588" s="10"/>
      <c r="BN588" s="11">
        <v>0</v>
      </c>
      <c r="BO588" s="10"/>
      <c r="BP588" s="10"/>
      <c r="BQ588" s="11">
        <v>0</v>
      </c>
      <c r="BR588" s="10"/>
      <c r="BS588" s="10"/>
      <c r="BT588" s="11">
        <v>0</v>
      </c>
      <c r="BU588" s="10"/>
      <c r="BV588" s="10"/>
      <c r="BW588" s="11">
        <v>0</v>
      </c>
      <c r="BX588" s="10"/>
      <c r="BY588" s="10"/>
      <c r="BZ588" s="11">
        <v>0</v>
      </c>
      <c r="CA588" s="10"/>
      <c r="CB588" s="10"/>
      <c r="CC588" s="11">
        <v>0</v>
      </c>
      <c r="CD588" s="10"/>
      <c r="CE588" s="10"/>
      <c r="CF588" s="11">
        <v>0</v>
      </c>
      <c r="CG588" s="10"/>
      <c r="CH588" s="10"/>
      <c r="CI588" s="11">
        <v>0</v>
      </c>
      <c r="CJ588" s="10"/>
      <c r="CK588" s="10"/>
      <c r="CL588" s="11">
        <v>0</v>
      </c>
      <c r="CM588" s="10"/>
      <c r="CN588" s="10"/>
      <c r="CO588" s="11">
        <v>0</v>
      </c>
      <c r="CP588" s="10"/>
      <c r="CQ588" s="10"/>
      <c r="CR588" s="11">
        <v>0</v>
      </c>
      <c r="CS588" s="10"/>
      <c r="CT588" s="10"/>
      <c r="CU588" s="11">
        <v>0</v>
      </c>
      <c r="CV588" s="10"/>
      <c r="CW588" s="10"/>
      <c r="CX588" s="11">
        <v>0</v>
      </c>
      <c r="CY588" s="10"/>
      <c r="CZ588" s="10"/>
      <c r="DA588" s="11">
        <v>0</v>
      </c>
      <c r="DB588" s="10"/>
      <c r="DC588" s="10"/>
      <c r="DD588" s="13">
        <v>0</v>
      </c>
      <c r="DE588" s="14"/>
    </row>
    <row r="589" spans="1:109" x14ac:dyDescent="0.35">
      <c r="A589" s="8" t="s">
        <v>1240</v>
      </c>
      <c r="B589" s="9" t="s">
        <v>140</v>
      </c>
      <c r="C589" s="9" t="s">
        <v>43</v>
      </c>
      <c r="D589" s="9" t="s">
        <v>1241</v>
      </c>
      <c r="E589" s="9" t="s">
        <v>45</v>
      </c>
      <c r="F589" s="9" t="s">
        <v>46</v>
      </c>
      <c r="G589" s="10"/>
      <c r="H589" s="10"/>
      <c r="I589" s="11">
        <v>0</v>
      </c>
      <c r="J589" s="10"/>
      <c r="K589" s="10"/>
      <c r="L589" s="12">
        <v>0</v>
      </c>
      <c r="M589" s="10"/>
      <c r="N589" s="10"/>
      <c r="O589" s="11">
        <v>0</v>
      </c>
      <c r="P589" s="10"/>
      <c r="Q589" s="10"/>
      <c r="R589" s="11">
        <v>0</v>
      </c>
      <c r="S589" s="10"/>
      <c r="T589" s="10"/>
      <c r="U589" s="11">
        <v>0</v>
      </c>
      <c r="V589" s="10"/>
      <c r="W589" s="10"/>
      <c r="X589" s="11">
        <v>0</v>
      </c>
      <c r="Y589" s="10"/>
      <c r="Z589" s="10"/>
      <c r="AA589" s="11"/>
      <c r="AB589" s="10"/>
      <c r="AC589" s="10"/>
      <c r="AD589" s="11">
        <v>0</v>
      </c>
      <c r="AE589" s="10"/>
      <c r="AF589" s="10"/>
      <c r="AG589" s="11">
        <v>0</v>
      </c>
      <c r="AH589" s="10"/>
      <c r="AI589" s="10"/>
      <c r="AJ589" s="11">
        <v>0</v>
      </c>
      <c r="AK589" s="10"/>
      <c r="AL589" s="10"/>
      <c r="AM589" s="11">
        <v>0</v>
      </c>
      <c r="AN589" s="10"/>
      <c r="AO589" s="10"/>
      <c r="AP589" s="11">
        <v>0</v>
      </c>
      <c r="AQ589" s="10"/>
      <c r="AR589" s="10"/>
      <c r="AS589" s="11">
        <v>0</v>
      </c>
      <c r="AT589" s="10"/>
      <c r="AU589" s="10"/>
      <c r="AV589" s="11">
        <v>0</v>
      </c>
      <c r="AW589" s="10"/>
      <c r="AX589" s="10"/>
      <c r="AY589" s="11">
        <v>0</v>
      </c>
      <c r="AZ589" s="10"/>
      <c r="BA589" s="10"/>
      <c r="BB589" s="11">
        <v>0</v>
      </c>
      <c r="BC589" s="10"/>
      <c r="BD589" s="10"/>
      <c r="BE589" s="11">
        <v>0</v>
      </c>
      <c r="BF589" s="10"/>
      <c r="BG589" s="10"/>
      <c r="BH589" s="11">
        <v>0</v>
      </c>
      <c r="BI589" s="10"/>
      <c r="BJ589" s="10"/>
      <c r="BK589" s="11">
        <v>0</v>
      </c>
      <c r="BL589" s="10"/>
      <c r="BM589" s="10"/>
      <c r="BN589" s="11">
        <v>0</v>
      </c>
      <c r="BO589" s="10"/>
      <c r="BP589" s="10"/>
      <c r="BQ589" s="11">
        <v>0</v>
      </c>
      <c r="BR589" s="10"/>
      <c r="BS589" s="10"/>
      <c r="BT589" s="11">
        <v>0</v>
      </c>
      <c r="BU589" s="10"/>
      <c r="BV589" s="10"/>
      <c r="BW589" s="11">
        <v>0</v>
      </c>
      <c r="BX589" s="10"/>
      <c r="BY589" s="10"/>
      <c r="BZ589" s="11">
        <v>0</v>
      </c>
      <c r="CA589" s="10"/>
      <c r="CB589" s="10"/>
      <c r="CC589" s="11">
        <v>0</v>
      </c>
      <c r="CD589" s="10"/>
      <c r="CE589" s="10"/>
      <c r="CF589" s="11">
        <v>0</v>
      </c>
      <c r="CG589" s="10"/>
      <c r="CH589" s="10"/>
      <c r="CI589" s="11">
        <v>0</v>
      </c>
      <c r="CJ589" s="10"/>
      <c r="CK589" s="10"/>
      <c r="CL589" s="11">
        <v>0</v>
      </c>
      <c r="CM589" s="10"/>
      <c r="CN589" s="10"/>
      <c r="CO589" s="11">
        <v>0</v>
      </c>
      <c r="CP589" s="10"/>
      <c r="CQ589" s="10"/>
      <c r="CR589" s="11">
        <v>0</v>
      </c>
      <c r="CS589" s="10"/>
      <c r="CT589" s="10"/>
      <c r="CU589" s="11">
        <v>0</v>
      </c>
      <c r="CV589" s="10"/>
      <c r="CW589" s="10"/>
      <c r="CX589" s="11">
        <v>0</v>
      </c>
      <c r="CY589" s="10"/>
      <c r="CZ589" s="10"/>
      <c r="DA589" s="11">
        <v>0</v>
      </c>
      <c r="DB589" s="10"/>
      <c r="DC589" s="10"/>
      <c r="DD589" s="13">
        <v>0</v>
      </c>
      <c r="DE589" s="14"/>
    </row>
    <row r="590" spans="1:109" x14ac:dyDescent="0.35">
      <c r="A590" s="8" t="s">
        <v>1242</v>
      </c>
      <c r="B590" s="9" t="s">
        <v>48</v>
      </c>
      <c r="C590" s="9" t="s">
        <v>43</v>
      </c>
      <c r="D590" s="9" t="s">
        <v>1243</v>
      </c>
      <c r="E590" s="9" t="s">
        <v>45</v>
      </c>
      <c r="F590" s="9" t="s">
        <v>46</v>
      </c>
      <c r="G590" s="10"/>
      <c r="H590" s="10"/>
      <c r="I590" s="11">
        <v>0</v>
      </c>
      <c r="J590" s="10"/>
      <c r="K590" s="10"/>
      <c r="L590" s="12">
        <v>0</v>
      </c>
      <c r="M590" s="10"/>
      <c r="N590" s="10"/>
      <c r="O590" s="11">
        <v>0</v>
      </c>
      <c r="P590" s="10"/>
      <c r="Q590" s="10"/>
      <c r="R590" s="11">
        <v>0</v>
      </c>
      <c r="S590" s="10"/>
      <c r="T590" s="10"/>
      <c r="U590" s="11">
        <v>0</v>
      </c>
      <c r="V590" s="10"/>
      <c r="W590" s="10"/>
      <c r="X590" s="11">
        <v>0</v>
      </c>
      <c r="Y590" s="10"/>
      <c r="Z590" s="10"/>
      <c r="AA590" s="11"/>
      <c r="AB590" s="10"/>
      <c r="AC590" s="10"/>
      <c r="AD590" s="11">
        <v>0</v>
      </c>
      <c r="AE590" s="10"/>
      <c r="AF590" s="10"/>
      <c r="AG590" s="11">
        <v>0</v>
      </c>
      <c r="AH590" s="10"/>
      <c r="AI590" s="10"/>
      <c r="AJ590" s="11">
        <v>0</v>
      </c>
      <c r="AK590" s="10"/>
      <c r="AL590" s="10"/>
      <c r="AM590" s="11">
        <v>0</v>
      </c>
      <c r="AN590" s="10"/>
      <c r="AO590" s="10"/>
      <c r="AP590" s="11">
        <v>0</v>
      </c>
      <c r="AQ590" s="10"/>
      <c r="AR590" s="10"/>
      <c r="AS590" s="11">
        <v>0</v>
      </c>
      <c r="AT590" s="10"/>
      <c r="AU590" s="10"/>
      <c r="AV590" s="11">
        <v>0</v>
      </c>
      <c r="AW590" s="10"/>
      <c r="AX590" s="10"/>
      <c r="AY590" s="11">
        <v>0</v>
      </c>
      <c r="AZ590" s="10"/>
      <c r="BA590" s="10"/>
      <c r="BB590" s="11">
        <v>0</v>
      </c>
      <c r="BC590" s="10"/>
      <c r="BD590" s="10"/>
      <c r="BE590" s="11">
        <v>0</v>
      </c>
      <c r="BF590" s="10"/>
      <c r="BG590" s="10"/>
      <c r="BH590" s="11">
        <v>0</v>
      </c>
      <c r="BI590" s="10"/>
      <c r="BJ590" s="10"/>
      <c r="BK590" s="11">
        <v>0</v>
      </c>
      <c r="BL590" s="10"/>
      <c r="BM590" s="10"/>
      <c r="BN590" s="11">
        <v>0</v>
      </c>
      <c r="BO590" s="10"/>
      <c r="BP590" s="10"/>
      <c r="BQ590" s="11">
        <v>0</v>
      </c>
      <c r="BR590" s="10"/>
      <c r="BS590" s="10"/>
      <c r="BT590" s="11">
        <v>0</v>
      </c>
      <c r="BU590" s="10"/>
      <c r="BV590" s="10"/>
      <c r="BW590" s="11">
        <v>0</v>
      </c>
      <c r="BX590" s="10"/>
      <c r="BY590" s="10"/>
      <c r="BZ590" s="11">
        <v>0</v>
      </c>
      <c r="CA590" s="10"/>
      <c r="CB590" s="10"/>
      <c r="CC590" s="11">
        <v>0</v>
      </c>
      <c r="CD590" s="10"/>
      <c r="CE590" s="10"/>
      <c r="CF590" s="11">
        <v>0</v>
      </c>
      <c r="CG590" s="10"/>
      <c r="CH590" s="10"/>
      <c r="CI590" s="11">
        <v>0</v>
      </c>
      <c r="CJ590" s="10"/>
      <c r="CK590" s="10"/>
      <c r="CL590" s="11">
        <v>0</v>
      </c>
      <c r="CM590" s="10"/>
      <c r="CN590" s="10"/>
      <c r="CO590" s="11">
        <v>0</v>
      </c>
      <c r="CP590" s="10"/>
      <c r="CQ590" s="10"/>
      <c r="CR590" s="11">
        <v>0</v>
      </c>
      <c r="CS590" s="10"/>
      <c r="CT590" s="10"/>
      <c r="CU590" s="11">
        <v>0</v>
      </c>
      <c r="CV590" s="10"/>
      <c r="CW590" s="10"/>
      <c r="CX590" s="11">
        <v>0</v>
      </c>
      <c r="CY590" s="10"/>
      <c r="CZ590" s="10"/>
      <c r="DA590" s="11">
        <v>0</v>
      </c>
      <c r="DB590" s="10"/>
      <c r="DC590" s="10"/>
      <c r="DD590" s="13">
        <v>0</v>
      </c>
      <c r="DE590" s="14"/>
    </row>
    <row r="591" spans="1:109" x14ac:dyDescent="0.35">
      <c r="A591" s="8" t="s">
        <v>1244</v>
      </c>
      <c r="B591" s="9" t="s">
        <v>140</v>
      </c>
      <c r="C591" s="9" t="s">
        <v>43</v>
      </c>
      <c r="D591" s="9" t="s">
        <v>1245</v>
      </c>
      <c r="E591" s="9" t="s">
        <v>45</v>
      </c>
      <c r="F591" s="9" t="s">
        <v>46</v>
      </c>
      <c r="G591" s="10"/>
      <c r="H591" s="10"/>
      <c r="I591" s="11">
        <v>0</v>
      </c>
      <c r="J591" s="10"/>
      <c r="K591" s="10"/>
      <c r="L591" s="12">
        <v>0</v>
      </c>
      <c r="M591" s="10">
        <v>56000</v>
      </c>
      <c r="N591" s="10"/>
      <c r="O591" s="11">
        <f t="shared" ref="O591" si="591">N591/M591</f>
        <v>0</v>
      </c>
      <c r="P591" s="10"/>
      <c r="Q591" s="10"/>
      <c r="R591" s="11">
        <v>0</v>
      </c>
      <c r="S591" s="10"/>
      <c r="T591" s="10"/>
      <c r="U591" s="11">
        <v>0</v>
      </c>
      <c r="V591" s="10"/>
      <c r="W591" s="10"/>
      <c r="X591" s="11">
        <v>0</v>
      </c>
      <c r="Y591" s="10"/>
      <c r="Z591" s="10"/>
      <c r="AA591" s="11"/>
      <c r="AB591" s="10"/>
      <c r="AC591" s="10"/>
      <c r="AD591" s="11">
        <v>0</v>
      </c>
      <c r="AE591" s="10"/>
      <c r="AF591" s="10"/>
      <c r="AG591" s="11">
        <v>0</v>
      </c>
      <c r="AH591" s="10"/>
      <c r="AI591" s="10"/>
      <c r="AJ591" s="11">
        <v>0</v>
      </c>
      <c r="AK591" s="10"/>
      <c r="AL591" s="10"/>
      <c r="AM591" s="11">
        <v>0</v>
      </c>
      <c r="AN591" s="10"/>
      <c r="AO591" s="10"/>
      <c r="AP591" s="11">
        <v>0</v>
      </c>
      <c r="AQ591" s="10"/>
      <c r="AR591" s="10"/>
      <c r="AS591" s="11">
        <v>0</v>
      </c>
      <c r="AT591" s="10"/>
      <c r="AU591" s="10"/>
      <c r="AV591" s="11">
        <v>0</v>
      </c>
      <c r="AW591" s="10"/>
      <c r="AX591" s="10"/>
      <c r="AY591" s="11">
        <v>0</v>
      </c>
      <c r="AZ591" s="10"/>
      <c r="BA591" s="10"/>
      <c r="BB591" s="11">
        <v>0</v>
      </c>
      <c r="BC591" s="10"/>
      <c r="BD591" s="10"/>
      <c r="BE591" s="11">
        <v>0</v>
      </c>
      <c r="BF591" s="10"/>
      <c r="BG591" s="10"/>
      <c r="BH591" s="11">
        <v>0</v>
      </c>
      <c r="BI591" s="10"/>
      <c r="BJ591" s="10"/>
      <c r="BK591" s="11">
        <v>0</v>
      </c>
      <c r="BL591" s="10"/>
      <c r="BM591" s="10"/>
      <c r="BN591" s="11">
        <v>0</v>
      </c>
      <c r="BO591" s="10"/>
      <c r="BP591" s="10"/>
      <c r="BQ591" s="11">
        <v>0</v>
      </c>
      <c r="BR591" s="10"/>
      <c r="BS591" s="10"/>
      <c r="BT591" s="11">
        <v>0</v>
      </c>
      <c r="BU591" s="10"/>
      <c r="BV591" s="10"/>
      <c r="BW591" s="11">
        <v>0</v>
      </c>
      <c r="BX591" s="10"/>
      <c r="BY591" s="10"/>
      <c r="BZ591" s="11">
        <v>0</v>
      </c>
      <c r="CA591" s="10"/>
      <c r="CB591" s="10"/>
      <c r="CC591" s="11">
        <v>0</v>
      </c>
      <c r="CD591" s="10"/>
      <c r="CE591" s="10"/>
      <c r="CF591" s="11">
        <v>0</v>
      </c>
      <c r="CG591" s="10"/>
      <c r="CH591" s="10"/>
      <c r="CI591" s="11">
        <v>0</v>
      </c>
      <c r="CJ591" s="10"/>
      <c r="CK591" s="10"/>
      <c r="CL591" s="11">
        <v>0</v>
      </c>
      <c r="CM591" s="10"/>
      <c r="CN591" s="10"/>
      <c r="CO591" s="11">
        <v>0</v>
      </c>
      <c r="CP591" s="10"/>
      <c r="CQ591" s="10"/>
      <c r="CR591" s="11">
        <v>0</v>
      </c>
      <c r="CS591" s="10"/>
      <c r="CT591" s="10"/>
      <c r="CU591" s="11">
        <v>0</v>
      </c>
      <c r="CV591" s="10"/>
      <c r="CW591" s="10"/>
      <c r="CX591" s="11">
        <v>0</v>
      </c>
      <c r="CY591" s="10"/>
      <c r="CZ591" s="10"/>
      <c r="DA591" s="11">
        <v>0</v>
      </c>
      <c r="DB591" s="10">
        <v>56000</v>
      </c>
      <c r="DC591" s="10"/>
      <c r="DD591" s="15">
        <f t="shared" ref="DD591" si="592">DC591/DB591</f>
        <v>0</v>
      </c>
      <c r="DE591" s="16"/>
    </row>
    <row r="592" spans="1:109" x14ac:dyDescent="0.35">
      <c r="A592" s="8" t="s">
        <v>1246</v>
      </c>
      <c r="B592" s="9" t="s">
        <v>51</v>
      </c>
      <c r="C592" s="9" t="s">
        <v>52</v>
      </c>
      <c r="D592" s="9" t="s">
        <v>1247</v>
      </c>
      <c r="E592" s="9" t="s">
        <v>54</v>
      </c>
      <c r="F592" s="9" t="s">
        <v>55</v>
      </c>
      <c r="G592" s="10"/>
      <c r="H592" s="10"/>
      <c r="I592" s="11">
        <v>0</v>
      </c>
      <c r="J592" s="10"/>
      <c r="K592" s="10"/>
      <c r="L592" s="12">
        <v>0</v>
      </c>
      <c r="M592" s="10"/>
      <c r="N592" s="10"/>
      <c r="O592" s="11">
        <v>0</v>
      </c>
      <c r="P592" s="10">
        <v>100000</v>
      </c>
      <c r="Q592" s="10"/>
      <c r="R592" s="11">
        <f t="shared" ref="R592" si="593">Q592/P592</f>
        <v>0</v>
      </c>
      <c r="S592" s="10"/>
      <c r="T592" s="10"/>
      <c r="U592" s="11">
        <v>0</v>
      </c>
      <c r="V592" s="10"/>
      <c r="W592" s="10"/>
      <c r="X592" s="11">
        <v>0</v>
      </c>
      <c r="Y592" s="10"/>
      <c r="Z592" s="10"/>
      <c r="AA592" s="11"/>
      <c r="AB592" s="10"/>
      <c r="AC592" s="10"/>
      <c r="AD592" s="11">
        <v>0</v>
      </c>
      <c r="AE592" s="10"/>
      <c r="AF592" s="10"/>
      <c r="AG592" s="11">
        <v>0</v>
      </c>
      <c r="AH592" s="10"/>
      <c r="AI592" s="10"/>
      <c r="AJ592" s="11">
        <v>0</v>
      </c>
      <c r="AK592" s="10"/>
      <c r="AL592" s="10"/>
      <c r="AM592" s="11">
        <v>0</v>
      </c>
      <c r="AN592" s="10"/>
      <c r="AO592" s="10"/>
      <c r="AP592" s="11">
        <v>0</v>
      </c>
      <c r="AQ592" s="10"/>
      <c r="AR592" s="10"/>
      <c r="AS592" s="11">
        <v>0</v>
      </c>
      <c r="AT592" s="10"/>
      <c r="AU592" s="10"/>
      <c r="AV592" s="11">
        <v>0</v>
      </c>
      <c r="AW592" s="10"/>
      <c r="AX592" s="10"/>
      <c r="AY592" s="11">
        <v>0</v>
      </c>
      <c r="AZ592" s="10"/>
      <c r="BA592" s="10"/>
      <c r="BB592" s="11">
        <v>0</v>
      </c>
      <c r="BC592" s="10"/>
      <c r="BD592" s="10"/>
      <c r="BE592" s="11">
        <v>0</v>
      </c>
      <c r="BF592" s="10"/>
      <c r="BG592" s="10"/>
      <c r="BH592" s="11">
        <v>0</v>
      </c>
      <c r="BI592" s="10"/>
      <c r="BJ592" s="10"/>
      <c r="BK592" s="11">
        <v>0</v>
      </c>
      <c r="BL592" s="10"/>
      <c r="BM592" s="10"/>
      <c r="BN592" s="11">
        <v>0</v>
      </c>
      <c r="BO592" s="10"/>
      <c r="BP592" s="10"/>
      <c r="BQ592" s="11">
        <v>0</v>
      </c>
      <c r="BR592" s="10"/>
      <c r="BS592" s="10"/>
      <c r="BT592" s="11">
        <v>0</v>
      </c>
      <c r="BU592" s="10"/>
      <c r="BV592" s="10"/>
      <c r="BW592" s="11">
        <v>0</v>
      </c>
      <c r="BX592" s="10"/>
      <c r="BY592" s="10"/>
      <c r="BZ592" s="11">
        <v>0</v>
      </c>
      <c r="CA592" s="10"/>
      <c r="CB592" s="10"/>
      <c r="CC592" s="11">
        <v>0</v>
      </c>
      <c r="CD592" s="10"/>
      <c r="CE592" s="10"/>
      <c r="CF592" s="11">
        <v>0</v>
      </c>
      <c r="CG592" s="10"/>
      <c r="CH592" s="10"/>
      <c r="CI592" s="11">
        <v>0</v>
      </c>
      <c r="CJ592" s="10"/>
      <c r="CK592" s="10"/>
      <c r="CL592" s="11">
        <v>0</v>
      </c>
      <c r="CM592" s="10"/>
      <c r="CN592" s="10"/>
      <c r="CO592" s="11">
        <v>0</v>
      </c>
      <c r="CP592" s="10"/>
      <c r="CQ592" s="10"/>
      <c r="CR592" s="11">
        <v>0</v>
      </c>
      <c r="CS592" s="10"/>
      <c r="CT592" s="10"/>
      <c r="CU592" s="11">
        <v>0</v>
      </c>
      <c r="CV592" s="10"/>
      <c r="CW592" s="10"/>
      <c r="CX592" s="11">
        <v>0</v>
      </c>
      <c r="CY592" s="10"/>
      <c r="CZ592" s="10"/>
      <c r="DA592" s="11">
        <v>0</v>
      </c>
      <c r="DB592" s="10">
        <v>100000</v>
      </c>
      <c r="DC592" s="10"/>
      <c r="DD592" s="15">
        <f t="shared" ref="DD592" si="594">DC592/DB592</f>
        <v>0</v>
      </c>
      <c r="DE592" s="16"/>
    </row>
    <row r="593" spans="1:109" x14ac:dyDescent="0.35">
      <c r="A593" s="8" t="s">
        <v>1248</v>
      </c>
      <c r="B593" s="9" t="s">
        <v>77</v>
      </c>
      <c r="C593" s="9" t="s">
        <v>43</v>
      </c>
      <c r="D593" s="9" t="s">
        <v>1249</v>
      </c>
      <c r="E593" s="9" t="s">
        <v>61</v>
      </c>
      <c r="F593" s="9" t="s">
        <v>62</v>
      </c>
      <c r="G593" s="10"/>
      <c r="H593" s="10"/>
      <c r="I593" s="11">
        <v>0</v>
      </c>
      <c r="J593" s="10"/>
      <c r="K593" s="10"/>
      <c r="L593" s="12">
        <v>0</v>
      </c>
      <c r="M593" s="10"/>
      <c r="N593" s="10"/>
      <c r="O593" s="11">
        <v>0</v>
      </c>
      <c r="P593" s="10"/>
      <c r="Q593" s="10"/>
      <c r="R593" s="11">
        <v>0</v>
      </c>
      <c r="S593" s="10"/>
      <c r="T593" s="10"/>
      <c r="U593" s="11">
        <v>0</v>
      </c>
      <c r="V593" s="10"/>
      <c r="W593" s="10"/>
      <c r="X593" s="11">
        <v>0</v>
      </c>
      <c r="Y593" s="10"/>
      <c r="Z593" s="10"/>
      <c r="AA593" s="11"/>
      <c r="AB593" s="10"/>
      <c r="AC593" s="10"/>
      <c r="AD593" s="11">
        <v>0</v>
      </c>
      <c r="AE593" s="10"/>
      <c r="AF593" s="10"/>
      <c r="AG593" s="11">
        <v>0</v>
      </c>
      <c r="AH593" s="10"/>
      <c r="AI593" s="10"/>
      <c r="AJ593" s="11">
        <v>0</v>
      </c>
      <c r="AK593" s="10"/>
      <c r="AL593" s="10"/>
      <c r="AM593" s="11">
        <v>0</v>
      </c>
      <c r="AN593" s="10"/>
      <c r="AO593" s="10"/>
      <c r="AP593" s="11">
        <v>0</v>
      </c>
      <c r="AQ593" s="10"/>
      <c r="AR593" s="10"/>
      <c r="AS593" s="11">
        <v>0</v>
      </c>
      <c r="AT593" s="10"/>
      <c r="AU593" s="10"/>
      <c r="AV593" s="11">
        <v>0</v>
      </c>
      <c r="AW593" s="10"/>
      <c r="AX593" s="10"/>
      <c r="AY593" s="11">
        <v>0</v>
      </c>
      <c r="AZ593" s="10"/>
      <c r="BA593" s="10"/>
      <c r="BB593" s="11">
        <v>0</v>
      </c>
      <c r="BC593" s="10"/>
      <c r="BD593" s="10"/>
      <c r="BE593" s="11">
        <v>0</v>
      </c>
      <c r="BF593" s="10"/>
      <c r="BG593" s="10"/>
      <c r="BH593" s="11">
        <v>0</v>
      </c>
      <c r="BI593" s="10"/>
      <c r="BJ593" s="10"/>
      <c r="BK593" s="11">
        <v>0</v>
      </c>
      <c r="BL593" s="10"/>
      <c r="BM593" s="10"/>
      <c r="BN593" s="11">
        <v>0</v>
      </c>
      <c r="BO593" s="10"/>
      <c r="BP593" s="10"/>
      <c r="BQ593" s="11">
        <v>0</v>
      </c>
      <c r="BR593" s="10"/>
      <c r="BS593" s="10"/>
      <c r="BT593" s="11">
        <v>0</v>
      </c>
      <c r="BU593" s="10"/>
      <c r="BV593" s="10"/>
      <c r="BW593" s="11">
        <v>0</v>
      </c>
      <c r="BX593" s="10"/>
      <c r="BY593" s="10"/>
      <c r="BZ593" s="11">
        <v>0</v>
      </c>
      <c r="CA593" s="10"/>
      <c r="CB593" s="10"/>
      <c r="CC593" s="11">
        <v>0</v>
      </c>
      <c r="CD593" s="10"/>
      <c r="CE593" s="10"/>
      <c r="CF593" s="11">
        <v>0</v>
      </c>
      <c r="CG593" s="10"/>
      <c r="CH593" s="10"/>
      <c r="CI593" s="11">
        <v>0</v>
      </c>
      <c r="CJ593" s="10"/>
      <c r="CK593" s="10"/>
      <c r="CL593" s="11">
        <v>0</v>
      </c>
      <c r="CM593" s="10"/>
      <c r="CN593" s="10"/>
      <c r="CO593" s="11">
        <v>0</v>
      </c>
      <c r="CP593" s="10"/>
      <c r="CQ593" s="10"/>
      <c r="CR593" s="11">
        <v>0</v>
      </c>
      <c r="CS593" s="10"/>
      <c r="CT593" s="10"/>
      <c r="CU593" s="11">
        <v>0</v>
      </c>
      <c r="CV593" s="10"/>
      <c r="CW593" s="10"/>
      <c r="CX593" s="11">
        <v>0</v>
      </c>
      <c r="CY593" s="10"/>
      <c r="CZ593" s="10"/>
      <c r="DA593" s="11">
        <v>0</v>
      </c>
      <c r="DB593" s="10"/>
      <c r="DC593" s="10"/>
      <c r="DD593" s="13">
        <v>0</v>
      </c>
      <c r="DE593" s="14"/>
    </row>
    <row r="594" spans="1:109" x14ac:dyDescent="0.35">
      <c r="A594" s="8" t="s">
        <v>1250</v>
      </c>
      <c r="B594" s="9" t="s">
        <v>74</v>
      </c>
      <c r="C594" s="9" t="s">
        <v>52</v>
      </c>
      <c r="D594" s="9" t="s">
        <v>1251</v>
      </c>
      <c r="E594" s="9" t="s">
        <v>54</v>
      </c>
      <c r="F594" s="9" t="s">
        <v>55</v>
      </c>
      <c r="G594" s="10"/>
      <c r="H594" s="10"/>
      <c r="I594" s="11">
        <v>0</v>
      </c>
      <c r="J594" s="10"/>
      <c r="K594" s="10"/>
      <c r="L594" s="12">
        <v>0</v>
      </c>
      <c r="M594" s="10"/>
      <c r="N594" s="10"/>
      <c r="O594" s="11">
        <v>0</v>
      </c>
      <c r="P594" s="10"/>
      <c r="Q594" s="10"/>
      <c r="R594" s="11">
        <v>0</v>
      </c>
      <c r="S594" s="10"/>
      <c r="T594" s="10"/>
      <c r="U594" s="11">
        <v>0</v>
      </c>
      <c r="V594" s="10"/>
      <c r="W594" s="10"/>
      <c r="X594" s="11">
        <v>0</v>
      </c>
      <c r="Y594" s="10"/>
      <c r="Z594" s="10"/>
      <c r="AA594" s="11"/>
      <c r="AB594" s="10"/>
      <c r="AC594" s="10"/>
      <c r="AD594" s="11">
        <v>0</v>
      </c>
      <c r="AE594" s="10"/>
      <c r="AF594" s="10"/>
      <c r="AG594" s="11">
        <v>0</v>
      </c>
      <c r="AH594" s="10"/>
      <c r="AI594" s="10"/>
      <c r="AJ594" s="11">
        <v>0</v>
      </c>
      <c r="AK594" s="10"/>
      <c r="AL594" s="10"/>
      <c r="AM594" s="11">
        <v>0</v>
      </c>
      <c r="AN594" s="10"/>
      <c r="AO594" s="10"/>
      <c r="AP594" s="11">
        <v>0</v>
      </c>
      <c r="AQ594" s="10"/>
      <c r="AR594" s="10"/>
      <c r="AS594" s="11">
        <v>0</v>
      </c>
      <c r="AT594" s="10"/>
      <c r="AU594" s="10"/>
      <c r="AV594" s="11">
        <v>0</v>
      </c>
      <c r="AW594" s="10"/>
      <c r="AX594" s="10"/>
      <c r="AY594" s="11">
        <v>0</v>
      </c>
      <c r="AZ594" s="10"/>
      <c r="BA594" s="10"/>
      <c r="BB594" s="11">
        <v>0</v>
      </c>
      <c r="BC594" s="10"/>
      <c r="BD594" s="10"/>
      <c r="BE594" s="11">
        <v>0</v>
      </c>
      <c r="BF594" s="10"/>
      <c r="BG594" s="10"/>
      <c r="BH594" s="11">
        <v>0</v>
      </c>
      <c r="BI594" s="10"/>
      <c r="BJ594" s="10"/>
      <c r="BK594" s="11">
        <v>0</v>
      </c>
      <c r="BL594" s="10"/>
      <c r="BM594" s="10"/>
      <c r="BN594" s="11">
        <v>0</v>
      </c>
      <c r="BO594" s="10"/>
      <c r="BP594" s="10"/>
      <c r="BQ594" s="11">
        <v>0</v>
      </c>
      <c r="BR594" s="10"/>
      <c r="BS594" s="10"/>
      <c r="BT594" s="11">
        <v>0</v>
      </c>
      <c r="BU594" s="10"/>
      <c r="BV594" s="10"/>
      <c r="BW594" s="11">
        <v>0</v>
      </c>
      <c r="BX594" s="10"/>
      <c r="BY594" s="10"/>
      <c r="BZ594" s="11">
        <v>0</v>
      </c>
      <c r="CA594" s="10"/>
      <c r="CB594" s="10"/>
      <c r="CC594" s="11">
        <v>0</v>
      </c>
      <c r="CD594" s="10"/>
      <c r="CE594" s="10"/>
      <c r="CF594" s="11">
        <v>0</v>
      </c>
      <c r="CG594" s="10"/>
      <c r="CH594" s="10"/>
      <c r="CI594" s="11">
        <v>0</v>
      </c>
      <c r="CJ594" s="10"/>
      <c r="CK594" s="10"/>
      <c r="CL594" s="11">
        <v>0</v>
      </c>
      <c r="CM594" s="10"/>
      <c r="CN594" s="10"/>
      <c r="CO594" s="11">
        <v>0</v>
      </c>
      <c r="CP594" s="10"/>
      <c r="CQ594" s="10"/>
      <c r="CR594" s="11">
        <v>0</v>
      </c>
      <c r="CS594" s="10"/>
      <c r="CT594" s="10"/>
      <c r="CU594" s="11">
        <v>0</v>
      </c>
      <c r="CV594" s="10"/>
      <c r="CW594" s="10"/>
      <c r="CX594" s="11">
        <v>0</v>
      </c>
      <c r="CY594" s="10"/>
      <c r="CZ594" s="10"/>
      <c r="DA594" s="11">
        <v>0</v>
      </c>
      <c r="DB594" s="10"/>
      <c r="DC594" s="10"/>
      <c r="DD594" s="13">
        <v>0</v>
      </c>
      <c r="DE594" s="14"/>
    </row>
    <row r="595" spans="1:109" x14ac:dyDescent="0.35">
      <c r="A595" s="8" t="s">
        <v>1252</v>
      </c>
      <c r="B595" s="9" t="s">
        <v>74</v>
      </c>
      <c r="C595" s="9" t="s">
        <v>52</v>
      </c>
      <c r="D595" s="9" t="s">
        <v>1253</v>
      </c>
      <c r="E595" s="9" t="s">
        <v>54</v>
      </c>
      <c r="F595" s="9" t="s">
        <v>55</v>
      </c>
      <c r="G595" s="10"/>
      <c r="H595" s="10"/>
      <c r="I595" s="11">
        <v>0</v>
      </c>
      <c r="J595" s="10"/>
      <c r="K595" s="10"/>
      <c r="L595" s="12">
        <v>0</v>
      </c>
      <c r="M595" s="10"/>
      <c r="N595" s="10"/>
      <c r="O595" s="11">
        <v>0</v>
      </c>
      <c r="P595" s="10"/>
      <c r="Q595" s="10"/>
      <c r="R595" s="11">
        <v>0</v>
      </c>
      <c r="S595" s="10"/>
      <c r="T595" s="10"/>
      <c r="U595" s="11">
        <v>0</v>
      </c>
      <c r="V595" s="10"/>
      <c r="W595" s="10"/>
      <c r="X595" s="11">
        <v>0</v>
      </c>
      <c r="Y595" s="10">
        <v>80000</v>
      </c>
      <c r="Z595" s="10"/>
      <c r="AA595" s="11">
        <f t="shared" ref="AA595" si="595">Z595/Y595</f>
        <v>0</v>
      </c>
      <c r="AB595" s="10"/>
      <c r="AC595" s="10"/>
      <c r="AD595" s="11">
        <v>0</v>
      </c>
      <c r="AE595" s="10">
        <v>100000</v>
      </c>
      <c r="AF595" s="10"/>
      <c r="AG595" s="11">
        <f t="shared" ref="AG595" si="596">AF595/AE595</f>
        <v>0</v>
      </c>
      <c r="AH595" s="10"/>
      <c r="AI595" s="10"/>
      <c r="AJ595" s="11">
        <v>0</v>
      </c>
      <c r="AK595" s="10"/>
      <c r="AL595" s="10"/>
      <c r="AM595" s="11">
        <v>0</v>
      </c>
      <c r="AN595" s="10"/>
      <c r="AO595" s="10"/>
      <c r="AP595" s="11">
        <v>0</v>
      </c>
      <c r="AQ595" s="10"/>
      <c r="AR595" s="10"/>
      <c r="AS595" s="11">
        <v>0</v>
      </c>
      <c r="AT595" s="10"/>
      <c r="AU595" s="10"/>
      <c r="AV595" s="11">
        <v>0</v>
      </c>
      <c r="AW595" s="10"/>
      <c r="AX595" s="10"/>
      <c r="AY595" s="11">
        <v>0</v>
      </c>
      <c r="AZ595" s="10"/>
      <c r="BA595" s="10"/>
      <c r="BB595" s="11">
        <v>0</v>
      </c>
      <c r="BC595" s="10"/>
      <c r="BD595" s="10"/>
      <c r="BE595" s="11">
        <v>0</v>
      </c>
      <c r="BF595" s="10"/>
      <c r="BG595" s="10"/>
      <c r="BH595" s="11">
        <v>0</v>
      </c>
      <c r="BI595" s="10"/>
      <c r="BJ595" s="10"/>
      <c r="BK595" s="11">
        <v>0</v>
      </c>
      <c r="BL595" s="10"/>
      <c r="BM595" s="10"/>
      <c r="BN595" s="11">
        <v>0</v>
      </c>
      <c r="BO595" s="10"/>
      <c r="BP595" s="10"/>
      <c r="BQ595" s="11">
        <v>0</v>
      </c>
      <c r="BR595" s="10"/>
      <c r="BS595" s="10"/>
      <c r="BT595" s="11">
        <v>0</v>
      </c>
      <c r="BU595" s="10"/>
      <c r="BV595" s="10"/>
      <c r="BW595" s="11">
        <v>0</v>
      </c>
      <c r="BX595" s="10"/>
      <c r="BY595" s="10"/>
      <c r="BZ595" s="11">
        <v>0</v>
      </c>
      <c r="CA595" s="10"/>
      <c r="CB595" s="10"/>
      <c r="CC595" s="11">
        <v>0</v>
      </c>
      <c r="CD595" s="10"/>
      <c r="CE595" s="10"/>
      <c r="CF595" s="11">
        <v>0</v>
      </c>
      <c r="CG595" s="10"/>
      <c r="CH595" s="10"/>
      <c r="CI595" s="11">
        <v>0</v>
      </c>
      <c r="CJ595" s="10"/>
      <c r="CK595" s="10"/>
      <c r="CL595" s="11">
        <v>0</v>
      </c>
      <c r="CM595" s="10"/>
      <c r="CN595" s="10"/>
      <c r="CO595" s="11">
        <v>0</v>
      </c>
      <c r="CP595" s="10"/>
      <c r="CQ595" s="10"/>
      <c r="CR595" s="11">
        <v>0</v>
      </c>
      <c r="CS595" s="10"/>
      <c r="CT595" s="10">
        <v>208780</v>
      </c>
      <c r="CU595" s="11">
        <v>0</v>
      </c>
      <c r="CV595" s="10"/>
      <c r="CW595" s="10"/>
      <c r="CX595" s="11">
        <v>0</v>
      </c>
      <c r="CY595" s="10"/>
      <c r="CZ595" s="10"/>
      <c r="DA595" s="11">
        <v>0</v>
      </c>
      <c r="DB595" s="10">
        <v>180000</v>
      </c>
      <c r="DC595" s="10">
        <f t="shared" ref="DC595" si="597">SUM(H595,K595,N595,Q595,T595,W595,Z595,AC595,AF595,AI595,AL595,AO595,AR595,AU595,AX595,BA595,BD595,BG595,BJ595,BM595,BP595,BS595,BV595,BY595,CB595,CE595,CH595,CK595,CN595,CQ595,CT595,CW595,CZ595)</f>
        <v>208780</v>
      </c>
      <c r="DD595" s="13">
        <f t="shared" ref="DD595" si="598">DC595/DB595</f>
        <v>1.159888888888889</v>
      </c>
      <c r="DE595" s="14"/>
    </row>
    <row r="596" spans="1:109" x14ac:dyDescent="0.35">
      <c r="A596" s="8" t="s">
        <v>1254</v>
      </c>
      <c r="B596" s="9" t="s">
        <v>77</v>
      </c>
      <c r="C596" s="9" t="s">
        <v>43</v>
      </c>
      <c r="D596" s="9" t="s">
        <v>1255</v>
      </c>
      <c r="E596" s="9" t="s">
        <v>61</v>
      </c>
      <c r="F596" s="9" t="s">
        <v>62</v>
      </c>
      <c r="G596" s="10"/>
      <c r="H596" s="10"/>
      <c r="I596" s="11">
        <v>0</v>
      </c>
      <c r="J596" s="10"/>
      <c r="K596" s="10"/>
      <c r="L596" s="12">
        <v>0</v>
      </c>
      <c r="M596" s="10"/>
      <c r="N596" s="10"/>
      <c r="O596" s="11">
        <v>0</v>
      </c>
      <c r="P596" s="10"/>
      <c r="Q596" s="10"/>
      <c r="R596" s="11">
        <v>0</v>
      </c>
      <c r="S596" s="10"/>
      <c r="T596" s="10"/>
      <c r="U596" s="11">
        <v>0</v>
      </c>
      <c r="V596" s="10"/>
      <c r="W596" s="10"/>
      <c r="X596" s="11">
        <v>0</v>
      </c>
      <c r="Y596" s="10"/>
      <c r="Z596" s="10"/>
      <c r="AA596" s="11"/>
      <c r="AB596" s="10"/>
      <c r="AC596" s="10"/>
      <c r="AD596" s="11">
        <v>0</v>
      </c>
      <c r="AE596" s="10"/>
      <c r="AF596" s="10"/>
      <c r="AG596" s="11">
        <v>0</v>
      </c>
      <c r="AH596" s="10"/>
      <c r="AI596" s="10"/>
      <c r="AJ596" s="11">
        <v>0</v>
      </c>
      <c r="AK596" s="10"/>
      <c r="AL596" s="10"/>
      <c r="AM596" s="11">
        <v>0</v>
      </c>
      <c r="AN596" s="10"/>
      <c r="AO596" s="10"/>
      <c r="AP596" s="11">
        <v>0</v>
      </c>
      <c r="AQ596" s="10"/>
      <c r="AR596" s="10"/>
      <c r="AS596" s="11">
        <v>0</v>
      </c>
      <c r="AT596" s="10"/>
      <c r="AU596" s="10"/>
      <c r="AV596" s="11">
        <v>0</v>
      </c>
      <c r="AW596" s="10"/>
      <c r="AX596" s="10"/>
      <c r="AY596" s="11">
        <v>0</v>
      </c>
      <c r="AZ596" s="10"/>
      <c r="BA596" s="10"/>
      <c r="BB596" s="11">
        <v>0</v>
      </c>
      <c r="BC596" s="10"/>
      <c r="BD596" s="10"/>
      <c r="BE596" s="11">
        <v>0</v>
      </c>
      <c r="BF596" s="10"/>
      <c r="BG596" s="10"/>
      <c r="BH596" s="11">
        <v>0</v>
      </c>
      <c r="BI596" s="10"/>
      <c r="BJ596" s="10"/>
      <c r="BK596" s="11">
        <v>0</v>
      </c>
      <c r="BL596" s="10"/>
      <c r="BM596" s="10"/>
      <c r="BN596" s="11">
        <v>0</v>
      </c>
      <c r="BO596" s="10"/>
      <c r="BP596" s="10"/>
      <c r="BQ596" s="11">
        <v>0</v>
      </c>
      <c r="BR596" s="10"/>
      <c r="BS596" s="10"/>
      <c r="BT596" s="11">
        <v>0</v>
      </c>
      <c r="BU596" s="10"/>
      <c r="BV596" s="10"/>
      <c r="BW596" s="11">
        <v>0</v>
      </c>
      <c r="BX596" s="10"/>
      <c r="BY596" s="10"/>
      <c r="BZ596" s="11">
        <v>0</v>
      </c>
      <c r="CA596" s="10"/>
      <c r="CB596" s="10"/>
      <c r="CC596" s="11">
        <v>0</v>
      </c>
      <c r="CD596" s="10"/>
      <c r="CE596" s="10"/>
      <c r="CF596" s="11">
        <v>0</v>
      </c>
      <c r="CG596" s="10"/>
      <c r="CH596" s="10"/>
      <c r="CI596" s="11">
        <v>0</v>
      </c>
      <c r="CJ596" s="10"/>
      <c r="CK596" s="10"/>
      <c r="CL596" s="11">
        <v>0</v>
      </c>
      <c r="CM596" s="10"/>
      <c r="CN596" s="10"/>
      <c r="CO596" s="11">
        <v>0</v>
      </c>
      <c r="CP596" s="10"/>
      <c r="CQ596" s="10"/>
      <c r="CR596" s="11">
        <v>0</v>
      </c>
      <c r="CS596" s="10"/>
      <c r="CT596" s="10"/>
      <c r="CU596" s="11">
        <v>0</v>
      </c>
      <c r="CV596" s="10"/>
      <c r="CW596" s="10"/>
      <c r="CX596" s="11">
        <v>0</v>
      </c>
      <c r="CY596" s="10"/>
      <c r="CZ596" s="10"/>
      <c r="DA596" s="11">
        <v>0</v>
      </c>
      <c r="DB596" s="10"/>
      <c r="DC596" s="10"/>
      <c r="DD596" s="13">
        <v>0</v>
      </c>
      <c r="DE596" s="14"/>
    </row>
    <row r="597" spans="1:109" x14ac:dyDescent="0.35">
      <c r="A597" s="8" t="s">
        <v>1256</v>
      </c>
      <c r="B597" s="9" t="s">
        <v>51</v>
      </c>
      <c r="C597" s="9" t="s">
        <v>52</v>
      </c>
      <c r="D597" s="9" t="s">
        <v>1257</v>
      </c>
      <c r="E597" s="9" t="s">
        <v>54</v>
      </c>
      <c r="F597" s="9" t="s">
        <v>55</v>
      </c>
      <c r="G597" s="10"/>
      <c r="H597" s="10"/>
      <c r="I597" s="11">
        <v>0</v>
      </c>
      <c r="J597" s="10"/>
      <c r="K597" s="10"/>
      <c r="L597" s="12">
        <v>0</v>
      </c>
      <c r="M597" s="10"/>
      <c r="N597" s="10"/>
      <c r="O597" s="11">
        <v>0</v>
      </c>
      <c r="P597" s="10"/>
      <c r="Q597" s="10"/>
      <c r="R597" s="11">
        <v>0</v>
      </c>
      <c r="S597" s="10"/>
      <c r="T597" s="10"/>
      <c r="U597" s="11">
        <v>0</v>
      </c>
      <c r="V597" s="10"/>
      <c r="W597" s="10"/>
      <c r="X597" s="11">
        <v>0</v>
      </c>
      <c r="Y597" s="10"/>
      <c r="Z597" s="10"/>
      <c r="AA597" s="11"/>
      <c r="AB597" s="10"/>
      <c r="AC597" s="10"/>
      <c r="AD597" s="11">
        <v>0</v>
      </c>
      <c r="AE597" s="10"/>
      <c r="AF597" s="10"/>
      <c r="AG597" s="11">
        <v>0</v>
      </c>
      <c r="AH597" s="10"/>
      <c r="AI597" s="10"/>
      <c r="AJ597" s="11">
        <v>0</v>
      </c>
      <c r="AK597" s="10"/>
      <c r="AL597" s="10"/>
      <c r="AM597" s="11">
        <v>0</v>
      </c>
      <c r="AN597" s="10"/>
      <c r="AO597" s="10"/>
      <c r="AP597" s="11">
        <v>0</v>
      </c>
      <c r="AQ597" s="10"/>
      <c r="AR597" s="10"/>
      <c r="AS597" s="11">
        <v>0</v>
      </c>
      <c r="AT597" s="10"/>
      <c r="AU597" s="10"/>
      <c r="AV597" s="11">
        <v>0</v>
      </c>
      <c r="AW597" s="10"/>
      <c r="AX597" s="10"/>
      <c r="AY597" s="11">
        <v>0</v>
      </c>
      <c r="AZ597" s="10"/>
      <c r="BA597" s="10"/>
      <c r="BB597" s="11">
        <v>0</v>
      </c>
      <c r="BC597" s="10"/>
      <c r="BD597" s="10"/>
      <c r="BE597" s="11">
        <v>0</v>
      </c>
      <c r="BF597" s="10"/>
      <c r="BG597" s="10"/>
      <c r="BH597" s="11">
        <v>0</v>
      </c>
      <c r="BI597" s="10"/>
      <c r="BJ597" s="10"/>
      <c r="BK597" s="11">
        <v>0</v>
      </c>
      <c r="BL597" s="10"/>
      <c r="BM597" s="10"/>
      <c r="BN597" s="11">
        <v>0</v>
      </c>
      <c r="BO597" s="10"/>
      <c r="BP597" s="10"/>
      <c r="BQ597" s="11">
        <v>0</v>
      </c>
      <c r="BR597" s="10"/>
      <c r="BS597" s="10"/>
      <c r="BT597" s="11">
        <v>0</v>
      </c>
      <c r="BU597" s="10"/>
      <c r="BV597" s="10"/>
      <c r="BW597" s="11">
        <v>0</v>
      </c>
      <c r="BX597" s="10"/>
      <c r="BY597" s="10"/>
      <c r="BZ597" s="11">
        <v>0</v>
      </c>
      <c r="CA597" s="10"/>
      <c r="CB597" s="10"/>
      <c r="CC597" s="11">
        <v>0</v>
      </c>
      <c r="CD597" s="10"/>
      <c r="CE597" s="10"/>
      <c r="CF597" s="11">
        <v>0</v>
      </c>
      <c r="CG597" s="10"/>
      <c r="CH597" s="10"/>
      <c r="CI597" s="11">
        <v>0</v>
      </c>
      <c r="CJ597" s="10"/>
      <c r="CK597" s="10"/>
      <c r="CL597" s="11">
        <v>0</v>
      </c>
      <c r="CM597" s="10"/>
      <c r="CN597" s="10"/>
      <c r="CO597" s="11">
        <v>0</v>
      </c>
      <c r="CP597" s="10"/>
      <c r="CQ597" s="10"/>
      <c r="CR597" s="11">
        <v>0</v>
      </c>
      <c r="CS597" s="10"/>
      <c r="CT597" s="10"/>
      <c r="CU597" s="11">
        <v>0</v>
      </c>
      <c r="CV597" s="10"/>
      <c r="CW597" s="10"/>
      <c r="CX597" s="11">
        <v>0</v>
      </c>
      <c r="CY597" s="10"/>
      <c r="CZ597" s="10"/>
      <c r="DA597" s="11">
        <v>0</v>
      </c>
      <c r="DB597" s="10"/>
      <c r="DC597" s="10"/>
      <c r="DD597" s="13">
        <v>0</v>
      </c>
      <c r="DE597" s="14"/>
    </row>
    <row r="598" spans="1:109" x14ac:dyDescent="0.35">
      <c r="A598" s="8" t="s">
        <v>1258</v>
      </c>
      <c r="B598" s="9" t="s">
        <v>74</v>
      </c>
      <c r="C598" s="9" t="s">
        <v>52</v>
      </c>
      <c r="D598" s="9" t="s">
        <v>1259</v>
      </c>
      <c r="E598" s="9" t="s">
        <v>54</v>
      </c>
      <c r="F598" s="9" t="s">
        <v>55</v>
      </c>
      <c r="G598" s="10"/>
      <c r="H598" s="10"/>
      <c r="I598" s="11">
        <v>0</v>
      </c>
      <c r="J598" s="10"/>
      <c r="K598" s="10"/>
      <c r="L598" s="12">
        <v>0</v>
      </c>
      <c r="M598" s="10"/>
      <c r="N598" s="10"/>
      <c r="O598" s="11">
        <v>0</v>
      </c>
      <c r="P598" s="10"/>
      <c r="Q598" s="10"/>
      <c r="R598" s="11">
        <v>0</v>
      </c>
      <c r="S598" s="10"/>
      <c r="T598" s="10"/>
      <c r="U598" s="11">
        <v>0</v>
      </c>
      <c r="V598" s="10"/>
      <c r="W598" s="10"/>
      <c r="X598" s="11">
        <v>0</v>
      </c>
      <c r="Y598" s="10"/>
      <c r="Z598" s="10"/>
      <c r="AA598" s="11"/>
      <c r="AB598" s="10"/>
      <c r="AC598" s="10"/>
      <c r="AD598" s="11">
        <v>0</v>
      </c>
      <c r="AE598" s="10"/>
      <c r="AF598" s="10"/>
      <c r="AG598" s="11">
        <v>0</v>
      </c>
      <c r="AH598" s="10"/>
      <c r="AI598" s="10"/>
      <c r="AJ598" s="11">
        <v>0</v>
      </c>
      <c r="AK598" s="10"/>
      <c r="AL598" s="10"/>
      <c r="AM598" s="11">
        <v>0</v>
      </c>
      <c r="AN598" s="10"/>
      <c r="AO598" s="10"/>
      <c r="AP598" s="11">
        <v>0</v>
      </c>
      <c r="AQ598" s="10"/>
      <c r="AR598" s="10"/>
      <c r="AS598" s="11">
        <v>0</v>
      </c>
      <c r="AT598" s="10"/>
      <c r="AU598" s="10"/>
      <c r="AV598" s="11">
        <v>0</v>
      </c>
      <c r="AW598" s="10"/>
      <c r="AX598" s="10"/>
      <c r="AY598" s="11">
        <v>0</v>
      </c>
      <c r="AZ598" s="10"/>
      <c r="BA598" s="10"/>
      <c r="BB598" s="11">
        <v>0</v>
      </c>
      <c r="BC598" s="10"/>
      <c r="BD598" s="10"/>
      <c r="BE598" s="11">
        <v>0</v>
      </c>
      <c r="BF598" s="10"/>
      <c r="BG598" s="10"/>
      <c r="BH598" s="11">
        <v>0</v>
      </c>
      <c r="BI598" s="10"/>
      <c r="BJ598" s="10"/>
      <c r="BK598" s="11">
        <v>0</v>
      </c>
      <c r="BL598" s="10"/>
      <c r="BM598" s="10"/>
      <c r="BN598" s="11">
        <v>0</v>
      </c>
      <c r="BO598" s="10"/>
      <c r="BP598" s="10"/>
      <c r="BQ598" s="11">
        <v>0</v>
      </c>
      <c r="BR598" s="10"/>
      <c r="BS598" s="10"/>
      <c r="BT598" s="11">
        <v>0</v>
      </c>
      <c r="BU598" s="10"/>
      <c r="BV598" s="10"/>
      <c r="BW598" s="11">
        <v>0</v>
      </c>
      <c r="BX598" s="10"/>
      <c r="BY598" s="10"/>
      <c r="BZ598" s="11">
        <v>0</v>
      </c>
      <c r="CA598" s="10"/>
      <c r="CB598" s="10"/>
      <c r="CC598" s="11">
        <v>0</v>
      </c>
      <c r="CD598" s="10"/>
      <c r="CE598" s="10"/>
      <c r="CF598" s="11">
        <v>0</v>
      </c>
      <c r="CG598" s="10"/>
      <c r="CH598" s="10"/>
      <c r="CI598" s="11">
        <v>0</v>
      </c>
      <c r="CJ598" s="10"/>
      <c r="CK598" s="10"/>
      <c r="CL598" s="11">
        <v>0</v>
      </c>
      <c r="CM598" s="10"/>
      <c r="CN598" s="10"/>
      <c r="CO598" s="11">
        <v>0</v>
      </c>
      <c r="CP598" s="10"/>
      <c r="CQ598" s="10"/>
      <c r="CR598" s="11">
        <v>0</v>
      </c>
      <c r="CS598" s="10"/>
      <c r="CT598" s="10"/>
      <c r="CU598" s="11">
        <v>0</v>
      </c>
      <c r="CV598" s="10"/>
      <c r="CW598" s="10"/>
      <c r="CX598" s="11">
        <v>0</v>
      </c>
      <c r="CY598" s="10"/>
      <c r="CZ598" s="10"/>
      <c r="DA598" s="11">
        <v>0</v>
      </c>
      <c r="DB598" s="10"/>
      <c r="DC598" s="10"/>
      <c r="DD598" s="13">
        <v>0</v>
      </c>
      <c r="DE598" s="14"/>
    </row>
    <row r="599" spans="1:109" x14ac:dyDescent="0.35">
      <c r="A599" s="8" t="s">
        <v>1260</v>
      </c>
      <c r="B599" s="9" t="s">
        <v>74</v>
      </c>
      <c r="C599" s="9" t="s">
        <v>52</v>
      </c>
      <c r="D599" s="9" t="s">
        <v>1261</v>
      </c>
      <c r="E599" s="9" t="s">
        <v>54</v>
      </c>
      <c r="F599" s="9" t="s">
        <v>55</v>
      </c>
      <c r="G599" s="10"/>
      <c r="H599" s="10"/>
      <c r="I599" s="11">
        <v>0</v>
      </c>
      <c r="J599" s="10"/>
      <c r="K599" s="10"/>
      <c r="L599" s="12">
        <v>0</v>
      </c>
      <c r="M599" s="10"/>
      <c r="N599" s="10"/>
      <c r="O599" s="11">
        <v>0</v>
      </c>
      <c r="P599" s="10"/>
      <c r="Q599" s="10"/>
      <c r="R599" s="11">
        <v>0</v>
      </c>
      <c r="S599" s="10"/>
      <c r="T599" s="10"/>
      <c r="U599" s="11">
        <v>0</v>
      </c>
      <c r="V599" s="10"/>
      <c r="W599" s="10"/>
      <c r="X599" s="11">
        <v>0</v>
      </c>
      <c r="Y599" s="10"/>
      <c r="Z599" s="10"/>
      <c r="AA599" s="11"/>
      <c r="AB599" s="10"/>
      <c r="AC599" s="10"/>
      <c r="AD599" s="11">
        <v>0</v>
      </c>
      <c r="AE599" s="10"/>
      <c r="AF599" s="10"/>
      <c r="AG599" s="11">
        <v>0</v>
      </c>
      <c r="AH599" s="10"/>
      <c r="AI599" s="10"/>
      <c r="AJ599" s="11">
        <v>0</v>
      </c>
      <c r="AK599" s="10"/>
      <c r="AL599" s="10"/>
      <c r="AM599" s="11">
        <v>0</v>
      </c>
      <c r="AN599" s="10"/>
      <c r="AO599" s="10"/>
      <c r="AP599" s="11">
        <v>0</v>
      </c>
      <c r="AQ599" s="10"/>
      <c r="AR599" s="10"/>
      <c r="AS599" s="11">
        <v>0</v>
      </c>
      <c r="AT599" s="10"/>
      <c r="AU599" s="10"/>
      <c r="AV599" s="11">
        <v>0</v>
      </c>
      <c r="AW599" s="10"/>
      <c r="AX599" s="10"/>
      <c r="AY599" s="11">
        <v>0</v>
      </c>
      <c r="AZ599" s="10"/>
      <c r="BA599" s="10"/>
      <c r="BB599" s="11">
        <v>0</v>
      </c>
      <c r="BC599" s="10"/>
      <c r="BD599" s="10"/>
      <c r="BE599" s="11">
        <v>0</v>
      </c>
      <c r="BF599" s="10"/>
      <c r="BG599" s="10"/>
      <c r="BH599" s="11">
        <v>0</v>
      </c>
      <c r="BI599" s="10"/>
      <c r="BJ599" s="10"/>
      <c r="BK599" s="11">
        <v>0</v>
      </c>
      <c r="BL599" s="10"/>
      <c r="BM599" s="10"/>
      <c r="BN599" s="11">
        <v>0</v>
      </c>
      <c r="BO599" s="10"/>
      <c r="BP599" s="10"/>
      <c r="BQ599" s="11">
        <v>0</v>
      </c>
      <c r="BR599" s="10"/>
      <c r="BS599" s="10"/>
      <c r="BT599" s="11">
        <v>0</v>
      </c>
      <c r="BU599" s="10"/>
      <c r="BV599" s="10"/>
      <c r="BW599" s="11">
        <v>0</v>
      </c>
      <c r="BX599" s="10"/>
      <c r="BY599" s="10"/>
      <c r="BZ599" s="11">
        <v>0</v>
      </c>
      <c r="CA599" s="10"/>
      <c r="CB599" s="10"/>
      <c r="CC599" s="11">
        <v>0</v>
      </c>
      <c r="CD599" s="10"/>
      <c r="CE599" s="10"/>
      <c r="CF599" s="11">
        <v>0</v>
      </c>
      <c r="CG599" s="10"/>
      <c r="CH599" s="10"/>
      <c r="CI599" s="11">
        <v>0</v>
      </c>
      <c r="CJ599" s="10"/>
      <c r="CK599" s="10"/>
      <c r="CL599" s="11">
        <v>0</v>
      </c>
      <c r="CM599" s="10"/>
      <c r="CN599" s="10"/>
      <c r="CO599" s="11">
        <v>0</v>
      </c>
      <c r="CP599" s="10"/>
      <c r="CQ599" s="10"/>
      <c r="CR599" s="11">
        <v>0</v>
      </c>
      <c r="CS599" s="10"/>
      <c r="CT599" s="10"/>
      <c r="CU599" s="11">
        <v>0</v>
      </c>
      <c r="CV599" s="10"/>
      <c r="CW599" s="10"/>
      <c r="CX599" s="11">
        <v>0</v>
      </c>
      <c r="CY599" s="10"/>
      <c r="CZ599" s="10"/>
      <c r="DA599" s="11">
        <v>0</v>
      </c>
      <c r="DB599" s="10"/>
      <c r="DC599" s="10"/>
      <c r="DD599" s="13">
        <v>0</v>
      </c>
      <c r="DE599" s="14"/>
    </row>
    <row r="600" spans="1:109" x14ac:dyDescent="0.35">
      <c r="A600" s="8" t="s">
        <v>1262</v>
      </c>
      <c r="B600" s="9" t="s">
        <v>74</v>
      </c>
      <c r="C600" s="9" t="s">
        <v>52</v>
      </c>
      <c r="D600" s="9" t="s">
        <v>1263</v>
      </c>
      <c r="E600" s="9" t="s">
        <v>54</v>
      </c>
      <c r="F600" s="9" t="s">
        <v>55</v>
      </c>
      <c r="G600" s="10"/>
      <c r="H600" s="10"/>
      <c r="I600" s="11">
        <v>0</v>
      </c>
      <c r="J600" s="10"/>
      <c r="K600" s="10"/>
      <c r="L600" s="12">
        <v>0</v>
      </c>
      <c r="M600" s="10"/>
      <c r="N600" s="10"/>
      <c r="O600" s="11">
        <v>0</v>
      </c>
      <c r="P600" s="10"/>
      <c r="Q600" s="10"/>
      <c r="R600" s="11">
        <v>0</v>
      </c>
      <c r="S600" s="10"/>
      <c r="T600" s="10"/>
      <c r="U600" s="11">
        <v>0</v>
      </c>
      <c r="V600" s="10"/>
      <c r="W600" s="10"/>
      <c r="X600" s="11">
        <v>0</v>
      </c>
      <c r="Y600" s="10"/>
      <c r="Z600" s="10"/>
      <c r="AA600" s="11"/>
      <c r="AB600" s="10"/>
      <c r="AC600" s="10"/>
      <c r="AD600" s="11">
        <v>0</v>
      </c>
      <c r="AE600" s="10"/>
      <c r="AF600" s="10"/>
      <c r="AG600" s="11">
        <v>0</v>
      </c>
      <c r="AH600" s="10"/>
      <c r="AI600" s="10"/>
      <c r="AJ600" s="11">
        <v>0</v>
      </c>
      <c r="AK600" s="10"/>
      <c r="AL600" s="10"/>
      <c r="AM600" s="11">
        <v>0</v>
      </c>
      <c r="AN600" s="10"/>
      <c r="AO600" s="10"/>
      <c r="AP600" s="11">
        <v>0</v>
      </c>
      <c r="AQ600" s="10"/>
      <c r="AR600" s="10"/>
      <c r="AS600" s="11">
        <v>0</v>
      </c>
      <c r="AT600" s="10"/>
      <c r="AU600" s="10"/>
      <c r="AV600" s="11">
        <v>0</v>
      </c>
      <c r="AW600" s="10"/>
      <c r="AX600" s="10"/>
      <c r="AY600" s="11">
        <v>0</v>
      </c>
      <c r="AZ600" s="10"/>
      <c r="BA600" s="10"/>
      <c r="BB600" s="11">
        <v>0</v>
      </c>
      <c r="BC600" s="10"/>
      <c r="BD600" s="10"/>
      <c r="BE600" s="11">
        <v>0</v>
      </c>
      <c r="BF600" s="10"/>
      <c r="BG600" s="10"/>
      <c r="BH600" s="11">
        <v>0</v>
      </c>
      <c r="BI600" s="10"/>
      <c r="BJ600" s="10"/>
      <c r="BK600" s="11">
        <v>0</v>
      </c>
      <c r="BL600" s="10"/>
      <c r="BM600" s="10"/>
      <c r="BN600" s="11">
        <v>0</v>
      </c>
      <c r="BO600" s="10"/>
      <c r="BP600" s="10"/>
      <c r="BQ600" s="11">
        <v>0</v>
      </c>
      <c r="BR600" s="10"/>
      <c r="BS600" s="10"/>
      <c r="BT600" s="11">
        <v>0</v>
      </c>
      <c r="BU600" s="10"/>
      <c r="BV600" s="10"/>
      <c r="BW600" s="11">
        <v>0</v>
      </c>
      <c r="BX600" s="10"/>
      <c r="BY600" s="10"/>
      <c r="BZ600" s="11">
        <v>0</v>
      </c>
      <c r="CA600" s="10"/>
      <c r="CB600" s="10"/>
      <c r="CC600" s="11">
        <v>0</v>
      </c>
      <c r="CD600" s="10"/>
      <c r="CE600" s="10"/>
      <c r="CF600" s="11">
        <v>0</v>
      </c>
      <c r="CG600" s="10"/>
      <c r="CH600" s="10"/>
      <c r="CI600" s="11">
        <v>0</v>
      </c>
      <c r="CJ600" s="10"/>
      <c r="CK600" s="10"/>
      <c r="CL600" s="11">
        <v>0</v>
      </c>
      <c r="CM600" s="10"/>
      <c r="CN600" s="10"/>
      <c r="CO600" s="11">
        <v>0</v>
      </c>
      <c r="CP600" s="10"/>
      <c r="CQ600" s="10"/>
      <c r="CR600" s="11">
        <v>0</v>
      </c>
      <c r="CS600" s="10"/>
      <c r="CT600" s="10"/>
      <c r="CU600" s="11">
        <v>0</v>
      </c>
      <c r="CV600" s="10"/>
      <c r="CW600" s="10"/>
      <c r="CX600" s="11">
        <v>0</v>
      </c>
      <c r="CY600" s="10"/>
      <c r="CZ600" s="10"/>
      <c r="DA600" s="11">
        <v>0</v>
      </c>
      <c r="DB600" s="10"/>
      <c r="DC600" s="10"/>
      <c r="DD600" s="13">
        <v>0</v>
      </c>
      <c r="DE600" s="14"/>
    </row>
    <row r="601" spans="1:109" x14ac:dyDescent="0.35">
      <c r="A601" s="8" t="s">
        <v>1264</v>
      </c>
      <c r="B601" s="9" t="s">
        <v>74</v>
      </c>
      <c r="C601" s="9" t="s">
        <v>52</v>
      </c>
      <c r="D601" s="9" t="s">
        <v>1265</v>
      </c>
      <c r="E601" s="9" t="s">
        <v>54</v>
      </c>
      <c r="F601" s="9" t="s">
        <v>55</v>
      </c>
      <c r="G601" s="10"/>
      <c r="H601" s="10"/>
      <c r="I601" s="11">
        <v>0</v>
      </c>
      <c r="J601" s="10"/>
      <c r="K601" s="10"/>
      <c r="L601" s="12">
        <v>0</v>
      </c>
      <c r="M601" s="10"/>
      <c r="N601" s="10"/>
      <c r="O601" s="11">
        <v>0</v>
      </c>
      <c r="P601" s="10"/>
      <c r="Q601" s="10"/>
      <c r="R601" s="11">
        <v>0</v>
      </c>
      <c r="S601" s="10"/>
      <c r="T601" s="10"/>
      <c r="U601" s="11">
        <v>0</v>
      </c>
      <c r="V601" s="10"/>
      <c r="W601" s="10"/>
      <c r="X601" s="11">
        <v>0</v>
      </c>
      <c r="Y601" s="10"/>
      <c r="Z601" s="10"/>
      <c r="AA601" s="11"/>
      <c r="AB601" s="10"/>
      <c r="AC601" s="10"/>
      <c r="AD601" s="11">
        <v>0</v>
      </c>
      <c r="AE601" s="10"/>
      <c r="AF601" s="10"/>
      <c r="AG601" s="11">
        <v>0</v>
      </c>
      <c r="AH601" s="10"/>
      <c r="AI601" s="10"/>
      <c r="AJ601" s="11">
        <v>0</v>
      </c>
      <c r="AK601" s="10"/>
      <c r="AL601" s="10"/>
      <c r="AM601" s="11">
        <v>0</v>
      </c>
      <c r="AN601" s="10"/>
      <c r="AO601" s="10"/>
      <c r="AP601" s="11">
        <v>0</v>
      </c>
      <c r="AQ601" s="10"/>
      <c r="AR601" s="10"/>
      <c r="AS601" s="11">
        <v>0</v>
      </c>
      <c r="AT601" s="10"/>
      <c r="AU601" s="10"/>
      <c r="AV601" s="11">
        <v>0</v>
      </c>
      <c r="AW601" s="10"/>
      <c r="AX601" s="10"/>
      <c r="AY601" s="11">
        <v>0</v>
      </c>
      <c r="AZ601" s="10"/>
      <c r="BA601" s="10"/>
      <c r="BB601" s="11">
        <v>0</v>
      </c>
      <c r="BC601" s="10"/>
      <c r="BD601" s="10"/>
      <c r="BE601" s="11">
        <v>0</v>
      </c>
      <c r="BF601" s="10"/>
      <c r="BG601" s="10"/>
      <c r="BH601" s="11">
        <v>0</v>
      </c>
      <c r="BI601" s="10"/>
      <c r="BJ601" s="10"/>
      <c r="BK601" s="11">
        <v>0</v>
      </c>
      <c r="BL601" s="10"/>
      <c r="BM601" s="10"/>
      <c r="BN601" s="11">
        <v>0</v>
      </c>
      <c r="BO601" s="10"/>
      <c r="BP601" s="10"/>
      <c r="BQ601" s="11">
        <v>0</v>
      </c>
      <c r="BR601" s="10"/>
      <c r="BS601" s="10"/>
      <c r="BT601" s="11">
        <v>0</v>
      </c>
      <c r="BU601" s="10"/>
      <c r="BV601" s="10"/>
      <c r="BW601" s="11">
        <v>0</v>
      </c>
      <c r="BX601" s="10"/>
      <c r="BY601" s="10"/>
      <c r="BZ601" s="11">
        <v>0</v>
      </c>
      <c r="CA601" s="10"/>
      <c r="CB601" s="10"/>
      <c r="CC601" s="11">
        <v>0</v>
      </c>
      <c r="CD601" s="10"/>
      <c r="CE601" s="10"/>
      <c r="CF601" s="11">
        <v>0</v>
      </c>
      <c r="CG601" s="10"/>
      <c r="CH601" s="10"/>
      <c r="CI601" s="11">
        <v>0</v>
      </c>
      <c r="CJ601" s="10"/>
      <c r="CK601" s="10"/>
      <c r="CL601" s="11">
        <v>0</v>
      </c>
      <c r="CM601" s="10"/>
      <c r="CN601" s="10"/>
      <c r="CO601" s="11">
        <v>0</v>
      </c>
      <c r="CP601" s="10"/>
      <c r="CQ601" s="10"/>
      <c r="CR601" s="11">
        <v>0</v>
      </c>
      <c r="CS601" s="10"/>
      <c r="CT601" s="10"/>
      <c r="CU601" s="11">
        <v>0</v>
      </c>
      <c r="CV601" s="10"/>
      <c r="CW601" s="10"/>
      <c r="CX601" s="11">
        <v>0</v>
      </c>
      <c r="CY601" s="10"/>
      <c r="CZ601" s="10"/>
      <c r="DA601" s="11">
        <v>0</v>
      </c>
      <c r="DB601" s="10"/>
      <c r="DC601" s="10"/>
      <c r="DD601" s="13">
        <v>0</v>
      </c>
      <c r="DE601" s="14"/>
    </row>
    <row r="602" spans="1:109" x14ac:dyDescent="0.35">
      <c r="A602" s="8" t="s">
        <v>1266</v>
      </c>
      <c r="B602" s="9" t="s">
        <v>74</v>
      </c>
      <c r="C602" s="9" t="s">
        <v>52</v>
      </c>
      <c r="D602" s="9" t="s">
        <v>1267</v>
      </c>
      <c r="E602" s="9" t="s">
        <v>54</v>
      </c>
      <c r="F602" s="9" t="s">
        <v>55</v>
      </c>
      <c r="G602" s="10"/>
      <c r="H602" s="10"/>
      <c r="I602" s="11">
        <v>0</v>
      </c>
      <c r="J602" s="10"/>
      <c r="K602" s="10"/>
      <c r="L602" s="12">
        <v>0</v>
      </c>
      <c r="M602" s="10"/>
      <c r="N602" s="10"/>
      <c r="O602" s="11">
        <v>0</v>
      </c>
      <c r="P602" s="10"/>
      <c r="Q602" s="10"/>
      <c r="R602" s="11">
        <v>0</v>
      </c>
      <c r="S602" s="10"/>
      <c r="T602" s="10"/>
      <c r="U602" s="11">
        <v>0</v>
      </c>
      <c r="V602" s="10"/>
      <c r="W602" s="10"/>
      <c r="X602" s="11">
        <v>0</v>
      </c>
      <c r="Y602" s="10"/>
      <c r="Z602" s="10"/>
      <c r="AA602" s="11"/>
      <c r="AB602" s="10"/>
      <c r="AC602" s="10"/>
      <c r="AD602" s="11">
        <v>0</v>
      </c>
      <c r="AE602" s="10"/>
      <c r="AF602" s="10"/>
      <c r="AG602" s="11">
        <v>0</v>
      </c>
      <c r="AH602" s="10"/>
      <c r="AI602" s="10"/>
      <c r="AJ602" s="11">
        <v>0</v>
      </c>
      <c r="AK602" s="10"/>
      <c r="AL602" s="10"/>
      <c r="AM602" s="11">
        <v>0</v>
      </c>
      <c r="AN602" s="10"/>
      <c r="AO602" s="10"/>
      <c r="AP602" s="11">
        <v>0</v>
      </c>
      <c r="AQ602" s="10"/>
      <c r="AR602" s="10"/>
      <c r="AS602" s="11">
        <v>0</v>
      </c>
      <c r="AT602" s="10"/>
      <c r="AU602" s="10"/>
      <c r="AV602" s="11">
        <v>0</v>
      </c>
      <c r="AW602" s="10"/>
      <c r="AX602" s="10"/>
      <c r="AY602" s="11">
        <v>0</v>
      </c>
      <c r="AZ602" s="10"/>
      <c r="BA602" s="10"/>
      <c r="BB602" s="11">
        <v>0</v>
      </c>
      <c r="BC602" s="10"/>
      <c r="BD602" s="10"/>
      <c r="BE602" s="11">
        <v>0</v>
      </c>
      <c r="BF602" s="10"/>
      <c r="BG602" s="10"/>
      <c r="BH602" s="11">
        <v>0</v>
      </c>
      <c r="BI602" s="10"/>
      <c r="BJ602" s="10"/>
      <c r="BK602" s="11">
        <v>0</v>
      </c>
      <c r="BL602" s="10"/>
      <c r="BM602" s="10"/>
      <c r="BN602" s="11">
        <v>0</v>
      </c>
      <c r="BO602" s="10"/>
      <c r="BP602" s="10"/>
      <c r="BQ602" s="11">
        <v>0</v>
      </c>
      <c r="BR602" s="10"/>
      <c r="BS602" s="10"/>
      <c r="BT602" s="11">
        <v>0</v>
      </c>
      <c r="BU602" s="10"/>
      <c r="BV602" s="10"/>
      <c r="BW602" s="11">
        <v>0</v>
      </c>
      <c r="BX602" s="10"/>
      <c r="BY602" s="10"/>
      <c r="BZ602" s="11">
        <v>0</v>
      </c>
      <c r="CA602" s="10"/>
      <c r="CB602" s="10"/>
      <c r="CC602" s="11">
        <v>0</v>
      </c>
      <c r="CD602" s="10"/>
      <c r="CE602" s="10"/>
      <c r="CF602" s="11">
        <v>0</v>
      </c>
      <c r="CG602" s="10"/>
      <c r="CH602" s="10"/>
      <c r="CI602" s="11">
        <v>0</v>
      </c>
      <c r="CJ602" s="10"/>
      <c r="CK602" s="10"/>
      <c r="CL602" s="11">
        <v>0</v>
      </c>
      <c r="CM602" s="10"/>
      <c r="CN602" s="10"/>
      <c r="CO602" s="11">
        <v>0</v>
      </c>
      <c r="CP602" s="10"/>
      <c r="CQ602" s="10"/>
      <c r="CR602" s="11">
        <v>0</v>
      </c>
      <c r="CS602" s="10"/>
      <c r="CT602" s="10"/>
      <c r="CU602" s="11">
        <v>0</v>
      </c>
      <c r="CV602" s="10"/>
      <c r="CW602" s="10"/>
      <c r="CX602" s="11">
        <v>0</v>
      </c>
      <c r="CY602" s="10"/>
      <c r="CZ602" s="10"/>
      <c r="DA602" s="11">
        <v>0</v>
      </c>
      <c r="DB602" s="10"/>
      <c r="DC602" s="10"/>
      <c r="DD602" s="13">
        <v>0</v>
      </c>
      <c r="DE602" s="14"/>
    </row>
    <row r="603" spans="1:109" x14ac:dyDescent="0.35">
      <c r="A603" s="8" t="s">
        <v>1268</v>
      </c>
      <c r="B603" s="9" t="s">
        <v>74</v>
      </c>
      <c r="C603" s="9" t="s">
        <v>52</v>
      </c>
      <c r="D603" s="9" t="s">
        <v>1269</v>
      </c>
      <c r="E603" s="9" t="s">
        <v>54</v>
      </c>
      <c r="F603" s="9" t="s">
        <v>55</v>
      </c>
      <c r="G603" s="10"/>
      <c r="H603" s="10"/>
      <c r="I603" s="11">
        <v>0</v>
      </c>
      <c r="J603" s="10"/>
      <c r="K603" s="10"/>
      <c r="L603" s="12">
        <v>0</v>
      </c>
      <c r="M603" s="10"/>
      <c r="N603" s="10"/>
      <c r="O603" s="11">
        <v>0</v>
      </c>
      <c r="P603" s="10"/>
      <c r="Q603" s="10"/>
      <c r="R603" s="11">
        <v>0</v>
      </c>
      <c r="S603" s="10"/>
      <c r="T603" s="10"/>
      <c r="U603" s="11">
        <v>0</v>
      </c>
      <c r="V603" s="10"/>
      <c r="W603" s="10"/>
      <c r="X603" s="11">
        <v>0</v>
      </c>
      <c r="Y603" s="10"/>
      <c r="Z603" s="10"/>
      <c r="AA603" s="11"/>
      <c r="AB603" s="10"/>
      <c r="AC603" s="10"/>
      <c r="AD603" s="11">
        <v>0</v>
      </c>
      <c r="AE603" s="10"/>
      <c r="AF603" s="10"/>
      <c r="AG603" s="11">
        <v>0</v>
      </c>
      <c r="AH603" s="10"/>
      <c r="AI603" s="10"/>
      <c r="AJ603" s="11">
        <v>0</v>
      </c>
      <c r="AK603" s="10"/>
      <c r="AL603" s="10"/>
      <c r="AM603" s="11">
        <v>0</v>
      </c>
      <c r="AN603" s="10"/>
      <c r="AO603" s="10"/>
      <c r="AP603" s="11">
        <v>0</v>
      </c>
      <c r="AQ603" s="10"/>
      <c r="AR603" s="10"/>
      <c r="AS603" s="11">
        <v>0</v>
      </c>
      <c r="AT603" s="10"/>
      <c r="AU603" s="10"/>
      <c r="AV603" s="11">
        <v>0</v>
      </c>
      <c r="AW603" s="10"/>
      <c r="AX603" s="10"/>
      <c r="AY603" s="11">
        <v>0</v>
      </c>
      <c r="AZ603" s="10"/>
      <c r="BA603" s="10"/>
      <c r="BB603" s="11">
        <v>0</v>
      </c>
      <c r="BC603" s="10"/>
      <c r="BD603" s="10"/>
      <c r="BE603" s="11">
        <v>0</v>
      </c>
      <c r="BF603" s="10"/>
      <c r="BG603" s="10"/>
      <c r="BH603" s="11">
        <v>0</v>
      </c>
      <c r="BI603" s="10"/>
      <c r="BJ603" s="10"/>
      <c r="BK603" s="11">
        <v>0</v>
      </c>
      <c r="BL603" s="10"/>
      <c r="BM603" s="10"/>
      <c r="BN603" s="11">
        <v>0</v>
      </c>
      <c r="BO603" s="10"/>
      <c r="BP603" s="10"/>
      <c r="BQ603" s="11">
        <v>0</v>
      </c>
      <c r="BR603" s="10"/>
      <c r="BS603" s="10"/>
      <c r="BT603" s="11">
        <v>0</v>
      </c>
      <c r="BU603" s="10"/>
      <c r="BV603" s="10"/>
      <c r="BW603" s="11">
        <v>0</v>
      </c>
      <c r="BX603" s="10"/>
      <c r="BY603" s="10"/>
      <c r="BZ603" s="11">
        <v>0</v>
      </c>
      <c r="CA603" s="10"/>
      <c r="CB603" s="10"/>
      <c r="CC603" s="11">
        <v>0</v>
      </c>
      <c r="CD603" s="10"/>
      <c r="CE603" s="10"/>
      <c r="CF603" s="11">
        <v>0</v>
      </c>
      <c r="CG603" s="10"/>
      <c r="CH603" s="10"/>
      <c r="CI603" s="11">
        <v>0</v>
      </c>
      <c r="CJ603" s="10"/>
      <c r="CK603" s="10"/>
      <c r="CL603" s="11">
        <v>0</v>
      </c>
      <c r="CM603" s="10"/>
      <c r="CN603" s="10"/>
      <c r="CO603" s="11">
        <v>0</v>
      </c>
      <c r="CP603" s="10"/>
      <c r="CQ603" s="10"/>
      <c r="CR603" s="11">
        <v>0</v>
      </c>
      <c r="CS603" s="10"/>
      <c r="CT603" s="10"/>
      <c r="CU603" s="11">
        <v>0</v>
      </c>
      <c r="CV603" s="10"/>
      <c r="CW603" s="10"/>
      <c r="CX603" s="11">
        <v>0</v>
      </c>
      <c r="CY603" s="10"/>
      <c r="CZ603" s="10"/>
      <c r="DA603" s="11">
        <v>0</v>
      </c>
      <c r="DB603" s="10"/>
      <c r="DC603" s="10"/>
      <c r="DD603" s="13">
        <v>0</v>
      </c>
      <c r="DE603" s="14"/>
    </row>
    <row r="604" spans="1:109" x14ac:dyDescent="0.35">
      <c r="A604" s="8" t="s">
        <v>1270</v>
      </c>
      <c r="B604" s="9" t="s">
        <v>74</v>
      </c>
      <c r="C604" s="9" t="s">
        <v>52</v>
      </c>
      <c r="D604" s="9" t="s">
        <v>1271</v>
      </c>
      <c r="E604" s="9" t="s">
        <v>54</v>
      </c>
      <c r="F604" s="9" t="s">
        <v>55</v>
      </c>
      <c r="G604" s="10"/>
      <c r="H604" s="10"/>
      <c r="I604" s="11">
        <v>0</v>
      </c>
      <c r="J604" s="10"/>
      <c r="K604" s="10"/>
      <c r="L604" s="12">
        <v>0</v>
      </c>
      <c r="M604" s="10"/>
      <c r="N604" s="10"/>
      <c r="O604" s="11">
        <v>0</v>
      </c>
      <c r="P604" s="10"/>
      <c r="Q604" s="10"/>
      <c r="R604" s="11">
        <v>0</v>
      </c>
      <c r="S604" s="10"/>
      <c r="T604" s="10"/>
      <c r="U604" s="11">
        <v>0</v>
      </c>
      <c r="V604" s="10"/>
      <c r="W604" s="10"/>
      <c r="X604" s="11">
        <v>0</v>
      </c>
      <c r="Y604" s="10"/>
      <c r="Z604" s="10"/>
      <c r="AA604" s="11"/>
      <c r="AB604" s="10"/>
      <c r="AC604" s="10"/>
      <c r="AD604" s="11">
        <v>0</v>
      </c>
      <c r="AE604" s="10"/>
      <c r="AF604" s="10"/>
      <c r="AG604" s="11">
        <v>0</v>
      </c>
      <c r="AH604" s="10"/>
      <c r="AI604" s="10"/>
      <c r="AJ604" s="11">
        <v>0</v>
      </c>
      <c r="AK604" s="10"/>
      <c r="AL604" s="10"/>
      <c r="AM604" s="11">
        <v>0</v>
      </c>
      <c r="AN604" s="10"/>
      <c r="AO604" s="10"/>
      <c r="AP604" s="11">
        <v>0</v>
      </c>
      <c r="AQ604" s="10"/>
      <c r="AR604" s="10"/>
      <c r="AS604" s="11">
        <v>0</v>
      </c>
      <c r="AT604" s="10"/>
      <c r="AU604" s="10"/>
      <c r="AV604" s="11">
        <v>0</v>
      </c>
      <c r="AW604" s="10"/>
      <c r="AX604" s="10"/>
      <c r="AY604" s="11">
        <v>0</v>
      </c>
      <c r="AZ604" s="10"/>
      <c r="BA604" s="10"/>
      <c r="BB604" s="11">
        <v>0</v>
      </c>
      <c r="BC604" s="10"/>
      <c r="BD604" s="10"/>
      <c r="BE604" s="11">
        <v>0</v>
      </c>
      <c r="BF604" s="10"/>
      <c r="BG604" s="10"/>
      <c r="BH604" s="11">
        <v>0</v>
      </c>
      <c r="BI604" s="10"/>
      <c r="BJ604" s="10"/>
      <c r="BK604" s="11">
        <v>0</v>
      </c>
      <c r="BL604" s="10"/>
      <c r="BM604" s="10"/>
      <c r="BN604" s="11">
        <v>0</v>
      </c>
      <c r="BO604" s="10"/>
      <c r="BP604" s="10"/>
      <c r="BQ604" s="11">
        <v>0</v>
      </c>
      <c r="BR604" s="10"/>
      <c r="BS604" s="10"/>
      <c r="BT604" s="11">
        <v>0</v>
      </c>
      <c r="BU604" s="10"/>
      <c r="BV604" s="10"/>
      <c r="BW604" s="11">
        <v>0</v>
      </c>
      <c r="BX604" s="10"/>
      <c r="BY604" s="10"/>
      <c r="BZ604" s="11">
        <v>0</v>
      </c>
      <c r="CA604" s="10"/>
      <c r="CB604" s="10"/>
      <c r="CC604" s="11">
        <v>0</v>
      </c>
      <c r="CD604" s="10"/>
      <c r="CE604" s="10"/>
      <c r="CF604" s="11">
        <v>0</v>
      </c>
      <c r="CG604" s="10"/>
      <c r="CH604" s="10"/>
      <c r="CI604" s="11">
        <v>0</v>
      </c>
      <c r="CJ604" s="10"/>
      <c r="CK604" s="10"/>
      <c r="CL604" s="11">
        <v>0</v>
      </c>
      <c r="CM604" s="10"/>
      <c r="CN604" s="10"/>
      <c r="CO604" s="11">
        <v>0</v>
      </c>
      <c r="CP604" s="10"/>
      <c r="CQ604" s="10"/>
      <c r="CR604" s="11">
        <v>0</v>
      </c>
      <c r="CS604" s="10"/>
      <c r="CT604" s="10"/>
      <c r="CU604" s="11">
        <v>0</v>
      </c>
      <c r="CV604" s="10"/>
      <c r="CW604" s="10"/>
      <c r="CX604" s="11">
        <v>0</v>
      </c>
      <c r="CY604" s="10"/>
      <c r="CZ604" s="10"/>
      <c r="DA604" s="11">
        <v>0</v>
      </c>
      <c r="DB604" s="10"/>
      <c r="DC604" s="10"/>
      <c r="DD604" s="13">
        <v>0</v>
      </c>
      <c r="DE604" s="14"/>
    </row>
    <row r="605" spans="1:109" x14ac:dyDescent="0.35">
      <c r="A605" s="8" t="s">
        <v>1272</v>
      </c>
      <c r="B605" s="9" t="s">
        <v>77</v>
      </c>
      <c r="C605" s="9" t="s">
        <v>43</v>
      </c>
      <c r="D605" s="9" t="s">
        <v>1273</v>
      </c>
      <c r="E605" s="9" t="s">
        <v>61</v>
      </c>
      <c r="F605" s="9" t="s">
        <v>62</v>
      </c>
      <c r="G605" s="10"/>
      <c r="H605" s="10"/>
      <c r="I605" s="11">
        <v>0</v>
      </c>
      <c r="J605" s="10"/>
      <c r="K605" s="10"/>
      <c r="L605" s="12">
        <v>0</v>
      </c>
      <c r="M605" s="10"/>
      <c r="N605" s="10"/>
      <c r="O605" s="11">
        <v>0</v>
      </c>
      <c r="P605" s="10"/>
      <c r="Q605" s="10"/>
      <c r="R605" s="11">
        <v>0</v>
      </c>
      <c r="S605" s="10"/>
      <c r="T605" s="10"/>
      <c r="U605" s="11">
        <v>0</v>
      </c>
      <c r="V605" s="10"/>
      <c r="W605" s="10"/>
      <c r="X605" s="11">
        <v>0</v>
      </c>
      <c r="Y605" s="10"/>
      <c r="Z605" s="10"/>
      <c r="AA605" s="11"/>
      <c r="AB605" s="10"/>
      <c r="AC605" s="10"/>
      <c r="AD605" s="11">
        <v>0</v>
      </c>
      <c r="AE605" s="10"/>
      <c r="AF605" s="10"/>
      <c r="AG605" s="11">
        <v>0</v>
      </c>
      <c r="AH605" s="10"/>
      <c r="AI605" s="10"/>
      <c r="AJ605" s="11">
        <v>0</v>
      </c>
      <c r="AK605" s="10"/>
      <c r="AL605" s="10"/>
      <c r="AM605" s="11">
        <v>0</v>
      </c>
      <c r="AN605" s="10"/>
      <c r="AO605" s="10"/>
      <c r="AP605" s="11">
        <v>0</v>
      </c>
      <c r="AQ605" s="10"/>
      <c r="AR605" s="10"/>
      <c r="AS605" s="11">
        <v>0</v>
      </c>
      <c r="AT605" s="10"/>
      <c r="AU605" s="10"/>
      <c r="AV605" s="11">
        <v>0</v>
      </c>
      <c r="AW605" s="10"/>
      <c r="AX605" s="10"/>
      <c r="AY605" s="11">
        <v>0</v>
      </c>
      <c r="AZ605" s="10"/>
      <c r="BA605" s="10"/>
      <c r="BB605" s="11">
        <v>0</v>
      </c>
      <c r="BC605" s="10"/>
      <c r="BD605" s="10"/>
      <c r="BE605" s="11">
        <v>0</v>
      </c>
      <c r="BF605" s="10"/>
      <c r="BG605" s="10"/>
      <c r="BH605" s="11">
        <v>0</v>
      </c>
      <c r="BI605" s="10"/>
      <c r="BJ605" s="10"/>
      <c r="BK605" s="11">
        <v>0</v>
      </c>
      <c r="BL605" s="10"/>
      <c r="BM605" s="10"/>
      <c r="BN605" s="11">
        <v>0</v>
      </c>
      <c r="BO605" s="10"/>
      <c r="BP605" s="10"/>
      <c r="BQ605" s="11">
        <v>0</v>
      </c>
      <c r="BR605" s="10"/>
      <c r="BS605" s="10"/>
      <c r="BT605" s="11">
        <v>0</v>
      </c>
      <c r="BU605" s="10"/>
      <c r="BV605" s="10"/>
      <c r="BW605" s="11">
        <v>0</v>
      </c>
      <c r="BX605" s="10"/>
      <c r="BY605" s="10"/>
      <c r="BZ605" s="11">
        <v>0</v>
      </c>
      <c r="CA605" s="10"/>
      <c r="CB605" s="10"/>
      <c r="CC605" s="11">
        <v>0</v>
      </c>
      <c r="CD605" s="10"/>
      <c r="CE605" s="10"/>
      <c r="CF605" s="11">
        <v>0</v>
      </c>
      <c r="CG605" s="10"/>
      <c r="CH605" s="10"/>
      <c r="CI605" s="11">
        <v>0</v>
      </c>
      <c r="CJ605" s="10"/>
      <c r="CK605" s="10"/>
      <c r="CL605" s="11">
        <v>0</v>
      </c>
      <c r="CM605" s="10"/>
      <c r="CN605" s="10"/>
      <c r="CO605" s="11">
        <v>0</v>
      </c>
      <c r="CP605" s="10"/>
      <c r="CQ605" s="10"/>
      <c r="CR605" s="11">
        <v>0</v>
      </c>
      <c r="CS605" s="10"/>
      <c r="CT605" s="10"/>
      <c r="CU605" s="11">
        <v>0</v>
      </c>
      <c r="CV605" s="10"/>
      <c r="CW605" s="10"/>
      <c r="CX605" s="11">
        <v>0</v>
      </c>
      <c r="CY605" s="10"/>
      <c r="CZ605" s="10"/>
      <c r="DA605" s="11">
        <v>0</v>
      </c>
      <c r="DB605" s="10"/>
      <c r="DC605" s="10"/>
      <c r="DD605" s="13">
        <v>0</v>
      </c>
      <c r="DE605" s="14"/>
    </row>
    <row r="606" spans="1:109" x14ac:dyDescent="0.35">
      <c r="A606" s="8" t="s">
        <v>1274</v>
      </c>
      <c r="B606" s="9" t="s">
        <v>118</v>
      </c>
      <c r="C606" s="9" t="s">
        <v>43</v>
      </c>
      <c r="D606" s="9" t="s">
        <v>1275</v>
      </c>
      <c r="E606" s="9" t="s">
        <v>61</v>
      </c>
      <c r="F606" s="9" t="s">
        <v>62</v>
      </c>
      <c r="G606" s="10"/>
      <c r="H606" s="10"/>
      <c r="I606" s="11">
        <v>0</v>
      </c>
      <c r="J606" s="10"/>
      <c r="K606" s="10"/>
      <c r="L606" s="12">
        <v>0</v>
      </c>
      <c r="M606" s="10"/>
      <c r="N606" s="10"/>
      <c r="O606" s="11">
        <v>0</v>
      </c>
      <c r="P606" s="10"/>
      <c r="Q606" s="10"/>
      <c r="R606" s="11">
        <v>0</v>
      </c>
      <c r="S606" s="10"/>
      <c r="T606" s="10"/>
      <c r="U606" s="11">
        <v>0</v>
      </c>
      <c r="V606" s="10"/>
      <c r="W606" s="10"/>
      <c r="X606" s="11">
        <v>0</v>
      </c>
      <c r="Y606" s="10"/>
      <c r="Z606" s="10"/>
      <c r="AA606" s="11"/>
      <c r="AB606" s="10"/>
      <c r="AC606" s="10"/>
      <c r="AD606" s="11">
        <v>0</v>
      </c>
      <c r="AE606" s="10"/>
      <c r="AF606" s="10"/>
      <c r="AG606" s="11">
        <v>0</v>
      </c>
      <c r="AH606" s="10"/>
      <c r="AI606" s="10"/>
      <c r="AJ606" s="11">
        <v>0</v>
      </c>
      <c r="AK606" s="10"/>
      <c r="AL606" s="10"/>
      <c r="AM606" s="11">
        <v>0</v>
      </c>
      <c r="AN606" s="10"/>
      <c r="AO606" s="10"/>
      <c r="AP606" s="11">
        <v>0</v>
      </c>
      <c r="AQ606" s="10"/>
      <c r="AR606" s="10"/>
      <c r="AS606" s="11">
        <v>0</v>
      </c>
      <c r="AT606" s="10"/>
      <c r="AU606" s="10"/>
      <c r="AV606" s="11">
        <v>0</v>
      </c>
      <c r="AW606" s="10"/>
      <c r="AX606" s="10"/>
      <c r="AY606" s="11">
        <v>0</v>
      </c>
      <c r="AZ606" s="10"/>
      <c r="BA606" s="10"/>
      <c r="BB606" s="11">
        <v>0</v>
      </c>
      <c r="BC606" s="10"/>
      <c r="BD606" s="10"/>
      <c r="BE606" s="11">
        <v>0</v>
      </c>
      <c r="BF606" s="10"/>
      <c r="BG606" s="10"/>
      <c r="BH606" s="11">
        <v>0</v>
      </c>
      <c r="BI606" s="10"/>
      <c r="BJ606" s="10"/>
      <c r="BK606" s="11">
        <v>0</v>
      </c>
      <c r="BL606" s="10"/>
      <c r="BM606" s="10"/>
      <c r="BN606" s="11">
        <v>0</v>
      </c>
      <c r="BO606" s="10"/>
      <c r="BP606" s="10"/>
      <c r="BQ606" s="11">
        <v>0</v>
      </c>
      <c r="BR606" s="10"/>
      <c r="BS606" s="10"/>
      <c r="BT606" s="11">
        <v>0</v>
      </c>
      <c r="BU606" s="10"/>
      <c r="BV606" s="10"/>
      <c r="BW606" s="11">
        <v>0</v>
      </c>
      <c r="BX606" s="10"/>
      <c r="BY606" s="10"/>
      <c r="BZ606" s="11">
        <v>0</v>
      </c>
      <c r="CA606" s="10"/>
      <c r="CB606" s="10"/>
      <c r="CC606" s="11">
        <v>0</v>
      </c>
      <c r="CD606" s="10"/>
      <c r="CE606" s="10"/>
      <c r="CF606" s="11">
        <v>0</v>
      </c>
      <c r="CG606" s="10"/>
      <c r="CH606" s="10"/>
      <c r="CI606" s="11">
        <v>0</v>
      </c>
      <c r="CJ606" s="10"/>
      <c r="CK606" s="10"/>
      <c r="CL606" s="11">
        <v>0</v>
      </c>
      <c r="CM606" s="10"/>
      <c r="CN606" s="10"/>
      <c r="CO606" s="11">
        <v>0</v>
      </c>
      <c r="CP606" s="10"/>
      <c r="CQ606" s="10"/>
      <c r="CR606" s="11">
        <v>0</v>
      </c>
      <c r="CS606" s="10"/>
      <c r="CT606" s="10"/>
      <c r="CU606" s="11">
        <v>0</v>
      </c>
      <c r="CV606" s="10"/>
      <c r="CW606" s="10"/>
      <c r="CX606" s="11">
        <v>0</v>
      </c>
      <c r="CY606" s="10"/>
      <c r="CZ606" s="10"/>
      <c r="DA606" s="11">
        <v>0</v>
      </c>
      <c r="DB606" s="10"/>
      <c r="DC606" s="10"/>
      <c r="DD606" s="13">
        <v>0</v>
      </c>
      <c r="DE606" s="14"/>
    </row>
    <row r="607" spans="1:109" x14ac:dyDescent="0.35">
      <c r="A607" s="8" t="s">
        <v>1276</v>
      </c>
      <c r="B607" s="9" t="s">
        <v>118</v>
      </c>
      <c r="C607" s="9" t="s">
        <v>43</v>
      </c>
      <c r="D607" s="9" t="s">
        <v>1277</v>
      </c>
      <c r="E607" s="9" t="s">
        <v>61</v>
      </c>
      <c r="F607" s="9" t="s">
        <v>62</v>
      </c>
      <c r="G607" s="10"/>
      <c r="H607" s="10"/>
      <c r="I607" s="11">
        <v>0</v>
      </c>
      <c r="J607" s="10"/>
      <c r="K607" s="10"/>
      <c r="L607" s="12">
        <v>0</v>
      </c>
      <c r="M607" s="10"/>
      <c r="N607" s="10"/>
      <c r="O607" s="11">
        <v>0</v>
      </c>
      <c r="P607" s="10"/>
      <c r="Q607" s="10"/>
      <c r="R607" s="11">
        <v>0</v>
      </c>
      <c r="S607" s="10"/>
      <c r="T607" s="10"/>
      <c r="U607" s="11">
        <v>0</v>
      </c>
      <c r="V607" s="10"/>
      <c r="W607" s="10"/>
      <c r="X607" s="11">
        <v>0</v>
      </c>
      <c r="Y607" s="10"/>
      <c r="Z607" s="10"/>
      <c r="AA607" s="11"/>
      <c r="AB607" s="10"/>
      <c r="AC607" s="10"/>
      <c r="AD607" s="11">
        <v>0</v>
      </c>
      <c r="AE607" s="10"/>
      <c r="AF607" s="10"/>
      <c r="AG607" s="11">
        <v>0</v>
      </c>
      <c r="AH607" s="10"/>
      <c r="AI607" s="10"/>
      <c r="AJ607" s="11">
        <v>0</v>
      </c>
      <c r="AK607" s="10"/>
      <c r="AL607" s="10"/>
      <c r="AM607" s="11">
        <v>0</v>
      </c>
      <c r="AN607" s="10"/>
      <c r="AO607" s="10"/>
      <c r="AP607" s="11">
        <v>0</v>
      </c>
      <c r="AQ607" s="10"/>
      <c r="AR607" s="10"/>
      <c r="AS607" s="11">
        <v>0</v>
      </c>
      <c r="AT607" s="10"/>
      <c r="AU607" s="10"/>
      <c r="AV607" s="11">
        <v>0</v>
      </c>
      <c r="AW607" s="10"/>
      <c r="AX607" s="10"/>
      <c r="AY607" s="11">
        <v>0</v>
      </c>
      <c r="AZ607" s="10"/>
      <c r="BA607" s="10"/>
      <c r="BB607" s="11">
        <v>0</v>
      </c>
      <c r="BC607" s="10"/>
      <c r="BD607" s="10"/>
      <c r="BE607" s="11">
        <v>0</v>
      </c>
      <c r="BF607" s="10"/>
      <c r="BG607" s="10"/>
      <c r="BH607" s="11">
        <v>0</v>
      </c>
      <c r="BI607" s="10"/>
      <c r="BJ607" s="10"/>
      <c r="BK607" s="11">
        <v>0</v>
      </c>
      <c r="BL607" s="10"/>
      <c r="BM607" s="10"/>
      <c r="BN607" s="11">
        <v>0</v>
      </c>
      <c r="BO607" s="10"/>
      <c r="BP607" s="10"/>
      <c r="BQ607" s="11">
        <v>0</v>
      </c>
      <c r="BR607" s="10"/>
      <c r="BS607" s="10"/>
      <c r="BT607" s="11">
        <v>0</v>
      </c>
      <c r="BU607" s="10"/>
      <c r="BV607" s="10"/>
      <c r="BW607" s="11">
        <v>0</v>
      </c>
      <c r="BX607" s="10"/>
      <c r="BY607" s="10"/>
      <c r="BZ607" s="11">
        <v>0</v>
      </c>
      <c r="CA607" s="10"/>
      <c r="CB607" s="10"/>
      <c r="CC607" s="11">
        <v>0</v>
      </c>
      <c r="CD607" s="10"/>
      <c r="CE607" s="10"/>
      <c r="CF607" s="11">
        <v>0</v>
      </c>
      <c r="CG607" s="10"/>
      <c r="CH607" s="10"/>
      <c r="CI607" s="11">
        <v>0</v>
      </c>
      <c r="CJ607" s="10"/>
      <c r="CK607" s="10"/>
      <c r="CL607" s="11">
        <v>0</v>
      </c>
      <c r="CM607" s="10"/>
      <c r="CN607" s="10"/>
      <c r="CO607" s="11">
        <v>0</v>
      </c>
      <c r="CP607" s="10"/>
      <c r="CQ607" s="10"/>
      <c r="CR607" s="11">
        <v>0</v>
      </c>
      <c r="CS607" s="10"/>
      <c r="CT607" s="10"/>
      <c r="CU607" s="11">
        <v>0</v>
      </c>
      <c r="CV607" s="10"/>
      <c r="CW607" s="10"/>
      <c r="CX607" s="11">
        <v>0</v>
      </c>
      <c r="CY607" s="10"/>
      <c r="CZ607" s="10"/>
      <c r="DA607" s="11">
        <v>0</v>
      </c>
      <c r="DB607" s="10"/>
      <c r="DC607" s="10"/>
      <c r="DD607" s="13">
        <v>0</v>
      </c>
      <c r="DE607" s="14"/>
    </row>
    <row r="608" spans="1:109" x14ac:dyDescent="0.35">
      <c r="A608" s="8" t="s">
        <v>1278</v>
      </c>
      <c r="B608" s="9" t="s">
        <v>59</v>
      </c>
      <c r="C608" s="9" t="s">
        <v>43</v>
      </c>
      <c r="D608" s="9" t="s">
        <v>1279</v>
      </c>
      <c r="E608" s="9" t="s">
        <v>61</v>
      </c>
      <c r="F608" s="9" t="s">
        <v>62</v>
      </c>
      <c r="G608" s="10"/>
      <c r="H608" s="10"/>
      <c r="I608" s="11">
        <v>0</v>
      </c>
      <c r="J608" s="10"/>
      <c r="K608" s="10"/>
      <c r="L608" s="12">
        <v>0</v>
      </c>
      <c r="M608" s="10"/>
      <c r="N608" s="10"/>
      <c r="O608" s="11">
        <v>0</v>
      </c>
      <c r="P608" s="10"/>
      <c r="Q608" s="10"/>
      <c r="R608" s="11">
        <v>0</v>
      </c>
      <c r="S608" s="10"/>
      <c r="T608" s="10"/>
      <c r="U608" s="11">
        <v>0</v>
      </c>
      <c r="V608" s="10"/>
      <c r="W608" s="10"/>
      <c r="X608" s="11">
        <v>0</v>
      </c>
      <c r="Y608" s="10"/>
      <c r="Z608" s="10"/>
      <c r="AA608" s="11"/>
      <c r="AB608" s="10"/>
      <c r="AC608" s="10"/>
      <c r="AD608" s="11">
        <v>0</v>
      </c>
      <c r="AE608" s="10"/>
      <c r="AF608" s="10"/>
      <c r="AG608" s="11">
        <v>0</v>
      </c>
      <c r="AH608" s="10"/>
      <c r="AI608" s="10"/>
      <c r="AJ608" s="11">
        <v>0</v>
      </c>
      <c r="AK608" s="10"/>
      <c r="AL608" s="10"/>
      <c r="AM608" s="11">
        <v>0</v>
      </c>
      <c r="AN608" s="10"/>
      <c r="AO608" s="10"/>
      <c r="AP608" s="11">
        <v>0</v>
      </c>
      <c r="AQ608" s="10"/>
      <c r="AR608" s="10"/>
      <c r="AS608" s="11">
        <v>0</v>
      </c>
      <c r="AT608" s="10"/>
      <c r="AU608" s="10"/>
      <c r="AV608" s="11">
        <v>0</v>
      </c>
      <c r="AW608" s="10"/>
      <c r="AX608" s="10"/>
      <c r="AY608" s="11">
        <v>0</v>
      </c>
      <c r="AZ608" s="10"/>
      <c r="BA608" s="10"/>
      <c r="BB608" s="11">
        <v>0</v>
      </c>
      <c r="BC608" s="10"/>
      <c r="BD608" s="10"/>
      <c r="BE608" s="11">
        <v>0</v>
      </c>
      <c r="BF608" s="10"/>
      <c r="BG608" s="10"/>
      <c r="BH608" s="11">
        <v>0</v>
      </c>
      <c r="BI608" s="10"/>
      <c r="BJ608" s="10"/>
      <c r="BK608" s="11">
        <v>0</v>
      </c>
      <c r="BL608" s="10"/>
      <c r="BM608" s="10"/>
      <c r="BN608" s="11">
        <v>0</v>
      </c>
      <c r="BO608" s="10"/>
      <c r="BP608" s="10"/>
      <c r="BQ608" s="11">
        <v>0</v>
      </c>
      <c r="BR608" s="10"/>
      <c r="BS608" s="10"/>
      <c r="BT608" s="11">
        <v>0</v>
      </c>
      <c r="BU608" s="10"/>
      <c r="BV608" s="10"/>
      <c r="BW608" s="11">
        <v>0</v>
      </c>
      <c r="BX608" s="10"/>
      <c r="BY608" s="10"/>
      <c r="BZ608" s="11">
        <v>0</v>
      </c>
      <c r="CA608" s="10"/>
      <c r="CB608" s="10"/>
      <c r="CC608" s="11">
        <v>0</v>
      </c>
      <c r="CD608" s="10"/>
      <c r="CE608" s="10"/>
      <c r="CF608" s="11">
        <v>0</v>
      </c>
      <c r="CG608" s="10"/>
      <c r="CH608" s="10"/>
      <c r="CI608" s="11">
        <v>0</v>
      </c>
      <c r="CJ608" s="10"/>
      <c r="CK608" s="10"/>
      <c r="CL608" s="11">
        <v>0</v>
      </c>
      <c r="CM608" s="10"/>
      <c r="CN608" s="10"/>
      <c r="CO608" s="11">
        <v>0</v>
      </c>
      <c r="CP608" s="10"/>
      <c r="CQ608" s="10"/>
      <c r="CR608" s="11">
        <v>0</v>
      </c>
      <c r="CS608" s="10"/>
      <c r="CT608" s="10"/>
      <c r="CU608" s="11">
        <v>0</v>
      </c>
      <c r="CV608" s="10"/>
      <c r="CW608" s="10"/>
      <c r="CX608" s="11">
        <v>0</v>
      </c>
      <c r="CY608" s="10"/>
      <c r="CZ608" s="10"/>
      <c r="DA608" s="11">
        <v>0</v>
      </c>
      <c r="DB608" s="10"/>
      <c r="DC608" s="10"/>
      <c r="DD608" s="13">
        <v>0</v>
      </c>
      <c r="DE608" s="14"/>
    </row>
    <row r="609" spans="1:109" x14ac:dyDescent="0.35">
      <c r="A609" s="8" t="s">
        <v>1280</v>
      </c>
      <c r="B609" s="9" t="s">
        <v>74</v>
      </c>
      <c r="C609" s="9" t="s">
        <v>52</v>
      </c>
      <c r="D609" s="9" t="s">
        <v>1281</v>
      </c>
      <c r="E609" s="9" t="s">
        <v>54</v>
      </c>
      <c r="F609" s="9" t="s">
        <v>55</v>
      </c>
      <c r="G609" s="10"/>
      <c r="H609" s="10"/>
      <c r="I609" s="11">
        <v>0</v>
      </c>
      <c r="J609" s="10"/>
      <c r="K609" s="10"/>
      <c r="L609" s="12">
        <v>0</v>
      </c>
      <c r="M609" s="10"/>
      <c r="N609" s="10"/>
      <c r="O609" s="11">
        <v>0</v>
      </c>
      <c r="P609" s="10"/>
      <c r="Q609" s="10"/>
      <c r="R609" s="11">
        <v>0</v>
      </c>
      <c r="S609" s="10"/>
      <c r="T609" s="10"/>
      <c r="U609" s="11">
        <v>0</v>
      </c>
      <c r="V609" s="10"/>
      <c r="W609" s="10"/>
      <c r="X609" s="11">
        <v>0</v>
      </c>
      <c r="Y609" s="10"/>
      <c r="Z609" s="10"/>
      <c r="AA609" s="11"/>
      <c r="AB609" s="10"/>
      <c r="AC609" s="10"/>
      <c r="AD609" s="11">
        <v>0</v>
      </c>
      <c r="AE609" s="10"/>
      <c r="AF609" s="10"/>
      <c r="AG609" s="11">
        <v>0</v>
      </c>
      <c r="AH609" s="10"/>
      <c r="AI609" s="10"/>
      <c r="AJ609" s="11">
        <v>0</v>
      </c>
      <c r="AK609" s="10"/>
      <c r="AL609" s="10"/>
      <c r="AM609" s="11">
        <v>0</v>
      </c>
      <c r="AN609" s="10"/>
      <c r="AO609" s="10"/>
      <c r="AP609" s="11">
        <v>0</v>
      </c>
      <c r="AQ609" s="10"/>
      <c r="AR609" s="10"/>
      <c r="AS609" s="11">
        <v>0</v>
      </c>
      <c r="AT609" s="10"/>
      <c r="AU609" s="10"/>
      <c r="AV609" s="11">
        <v>0</v>
      </c>
      <c r="AW609" s="10"/>
      <c r="AX609" s="10"/>
      <c r="AY609" s="11">
        <v>0</v>
      </c>
      <c r="AZ609" s="10"/>
      <c r="BA609" s="10"/>
      <c r="BB609" s="11">
        <v>0</v>
      </c>
      <c r="BC609" s="10"/>
      <c r="BD609" s="10"/>
      <c r="BE609" s="11">
        <v>0</v>
      </c>
      <c r="BF609" s="10"/>
      <c r="BG609" s="10"/>
      <c r="BH609" s="11">
        <v>0</v>
      </c>
      <c r="BI609" s="10"/>
      <c r="BJ609" s="10"/>
      <c r="BK609" s="11">
        <v>0</v>
      </c>
      <c r="BL609" s="10"/>
      <c r="BM609" s="10"/>
      <c r="BN609" s="11">
        <v>0</v>
      </c>
      <c r="BO609" s="10"/>
      <c r="BP609" s="10"/>
      <c r="BQ609" s="11">
        <v>0</v>
      </c>
      <c r="BR609" s="10"/>
      <c r="BS609" s="10"/>
      <c r="BT609" s="11">
        <v>0</v>
      </c>
      <c r="BU609" s="10"/>
      <c r="BV609" s="10"/>
      <c r="BW609" s="11">
        <v>0</v>
      </c>
      <c r="BX609" s="10"/>
      <c r="BY609" s="10"/>
      <c r="BZ609" s="11">
        <v>0</v>
      </c>
      <c r="CA609" s="10"/>
      <c r="CB609" s="10"/>
      <c r="CC609" s="11">
        <v>0</v>
      </c>
      <c r="CD609" s="10"/>
      <c r="CE609" s="10"/>
      <c r="CF609" s="11">
        <v>0</v>
      </c>
      <c r="CG609" s="10"/>
      <c r="CH609" s="10"/>
      <c r="CI609" s="11">
        <v>0</v>
      </c>
      <c r="CJ609" s="10"/>
      <c r="CK609" s="10"/>
      <c r="CL609" s="11">
        <v>0</v>
      </c>
      <c r="CM609" s="10"/>
      <c r="CN609" s="10"/>
      <c r="CO609" s="11">
        <v>0</v>
      </c>
      <c r="CP609" s="10"/>
      <c r="CQ609" s="10"/>
      <c r="CR609" s="11">
        <v>0</v>
      </c>
      <c r="CS609" s="10"/>
      <c r="CT609" s="10"/>
      <c r="CU609" s="11">
        <v>0</v>
      </c>
      <c r="CV609" s="10"/>
      <c r="CW609" s="10"/>
      <c r="CX609" s="11">
        <v>0</v>
      </c>
      <c r="CY609" s="10"/>
      <c r="CZ609" s="10"/>
      <c r="DA609" s="11">
        <v>0</v>
      </c>
      <c r="DB609" s="10"/>
      <c r="DC609" s="10"/>
      <c r="DD609" s="13">
        <v>0</v>
      </c>
      <c r="DE609" s="14"/>
    </row>
    <row r="610" spans="1:109" x14ac:dyDescent="0.35">
      <c r="A610" s="8" t="s">
        <v>1282</v>
      </c>
      <c r="B610" s="9" t="s">
        <v>74</v>
      </c>
      <c r="C610" s="9" t="s">
        <v>52</v>
      </c>
      <c r="D610" s="9" t="s">
        <v>1283</v>
      </c>
      <c r="E610" s="9" t="s">
        <v>54</v>
      </c>
      <c r="F610" s="9" t="s">
        <v>55</v>
      </c>
      <c r="G610" s="10"/>
      <c r="H610" s="10"/>
      <c r="I610" s="11">
        <v>0</v>
      </c>
      <c r="J610" s="10"/>
      <c r="K610" s="10"/>
      <c r="L610" s="12">
        <v>0</v>
      </c>
      <c r="M610" s="10"/>
      <c r="N610" s="10"/>
      <c r="O610" s="11">
        <v>0</v>
      </c>
      <c r="P610" s="10"/>
      <c r="Q610" s="10"/>
      <c r="R610" s="11">
        <v>0</v>
      </c>
      <c r="S610" s="10"/>
      <c r="T610" s="10"/>
      <c r="U610" s="11">
        <v>0</v>
      </c>
      <c r="V610" s="10"/>
      <c r="W610" s="10"/>
      <c r="X610" s="11">
        <v>0</v>
      </c>
      <c r="Y610" s="10"/>
      <c r="Z610" s="10"/>
      <c r="AA610" s="11"/>
      <c r="AB610" s="10"/>
      <c r="AC610" s="10"/>
      <c r="AD610" s="11">
        <v>0</v>
      </c>
      <c r="AE610" s="10"/>
      <c r="AF610" s="10"/>
      <c r="AG610" s="11">
        <v>0</v>
      </c>
      <c r="AH610" s="10"/>
      <c r="AI610" s="10"/>
      <c r="AJ610" s="11">
        <v>0</v>
      </c>
      <c r="AK610" s="10"/>
      <c r="AL610" s="10"/>
      <c r="AM610" s="11">
        <v>0</v>
      </c>
      <c r="AN610" s="10"/>
      <c r="AO610" s="10"/>
      <c r="AP610" s="11">
        <v>0</v>
      </c>
      <c r="AQ610" s="10"/>
      <c r="AR610" s="10"/>
      <c r="AS610" s="11">
        <v>0</v>
      </c>
      <c r="AT610" s="10"/>
      <c r="AU610" s="10"/>
      <c r="AV610" s="11">
        <v>0</v>
      </c>
      <c r="AW610" s="10"/>
      <c r="AX610" s="10"/>
      <c r="AY610" s="11">
        <v>0</v>
      </c>
      <c r="AZ610" s="10"/>
      <c r="BA610" s="10"/>
      <c r="BB610" s="11">
        <v>0</v>
      </c>
      <c r="BC610" s="10"/>
      <c r="BD610" s="10"/>
      <c r="BE610" s="11">
        <v>0</v>
      </c>
      <c r="BF610" s="10"/>
      <c r="BG610" s="10"/>
      <c r="BH610" s="11">
        <v>0</v>
      </c>
      <c r="BI610" s="10"/>
      <c r="BJ610" s="10"/>
      <c r="BK610" s="11">
        <v>0</v>
      </c>
      <c r="BL610" s="10"/>
      <c r="BM610" s="10"/>
      <c r="BN610" s="11">
        <v>0</v>
      </c>
      <c r="BO610" s="10"/>
      <c r="BP610" s="10"/>
      <c r="BQ610" s="11">
        <v>0</v>
      </c>
      <c r="BR610" s="10"/>
      <c r="BS610" s="10"/>
      <c r="BT610" s="11">
        <v>0</v>
      </c>
      <c r="BU610" s="10"/>
      <c r="BV610" s="10"/>
      <c r="BW610" s="11">
        <v>0</v>
      </c>
      <c r="BX610" s="10"/>
      <c r="BY610" s="10"/>
      <c r="BZ610" s="11">
        <v>0</v>
      </c>
      <c r="CA610" s="10"/>
      <c r="CB610" s="10"/>
      <c r="CC610" s="11">
        <v>0</v>
      </c>
      <c r="CD610" s="10"/>
      <c r="CE610" s="10"/>
      <c r="CF610" s="11">
        <v>0</v>
      </c>
      <c r="CG610" s="10"/>
      <c r="CH610" s="10"/>
      <c r="CI610" s="11">
        <v>0</v>
      </c>
      <c r="CJ610" s="10"/>
      <c r="CK610" s="10"/>
      <c r="CL610" s="11">
        <v>0</v>
      </c>
      <c r="CM610" s="10"/>
      <c r="CN610" s="10"/>
      <c r="CO610" s="11">
        <v>0</v>
      </c>
      <c r="CP610" s="10"/>
      <c r="CQ610" s="10"/>
      <c r="CR610" s="11">
        <v>0</v>
      </c>
      <c r="CS610" s="10"/>
      <c r="CT610" s="10"/>
      <c r="CU610" s="11">
        <v>0</v>
      </c>
      <c r="CV610" s="10"/>
      <c r="CW610" s="10"/>
      <c r="CX610" s="11">
        <v>0</v>
      </c>
      <c r="CY610" s="10"/>
      <c r="CZ610" s="10"/>
      <c r="DA610" s="11">
        <v>0</v>
      </c>
      <c r="DB610" s="10"/>
      <c r="DC610" s="10"/>
      <c r="DD610" s="13">
        <v>0</v>
      </c>
      <c r="DE610" s="14"/>
    </row>
    <row r="611" spans="1:109" x14ac:dyDescent="0.35">
      <c r="A611" s="8" t="s">
        <v>1284</v>
      </c>
      <c r="B611" s="9" t="s">
        <v>42</v>
      </c>
      <c r="C611" s="9" t="s">
        <v>43</v>
      </c>
      <c r="D611" s="9" t="s">
        <v>1285</v>
      </c>
      <c r="E611" s="9" t="s">
        <v>45</v>
      </c>
      <c r="F611" s="9" t="s">
        <v>46</v>
      </c>
      <c r="G611" s="10"/>
      <c r="H611" s="10"/>
      <c r="I611" s="11">
        <v>0</v>
      </c>
      <c r="J611" s="10"/>
      <c r="K611" s="10"/>
      <c r="L611" s="12">
        <v>0</v>
      </c>
      <c r="M611" s="10"/>
      <c r="N611" s="10"/>
      <c r="O611" s="11">
        <v>0</v>
      </c>
      <c r="P611" s="10"/>
      <c r="Q611" s="10"/>
      <c r="R611" s="11">
        <v>0</v>
      </c>
      <c r="S611" s="10"/>
      <c r="T611" s="10"/>
      <c r="U611" s="11">
        <v>0</v>
      </c>
      <c r="V611" s="10"/>
      <c r="W611" s="10"/>
      <c r="X611" s="11">
        <v>0</v>
      </c>
      <c r="Y611" s="10"/>
      <c r="Z611" s="10"/>
      <c r="AA611" s="11"/>
      <c r="AB611" s="10"/>
      <c r="AC611" s="10"/>
      <c r="AD611" s="11">
        <v>0</v>
      </c>
      <c r="AE611" s="10"/>
      <c r="AF611" s="10"/>
      <c r="AG611" s="11">
        <v>0</v>
      </c>
      <c r="AH611" s="10"/>
      <c r="AI611" s="10"/>
      <c r="AJ611" s="11">
        <v>0</v>
      </c>
      <c r="AK611" s="10">
        <v>500000</v>
      </c>
      <c r="AL611" s="10"/>
      <c r="AM611" s="11">
        <f t="shared" ref="AM611" si="599">AL611/AK611</f>
        <v>0</v>
      </c>
      <c r="AN611" s="10"/>
      <c r="AO611" s="10"/>
      <c r="AP611" s="11">
        <v>0</v>
      </c>
      <c r="AQ611" s="10"/>
      <c r="AR611" s="10"/>
      <c r="AS611" s="11">
        <v>0</v>
      </c>
      <c r="AT611" s="10"/>
      <c r="AU611" s="10"/>
      <c r="AV611" s="11">
        <v>0</v>
      </c>
      <c r="AW611" s="10"/>
      <c r="AX611" s="10"/>
      <c r="AY611" s="11">
        <v>0</v>
      </c>
      <c r="AZ611" s="10"/>
      <c r="BA611" s="10"/>
      <c r="BB611" s="11">
        <v>0</v>
      </c>
      <c r="BC611" s="10"/>
      <c r="BD611" s="10"/>
      <c r="BE611" s="11">
        <v>0</v>
      </c>
      <c r="BF611" s="10"/>
      <c r="BG611" s="10"/>
      <c r="BH611" s="11">
        <v>0</v>
      </c>
      <c r="BI611" s="10"/>
      <c r="BJ611" s="10"/>
      <c r="BK611" s="11">
        <v>0</v>
      </c>
      <c r="BL611" s="10"/>
      <c r="BM611" s="10"/>
      <c r="BN611" s="11">
        <v>0</v>
      </c>
      <c r="BO611" s="10"/>
      <c r="BP611" s="10"/>
      <c r="BQ611" s="11">
        <v>0</v>
      </c>
      <c r="BR611" s="10"/>
      <c r="BS611" s="10"/>
      <c r="BT611" s="11">
        <v>0</v>
      </c>
      <c r="BU611" s="10"/>
      <c r="BV611" s="10"/>
      <c r="BW611" s="11">
        <v>0</v>
      </c>
      <c r="BX611" s="10"/>
      <c r="BY611" s="10"/>
      <c r="BZ611" s="11">
        <v>0</v>
      </c>
      <c r="CA611" s="10"/>
      <c r="CB611" s="10"/>
      <c r="CC611" s="11">
        <v>0</v>
      </c>
      <c r="CD611" s="10"/>
      <c r="CE611" s="10"/>
      <c r="CF611" s="11">
        <v>0</v>
      </c>
      <c r="CG611" s="10"/>
      <c r="CH611" s="10"/>
      <c r="CI611" s="11">
        <v>0</v>
      </c>
      <c r="CJ611" s="10"/>
      <c r="CK611" s="10"/>
      <c r="CL611" s="11">
        <v>0</v>
      </c>
      <c r="CM611" s="10"/>
      <c r="CN611" s="10"/>
      <c r="CO611" s="11">
        <v>0</v>
      </c>
      <c r="CP611" s="10"/>
      <c r="CQ611" s="10"/>
      <c r="CR611" s="11">
        <v>0</v>
      </c>
      <c r="CS611" s="10"/>
      <c r="CT611" s="10"/>
      <c r="CU611" s="11">
        <v>0</v>
      </c>
      <c r="CV611" s="10"/>
      <c r="CW611" s="10"/>
      <c r="CX611" s="11">
        <v>0</v>
      </c>
      <c r="CY611" s="10"/>
      <c r="CZ611" s="10"/>
      <c r="DA611" s="11">
        <v>0</v>
      </c>
      <c r="DB611" s="10">
        <v>500000</v>
      </c>
      <c r="DC611" s="10"/>
      <c r="DD611" s="15">
        <f t="shared" ref="DD611" si="600">DC611/DB611</f>
        <v>0</v>
      </c>
      <c r="DE611" s="16"/>
    </row>
    <row r="612" spans="1:109" x14ac:dyDescent="0.35">
      <c r="A612" s="8" t="s">
        <v>1286</v>
      </c>
      <c r="B612" s="9" t="s">
        <v>74</v>
      </c>
      <c r="C612" s="9" t="s">
        <v>52</v>
      </c>
      <c r="D612" s="9" t="s">
        <v>1287</v>
      </c>
      <c r="E612" s="9" t="s">
        <v>54</v>
      </c>
      <c r="F612" s="9" t="s">
        <v>55</v>
      </c>
      <c r="G612" s="10"/>
      <c r="H612" s="10"/>
      <c r="I612" s="11">
        <v>0</v>
      </c>
      <c r="J612" s="10"/>
      <c r="K612" s="10"/>
      <c r="L612" s="12">
        <v>0</v>
      </c>
      <c r="M612" s="10"/>
      <c r="N612" s="10"/>
      <c r="O612" s="11">
        <v>0</v>
      </c>
      <c r="P612" s="10"/>
      <c r="Q612" s="10"/>
      <c r="R612" s="11">
        <v>0</v>
      </c>
      <c r="S612" s="10"/>
      <c r="T612" s="10"/>
      <c r="U612" s="11">
        <v>0</v>
      </c>
      <c r="V612" s="10"/>
      <c r="W612" s="10"/>
      <c r="X612" s="11">
        <v>0</v>
      </c>
      <c r="Y612" s="10"/>
      <c r="Z612" s="10"/>
      <c r="AA612" s="11"/>
      <c r="AB612" s="10"/>
      <c r="AC612" s="10"/>
      <c r="AD612" s="11">
        <v>0</v>
      </c>
      <c r="AE612" s="10"/>
      <c r="AF612" s="10"/>
      <c r="AG612" s="11">
        <v>0</v>
      </c>
      <c r="AH612" s="10"/>
      <c r="AI612" s="10"/>
      <c r="AJ612" s="11">
        <v>0</v>
      </c>
      <c r="AK612" s="10"/>
      <c r="AL612" s="10"/>
      <c r="AM612" s="11">
        <v>0</v>
      </c>
      <c r="AN612" s="10"/>
      <c r="AO612" s="10"/>
      <c r="AP612" s="11">
        <v>0</v>
      </c>
      <c r="AQ612" s="10"/>
      <c r="AR612" s="10"/>
      <c r="AS612" s="11">
        <v>0</v>
      </c>
      <c r="AT612" s="10"/>
      <c r="AU612" s="10"/>
      <c r="AV612" s="11">
        <v>0</v>
      </c>
      <c r="AW612" s="10"/>
      <c r="AX612" s="10"/>
      <c r="AY612" s="11">
        <v>0</v>
      </c>
      <c r="AZ612" s="10"/>
      <c r="BA612" s="10"/>
      <c r="BB612" s="11">
        <v>0</v>
      </c>
      <c r="BC612" s="10"/>
      <c r="BD612" s="10"/>
      <c r="BE612" s="11">
        <v>0</v>
      </c>
      <c r="BF612" s="10"/>
      <c r="BG612" s="10"/>
      <c r="BH612" s="11">
        <v>0</v>
      </c>
      <c r="BI612" s="10"/>
      <c r="BJ612" s="10"/>
      <c r="BK612" s="11">
        <v>0</v>
      </c>
      <c r="BL612" s="10"/>
      <c r="BM612" s="10"/>
      <c r="BN612" s="11">
        <v>0</v>
      </c>
      <c r="BO612" s="10"/>
      <c r="BP612" s="10"/>
      <c r="BQ612" s="11">
        <v>0</v>
      </c>
      <c r="BR612" s="10"/>
      <c r="BS612" s="10"/>
      <c r="BT612" s="11">
        <v>0</v>
      </c>
      <c r="BU612" s="10"/>
      <c r="BV612" s="10"/>
      <c r="BW612" s="11">
        <v>0</v>
      </c>
      <c r="BX612" s="10"/>
      <c r="BY612" s="10"/>
      <c r="BZ612" s="11">
        <v>0</v>
      </c>
      <c r="CA612" s="10"/>
      <c r="CB612" s="10"/>
      <c r="CC612" s="11">
        <v>0</v>
      </c>
      <c r="CD612" s="10"/>
      <c r="CE612" s="10"/>
      <c r="CF612" s="11">
        <v>0</v>
      </c>
      <c r="CG612" s="10"/>
      <c r="CH612" s="10"/>
      <c r="CI612" s="11">
        <v>0</v>
      </c>
      <c r="CJ612" s="10"/>
      <c r="CK612" s="10"/>
      <c r="CL612" s="11">
        <v>0</v>
      </c>
      <c r="CM612" s="10"/>
      <c r="CN612" s="10"/>
      <c r="CO612" s="11">
        <v>0</v>
      </c>
      <c r="CP612" s="10"/>
      <c r="CQ612" s="10"/>
      <c r="CR612" s="11">
        <v>0</v>
      </c>
      <c r="CS612" s="10"/>
      <c r="CT612" s="10"/>
      <c r="CU612" s="11">
        <v>0</v>
      </c>
      <c r="CV612" s="10"/>
      <c r="CW612" s="10"/>
      <c r="CX612" s="11">
        <v>0</v>
      </c>
      <c r="CY612" s="10"/>
      <c r="CZ612" s="10"/>
      <c r="DA612" s="11">
        <v>0</v>
      </c>
      <c r="DB612" s="10"/>
      <c r="DC612" s="10"/>
      <c r="DD612" s="13">
        <v>0</v>
      </c>
      <c r="DE612" s="14"/>
    </row>
    <row r="613" spans="1:109" x14ac:dyDescent="0.35">
      <c r="A613" s="8" t="s">
        <v>1288</v>
      </c>
      <c r="B613" s="9" t="s">
        <v>140</v>
      </c>
      <c r="C613" s="9" t="s">
        <v>43</v>
      </c>
      <c r="D613" s="9" t="s">
        <v>1289</v>
      </c>
      <c r="E613" s="9" t="s">
        <v>45</v>
      </c>
      <c r="F613" s="9" t="s">
        <v>46</v>
      </c>
      <c r="G613" s="10"/>
      <c r="H613" s="10"/>
      <c r="I613" s="11">
        <v>0</v>
      </c>
      <c r="J613" s="10"/>
      <c r="K613" s="10"/>
      <c r="L613" s="12">
        <v>0</v>
      </c>
      <c r="M613" s="10"/>
      <c r="N613" s="10"/>
      <c r="O613" s="11">
        <v>0</v>
      </c>
      <c r="P613" s="10"/>
      <c r="Q613" s="10"/>
      <c r="R613" s="11">
        <v>0</v>
      </c>
      <c r="S613" s="10"/>
      <c r="T613" s="10"/>
      <c r="U613" s="11">
        <v>0</v>
      </c>
      <c r="V613" s="10"/>
      <c r="W613" s="10"/>
      <c r="X613" s="11">
        <v>0</v>
      </c>
      <c r="Y613" s="10"/>
      <c r="Z613" s="10"/>
      <c r="AA613" s="11"/>
      <c r="AB613" s="10"/>
      <c r="AC613" s="10"/>
      <c r="AD613" s="11">
        <v>0</v>
      </c>
      <c r="AE613" s="10"/>
      <c r="AF613" s="10"/>
      <c r="AG613" s="11">
        <v>0</v>
      </c>
      <c r="AH613" s="10"/>
      <c r="AI613" s="10"/>
      <c r="AJ613" s="11">
        <v>0</v>
      </c>
      <c r="AK613" s="10"/>
      <c r="AL613" s="10"/>
      <c r="AM613" s="11">
        <v>0</v>
      </c>
      <c r="AN613" s="10"/>
      <c r="AO613" s="10"/>
      <c r="AP613" s="11">
        <v>0</v>
      </c>
      <c r="AQ613" s="10"/>
      <c r="AR613" s="10"/>
      <c r="AS613" s="11">
        <v>0</v>
      </c>
      <c r="AT613" s="10"/>
      <c r="AU613" s="10"/>
      <c r="AV613" s="11">
        <v>0</v>
      </c>
      <c r="AW613" s="10"/>
      <c r="AX613" s="10"/>
      <c r="AY613" s="11">
        <v>0</v>
      </c>
      <c r="AZ613" s="10"/>
      <c r="BA613" s="10"/>
      <c r="BB613" s="11">
        <v>0</v>
      </c>
      <c r="BC613" s="10"/>
      <c r="BD613" s="10"/>
      <c r="BE613" s="11">
        <v>0</v>
      </c>
      <c r="BF613" s="10"/>
      <c r="BG613" s="10"/>
      <c r="BH613" s="11">
        <v>0</v>
      </c>
      <c r="BI613" s="10"/>
      <c r="BJ613" s="10"/>
      <c r="BK613" s="11">
        <v>0</v>
      </c>
      <c r="BL613" s="10"/>
      <c r="BM613" s="10"/>
      <c r="BN613" s="11">
        <v>0</v>
      </c>
      <c r="BO613" s="10"/>
      <c r="BP613" s="10"/>
      <c r="BQ613" s="11">
        <v>0</v>
      </c>
      <c r="BR613" s="10"/>
      <c r="BS613" s="10"/>
      <c r="BT613" s="11">
        <v>0</v>
      </c>
      <c r="BU613" s="10"/>
      <c r="BV613" s="10"/>
      <c r="BW613" s="11">
        <v>0</v>
      </c>
      <c r="BX613" s="10"/>
      <c r="BY613" s="10"/>
      <c r="BZ613" s="11">
        <v>0</v>
      </c>
      <c r="CA613" s="10"/>
      <c r="CB613" s="10"/>
      <c r="CC613" s="11">
        <v>0</v>
      </c>
      <c r="CD613" s="10"/>
      <c r="CE613" s="10"/>
      <c r="CF613" s="11">
        <v>0</v>
      </c>
      <c r="CG613" s="10"/>
      <c r="CH613" s="10"/>
      <c r="CI613" s="11">
        <v>0</v>
      </c>
      <c r="CJ613" s="10"/>
      <c r="CK613" s="10"/>
      <c r="CL613" s="11">
        <v>0</v>
      </c>
      <c r="CM613" s="10"/>
      <c r="CN613" s="10"/>
      <c r="CO613" s="11">
        <v>0</v>
      </c>
      <c r="CP613" s="10"/>
      <c r="CQ613" s="10"/>
      <c r="CR613" s="11">
        <v>0</v>
      </c>
      <c r="CS613" s="10"/>
      <c r="CT613" s="10"/>
      <c r="CU613" s="11">
        <v>0</v>
      </c>
      <c r="CV613" s="10"/>
      <c r="CW613" s="10"/>
      <c r="CX613" s="11">
        <v>0</v>
      </c>
      <c r="CY613" s="10"/>
      <c r="CZ613" s="10"/>
      <c r="DA613" s="11">
        <v>0</v>
      </c>
      <c r="DB613" s="10"/>
      <c r="DC613" s="10"/>
      <c r="DD613" s="13">
        <v>0</v>
      </c>
      <c r="DE613" s="14"/>
    </row>
    <row r="614" spans="1:109" x14ac:dyDescent="0.35">
      <c r="A614" s="17" t="s">
        <v>1290</v>
      </c>
      <c r="B614" s="18"/>
      <c r="C614" s="18" t="s">
        <v>43</v>
      </c>
      <c r="D614" s="18" t="s">
        <v>1291</v>
      </c>
      <c r="E614" s="18" t="s">
        <v>61</v>
      </c>
      <c r="F614" s="18" t="s">
        <v>62</v>
      </c>
      <c r="G614" s="9"/>
      <c r="H614" s="10"/>
      <c r="I614" s="11">
        <v>0</v>
      </c>
      <c r="J614" s="9"/>
      <c r="K614" s="10"/>
      <c r="L614" s="12">
        <v>0</v>
      </c>
      <c r="M614" s="9"/>
      <c r="N614" s="10"/>
      <c r="O614" s="11">
        <v>0</v>
      </c>
      <c r="P614" s="9"/>
      <c r="Q614" s="10"/>
      <c r="R614" s="11">
        <v>0</v>
      </c>
      <c r="S614" s="9"/>
      <c r="T614" s="10"/>
      <c r="U614" s="11">
        <v>0</v>
      </c>
      <c r="V614" s="9"/>
      <c r="W614" s="10"/>
      <c r="X614" s="11">
        <v>0</v>
      </c>
      <c r="Y614" s="9"/>
      <c r="Z614" s="10"/>
      <c r="AA614" s="11"/>
      <c r="AB614" s="9"/>
      <c r="AC614" s="10"/>
      <c r="AD614" s="11">
        <v>0</v>
      </c>
      <c r="AE614" s="9"/>
      <c r="AF614" s="10"/>
      <c r="AG614" s="11">
        <v>0</v>
      </c>
      <c r="AH614" s="9"/>
      <c r="AI614" s="10"/>
      <c r="AJ614" s="11">
        <v>0</v>
      </c>
      <c r="AK614" s="9"/>
      <c r="AL614" s="10"/>
      <c r="AM614" s="11">
        <v>0</v>
      </c>
      <c r="AN614" s="9"/>
      <c r="AO614" s="10"/>
      <c r="AP614" s="11">
        <v>0</v>
      </c>
      <c r="AQ614" s="9"/>
      <c r="AR614" s="10"/>
      <c r="AS614" s="11">
        <v>0</v>
      </c>
      <c r="AT614" s="9"/>
      <c r="AU614" s="10"/>
      <c r="AV614" s="11">
        <v>0</v>
      </c>
      <c r="AW614" s="9"/>
      <c r="AX614" s="10"/>
      <c r="AY614" s="11">
        <v>0</v>
      </c>
      <c r="AZ614" s="9"/>
      <c r="BA614" s="10"/>
      <c r="BB614" s="11">
        <v>0</v>
      </c>
      <c r="BC614" s="9"/>
      <c r="BD614" s="10"/>
      <c r="BE614" s="11">
        <v>0</v>
      </c>
      <c r="BF614" s="9"/>
      <c r="BG614" s="10"/>
      <c r="BH614" s="11">
        <v>0</v>
      </c>
      <c r="BI614" s="9"/>
      <c r="BJ614" s="10"/>
      <c r="BK614" s="11">
        <v>0</v>
      </c>
      <c r="BL614" s="9"/>
      <c r="BM614" s="10"/>
      <c r="BN614" s="11">
        <v>0</v>
      </c>
      <c r="BO614" s="9"/>
      <c r="BP614" s="10"/>
      <c r="BQ614" s="11">
        <v>0</v>
      </c>
      <c r="BR614" s="9"/>
      <c r="BS614" s="10"/>
      <c r="BT614" s="11">
        <v>0</v>
      </c>
      <c r="BU614" s="9"/>
      <c r="BV614" s="10"/>
      <c r="BW614" s="11">
        <v>0</v>
      </c>
      <c r="BX614" s="9"/>
      <c r="BY614" s="10"/>
      <c r="BZ614" s="11">
        <v>0</v>
      </c>
      <c r="CA614" s="9"/>
      <c r="CB614" s="10"/>
      <c r="CC614" s="11">
        <v>0</v>
      </c>
      <c r="CD614" s="9"/>
      <c r="CE614" s="10"/>
      <c r="CF614" s="11">
        <v>0</v>
      </c>
      <c r="CG614" s="9"/>
      <c r="CH614" s="10"/>
      <c r="CI614" s="11">
        <v>0</v>
      </c>
      <c r="CJ614" s="9"/>
      <c r="CK614" s="10"/>
      <c r="CL614" s="11">
        <v>0</v>
      </c>
      <c r="CM614" s="9"/>
      <c r="CN614" s="10"/>
      <c r="CO614" s="11">
        <v>0</v>
      </c>
      <c r="CP614" s="9"/>
      <c r="CQ614" s="10"/>
      <c r="CR614" s="11">
        <v>0</v>
      </c>
      <c r="CS614" s="9"/>
      <c r="CT614" s="10"/>
      <c r="CU614" s="11">
        <v>0</v>
      </c>
      <c r="CV614" s="9"/>
      <c r="CW614" s="10"/>
      <c r="CX614" s="11">
        <v>0</v>
      </c>
      <c r="CY614" s="9"/>
      <c r="CZ614" s="10"/>
      <c r="DA614" s="11">
        <v>0</v>
      </c>
      <c r="DB614" s="9"/>
      <c r="DC614" s="10"/>
      <c r="DD614" s="13">
        <v>0</v>
      </c>
      <c r="DE614" s="14"/>
    </row>
  </sheetData>
  <autoFilter ref="A1:DG6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Kibria</dc:creator>
  <cp:lastModifiedBy>hp</cp:lastModifiedBy>
  <dcterms:created xsi:type="dcterms:W3CDTF">2026-07-21T11:29:57Z</dcterms:created>
  <dcterms:modified xsi:type="dcterms:W3CDTF">2026-08-15T05:24:08Z</dcterms:modified>
</cp:coreProperties>
</file>